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raphael.souza\Downloads\Projeto Auditoria\"/>
    </mc:Choice>
  </mc:AlternateContent>
  <xr:revisionPtr revIDLastSave="0" documentId="13_ncr:1_{788AEF89-093C-47FE-981E-BE066C2AC463}" xr6:coauthVersionLast="47" xr6:coauthVersionMax="47" xr10:uidLastSave="{00000000-0000-0000-0000-000000000000}"/>
  <bookViews>
    <workbookView xWindow="0" yWindow="360" windowWidth="23256" windowHeight="12456" tabRatio="589" xr2:uid="{739EBF2C-B98E-4066-811A-3607C1EBC220}"/>
  </bookViews>
  <sheets>
    <sheet name="Auditoria" sheetId="3" r:id="rId1"/>
    <sheet name="Iten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796" i="3" l="1"/>
  <c r="Q2042" i="3"/>
  <c r="P2042" i="3"/>
  <c r="Q2041" i="3"/>
  <c r="P2041" i="3"/>
  <c r="P2040" i="3"/>
  <c r="Q2040" i="3" s="1"/>
  <c r="P2039" i="3"/>
  <c r="Q2039" i="3" s="1"/>
  <c r="P2038" i="3"/>
  <c r="Q2038" i="3" s="1"/>
  <c r="Q2037" i="3"/>
  <c r="P2037" i="3"/>
  <c r="Q2036" i="3"/>
  <c r="P2036" i="3"/>
  <c r="Q2035" i="3"/>
  <c r="P2035" i="3"/>
  <c r="P2034" i="3"/>
  <c r="Q2034" i="3" s="1"/>
  <c r="Q2033" i="3"/>
  <c r="P2033" i="3"/>
  <c r="Q2032" i="3"/>
  <c r="P2032" i="3"/>
  <c r="P2031" i="3"/>
  <c r="Q2031" i="3" s="1"/>
  <c r="Q2030" i="3"/>
  <c r="P2030" i="3"/>
  <c r="P2029" i="3"/>
  <c r="Q2029" i="3" s="1"/>
  <c r="Q2028" i="3"/>
  <c r="P2028" i="3"/>
  <c r="Q2027" i="3"/>
  <c r="P2027" i="3"/>
  <c r="P2026" i="3"/>
  <c r="Q2026" i="3" s="1"/>
  <c r="P1935" i="3"/>
  <c r="Q1935" i="3" s="1"/>
  <c r="P1934" i="3"/>
  <c r="Q1934" i="3" s="1"/>
  <c r="P1933" i="3"/>
  <c r="Q1933" i="3" s="1"/>
  <c r="P1932" i="3"/>
  <c r="Q1932" i="3" s="1"/>
  <c r="P1931" i="3"/>
  <c r="Q1931" i="3" s="1"/>
  <c r="P1930" i="3"/>
  <c r="Q1930" i="3" s="1"/>
  <c r="P1929" i="3"/>
  <c r="Q1929" i="3" s="1"/>
  <c r="P1928" i="3"/>
  <c r="Q1928" i="3" s="1"/>
  <c r="P1927" i="3"/>
  <c r="Q1927" i="3" s="1"/>
  <c r="P1926" i="3"/>
  <c r="Q1926" i="3" s="1"/>
  <c r="Q1925" i="3"/>
  <c r="P1925" i="3"/>
  <c r="P1924" i="3"/>
  <c r="Q1924" i="3" s="1"/>
  <c r="P1923" i="3"/>
  <c r="Q1923" i="3" s="1"/>
  <c r="P1922" i="3"/>
  <c r="Q1922" i="3" s="1"/>
  <c r="P1921" i="3"/>
  <c r="Q1921" i="3" s="1"/>
  <c r="P1920" i="3"/>
  <c r="Q1920" i="3" s="1"/>
  <c r="P1919" i="3"/>
  <c r="Q1919" i="3" s="1"/>
  <c r="P1918" i="3"/>
  <c r="Q1918" i="3" s="1"/>
  <c r="P1917" i="3"/>
  <c r="Q1917" i="3" s="1"/>
  <c r="P1916" i="3"/>
  <c r="Q1916" i="3" s="1"/>
  <c r="P1915" i="3"/>
  <c r="Q1915" i="3" s="1"/>
  <c r="P1914" i="3"/>
  <c r="Q1914" i="3" s="1"/>
  <c r="P1913" i="3"/>
  <c r="Q1913" i="3" s="1"/>
  <c r="P1912" i="3"/>
  <c r="Q1912" i="3" s="1"/>
  <c r="Q1911" i="3"/>
  <c r="P1911" i="3"/>
  <c r="P1910" i="3"/>
  <c r="Q1910" i="3" s="1"/>
  <c r="Q1909" i="3"/>
  <c r="P1909" i="3"/>
  <c r="P1908" i="3"/>
  <c r="Q1908" i="3" s="1"/>
  <c r="P1907" i="3"/>
  <c r="Q1907" i="3" s="1"/>
  <c r="P1906" i="3"/>
  <c r="Q1906" i="3" s="1"/>
  <c r="P1905" i="3"/>
  <c r="Q1905" i="3" s="1"/>
  <c r="P1904" i="3"/>
  <c r="Q1904" i="3" s="1"/>
  <c r="P1903" i="3"/>
  <c r="Q1903" i="3" s="1"/>
  <c r="P1902" i="3"/>
  <c r="Q1902" i="3" s="1"/>
  <c r="P1901" i="3"/>
  <c r="Q1901" i="3" s="1"/>
  <c r="P1900" i="3"/>
  <c r="Q1900" i="3" s="1"/>
  <c r="P1899" i="3"/>
  <c r="Q1899" i="3" s="1"/>
  <c r="P1898" i="3"/>
  <c r="Q1898" i="3" s="1"/>
  <c r="P1897" i="3"/>
  <c r="Q1897" i="3" s="1"/>
  <c r="P1896" i="3"/>
  <c r="Q1896" i="3" s="1"/>
  <c r="P1895" i="3"/>
  <c r="Q1895" i="3" s="1"/>
  <c r="P1894" i="3"/>
  <c r="Q1894" i="3" s="1"/>
  <c r="P1893" i="3"/>
  <c r="Q1893" i="3" s="1"/>
  <c r="P1892" i="3"/>
  <c r="Q1892" i="3" s="1"/>
  <c r="Q1891" i="3"/>
  <c r="P1891" i="3"/>
  <c r="P1890" i="3"/>
  <c r="Q1890" i="3" s="1"/>
  <c r="Q1889" i="3"/>
  <c r="P1889" i="3"/>
  <c r="Q1888" i="3"/>
  <c r="P1888" i="3"/>
  <c r="P1887" i="3"/>
  <c r="Q1887" i="3" s="1"/>
  <c r="P1886" i="3"/>
  <c r="Q1886" i="3" s="1"/>
  <c r="Q1885" i="3"/>
  <c r="P1885" i="3"/>
  <c r="P1884" i="3"/>
  <c r="Q1884" i="3" s="1"/>
  <c r="P1883" i="3"/>
  <c r="Q1883" i="3" s="1"/>
  <c r="P1882" i="3"/>
  <c r="Q1882" i="3" s="1"/>
  <c r="P1881" i="3"/>
  <c r="Q1881" i="3" s="1"/>
  <c r="Q1880" i="3"/>
  <c r="P1880" i="3"/>
  <c r="P1879" i="3"/>
  <c r="Q1879" i="3" s="1"/>
  <c r="P1878" i="3"/>
  <c r="Q1878" i="3" s="1"/>
  <c r="P1877" i="3"/>
  <c r="Q1877" i="3" s="1"/>
  <c r="P1876" i="3"/>
  <c r="Q1876" i="3" s="1"/>
  <c r="P1875" i="3"/>
  <c r="Q1875" i="3" s="1"/>
  <c r="P1874" i="3"/>
  <c r="Q1874" i="3" s="1"/>
  <c r="P1873" i="3"/>
  <c r="Q1873" i="3" s="1"/>
  <c r="P1872" i="3"/>
  <c r="Q1872" i="3" s="1"/>
  <c r="Q1871" i="3"/>
  <c r="P1871" i="3"/>
  <c r="Q1870" i="3"/>
  <c r="P1870" i="3"/>
  <c r="Q1869" i="3"/>
  <c r="P1869" i="3"/>
  <c r="P1868" i="3"/>
  <c r="Q1868" i="3" s="1"/>
  <c r="P1867" i="3"/>
  <c r="Q1867" i="3" s="1"/>
  <c r="Q1866" i="3"/>
  <c r="P1866" i="3"/>
  <c r="Q1865" i="3"/>
  <c r="P1865" i="3"/>
  <c r="P1864" i="3"/>
  <c r="Q1864" i="3" s="1"/>
  <c r="P1863" i="3"/>
  <c r="Q1863" i="3" s="1"/>
  <c r="P1862" i="3"/>
  <c r="Q1862" i="3" s="1"/>
  <c r="P1861" i="3"/>
  <c r="Q1861" i="3" s="1"/>
  <c r="P1860" i="3"/>
  <c r="Q1860" i="3" s="1"/>
  <c r="P1859" i="3"/>
  <c r="Q1859" i="3" s="1"/>
  <c r="P1858" i="3"/>
  <c r="Q1858" i="3" s="1"/>
  <c r="P1857" i="3"/>
  <c r="Q1857" i="3" s="1"/>
  <c r="P1856" i="3"/>
  <c r="Q1856" i="3" s="1"/>
  <c r="P1855" i="3"/>
  <c r="Q1855" i="3" s="1"/>
  <c r="P1854" i="3"/>
  <c r="Q1854" i="3" s="1"/>
  <c r="P1853" i="3"/>
  <c r="Q1853" i="3" s="1"/>
  <c r="P1852" i="3"/>
  <c r="Q1852" i="3" s="1"/>
  <c r="Q1851" i="3"/>
  <c r="P1851" i="3"/>
  <c r="Q1850" i="3"/>
  <c r="P1850" i="3"/>
  <c r="P1849" i="3"/>
  <c r="Q1849" i="3" s="1"/>
  <c r="P1848" i="3"/>
  <c r="Q1848" i="3" s="1"/>
  <c r="P1847" i="3"/>
  <c r="Q1847" i="3" s="1"/>
  <c r="Q1846" i="3"/>
  <c r="P1846" i="3"/>
  <c r="P1845" i="3"/>
  <c r="Q1845" i="3" s="1"/>
  <c r="Q1844" i="3"/>
  <c r="P1844" i="3"/>
  <c r="P1843" i="3"/>
  <c r="Q1843" i="3" s="1"/>
  <c r="P1842" i="3"/>
  <c r="Q1842" i="3" s="1"/>
  <c r="P1841" i="3"/>
  <c r="Q1841" i="3" s="1"/>
  <c r="P1840" i="3"/>
  <c r="Q1840" i="3" s="1"/>
  <c r="P1839" i="3"/>
  <c r="Q1839" i="3" s="1"/>
  <c r="P1838" i="3"/>
  <c r="Q1838" i="3" s="1"/>
  <c r="P1837" i="3"/>
  <c r="Q1837" i="3" s="1"/>
  <c r="Q1836" i="3"/>
  <c r="P1836" i="3"/>
  <c r="P1835" i="3"/>
  <c r="Q1835" i="3" s="1"/>
  <c r="P1834" i="3"/>
  <c r="Q1834" i="3" s="1"/>
  <c r="P1833" i="3"/>
  <c r="Q1833" i="3" s="1"/>
  <c r="P1832" i="3"/>
  <c r="Q1832" i="3" s="1"/>
  <c r="Q1831" i="3"/>
  <c r="P1831" i="3"/>
  <c r="Q1830" i="3"/>
  <c r="P1830" i="3"/>
  <c r="P1829" i="3"/>
  <c r="Q1829" i="3" s="1"/>
  <c r="P1828" i="3"/>
  <c r="Q1828" i="3" s="1"/>
  <c r="P1827" i="3"/>
  <c r="Q1827" i="3" s="1"/>
  <c r="P1826" i="3"/>
  <c r="Q1826" i="3" s="1"/>
  <c r="P1825" i="3"/>
  <c r="Q1825" i="3" s="1"/>
  <c r="Q1824" i="3"/>
  <c r="P1824" i="3"/>
  <c r="P1823" i="3"/>
  <c r="Q1823" i="3" s="1"/>
  <c r="Q1822" i="3"/>
  <c r="P1822" i="3"/>
  <c r="P1821" i="3"/>
  <c r="Q1821" i="3" s="1"/>
  <c r="P1820" i="3"/>
  <c r="Q1820" i="3" s="1"/>
  <c r="P1819" i="3"/>
  <c r="Q1819" i="3" s="1"/>
  <c r="P1818" i="3"/>
  <c r="Q1818" i="3" s="1"/>
  <c r="P1817" i="3"/>
  <c r="Q1817" i="3" s="1"/>
  <c r="Q1816" i="3"/>
  <c r="P1816" i="3"/>
  <c r="P1815" i="3"/>
  <c r="Q1815" i="3" s="1"/>
  <c r="P1814" i="3"/>
  <c r="Q1814" i="3" s="1"/>
  <c r="P1813" i="3"/>
  <c r="Q1813" i="3" s="1"/>
  <c r="P1812" i="3"/>
  <c r="Q1812" i="3" s="1"/>
  <c r="Q1811" i="3"/>
  <c r="P1811" i="3"/>
  <c r="Q1810" i="3"/>
  <c r="P1810" i="3"/>
  <c r="P1809" i="3"/>
  <c r="Q1809" i="3" s="1"/>
  <c r="P1808" i="3"/>
  <c r="Q1808" i="3" s="1"/>
  <c r="P1807" i="3"/>
  <c r="Q1807" i="3" s="1"/>
  <c r="P1806" i="3"/>
  <c r="Q1806" i="3" s="1"/>
  <c r="P1805" i="3"/>
  <c r="Q1805" i="3" s="1"/>
  <c r="Q1804" i="3"/>
  <c r="P1804" i="3"/>
  <c r="P1803" i="3"/>
  <c r="Q1803" i="3" s="1"/>
  <c r="Q1802" i="3"/>
  <c r="P1802" i="3"/>
  <c r="P1801" i="3"/>
  <c r="Q1801" i="3" s="1"/>
  <c r="P1800" i="3"/>
  <c r="Q1800" i="3" s="1"/>
  <c r="P1799" i="3"/>
  <c r="Q1799" i="3" s="1"/>
  <c r="P1798" i="3"/>
  <c r="Q1798" i="3" s="1"/>
  <c r="P1797" i="3"/>
  <c r="Q1797" i="3" s="1"/>
  <c r="Q1796" i="3"/>
  <c r="P1796" i="3"/>
  <c r="P1795" i="3"/>
  <c r="Q1795" i="3" s="1"/>
  <c r="P1794" i="3"/>
  <c r="Q1794" i="3" s="1"/>
  <c r="P1793" i="3"/>
  <c r="Q1793" i="3" s="1"/>
  <c r="P1792" i="3"/>
  <c r="Q1792" i="3" s="1"/>
  <c r="Q1791" i="3"/>
  <c r="P1791" i="3"/>
  <c r="Q1790" i="3"/>
  <c r="P1790" i="3"/>
  <c r="P1789" i="3"/>
  <c r="Q1789" i="3" s="1"/>
  <c r="P1788" i="3"/>
  <c r="Q1788" i="3" s="1"/>
  <c r="P1787" i="3"/>
  <c r="Q1787" i="3" s="1"/>
  <c r="P1786" i="3"/>
  <c r="Q1786" i="3" s="1"/>
  <c r="Q1785" i="3"/>
  <c r="P1785" i="3"/>
  <c r="Q1784" i="3"/>
  <c r="P1784" i="3"/>
  <c r="P1783" i="3"/>
  <c r="Q1783" i="3" s="1"/>
  <c r="Q1782" i="3"/>
  <c r="P1782" i="3"/>
  <c r="P1781" i="3"/>
  <c r="Q1781" i="3" s="1"/>
  <c r="P1780" i="3"/>
  <c r="Q1780" i="3" s="1"/>
  <c r="P1779" i="3"/>
  <c r="Q1779" i="3" s="1"/>
  <c r="Q1778" i="3"/>
  <c r="P1778" i="3"/>
  <c r="P1777" i="3"/>
  <c r="Q1777" i="3" s="1"/>
  <c r="Q1776" i="3"/>
  <c r="P1776" i="3"/>
  <c r="P1775" i="3"/>
  <c r="Q1775" i="3" s="1"/>
  <c r="Q1774" i="3"/>
  <c r="P1774" i="3"/>
  <c r="P1773" i="3"/>
  <c r="Q1773" i="3" s="1"/>
  <c r="P1772" i="3"/>
  <c r="Q1772" i="3" s="1"/>
  <c r="Q1771" i="3"/>
  <c r="P1771" i="3"/>
  <c r="Q1770" i="3"/>
  <c r="P1770" i="3"/>
  <c r="P1769" i="3"/>
  <c r="Q1769" i="3" s="1"/>
  <c r="P1768" i="3"/>
  <c r="Q1768" i="3" s="1"/>
  <c r="P1767" i="3"/>
  <c r="Q1767" i="3" s="1"/>
  <c r="P1766" i="3"/>
  <c r="Q1766" i="3" s="1"/>
  <c r="Q1765" i="3"/>
  <c r="P1765" i="3"/>
  <c r="Q1764" i="3"/>
  <c r="P1764" i="3"/>
  <c r="Q1763" i="3"/>
  <c r="P1763" i="3"/>
  <c r="Q1762" i="3"/>
  <c r="P1762" i="3"/>
  <c r="Q1761" i="3"/>
  <c r="P1761" i="3"/>
  <c r="P1760" i="3"/>
  <c r="Q1760" i="3" s="1"/>
  <c r="P1759" i="3"/>
  <c r="Q1759" i="3" s="1"/>
  <c r="Q1758" i="3"/>
  <c r="P1758" i="3"/>
  <c r="P1757" i="3"/>
  <c r="Q1757" i="3" s="1"/>
  <c r="Q1756" i="3"/>
  <c r="P1756" i="3"/>
  <c r="P1755" i="3"/>
  <c r="Q1755" i="3" s="1"/>
  <c r="P1754" i="3"/>
  <c r="Q1754" i="3" s="1"/>
  <c r="P1753" i="3"/>
  <c r="Q1753" i="3" s="1"/>
  <c r="P1752" i="3"/>
  <c r="Q1752" i="3" s="1"/>
  <c r="Q1751" i="3"/>
  <c r="P1751" i="3"/>
  <c r="Q1750" i="3"/>
  <c r="P1750" i="3"/>
  <c r="Q1749" i="3"/>
  <c r="P1749" i="3"/>
  <c r="Q1748" i="3"/>
  <c r="P1748" i="3"/>
  <c r="P1747" i="3"/>
  <c r="Q1747" i="3" s="1"/>
  <c r="P1746" i="3"/>
  <c r="Q1746" i="3" s="1"/>
  <c r="P1745" i="3"/>
  <c r="Q1745" i="3" s="1"/>
  <c r="P1744" i="3"/>
  <c r="Q1744" i="3" s="1"/>
  <c r="P1743" i="3"/>
  <c r="Q1743" i="3" s="1"/>
  <c r="P1742" i="3"/>
  <c r="Q1742" i="3" s="1"/>
  <c r="P1741" i="3"/>
  <c r="Q1741" i="3" s="1"/>
  <c r="Q1740" i="3"/>
  <c r="P1740" i="3"/>
  <c r="P1739" i="3"/>
  <c r="Q1739" i="3" s="1"/>
  <c r="Q1738" i="3"/>
  <c r="P1738" i="3"/>
  <c r="Q1737" i="3"/>
  <c r="P1737" i="3"/>
  <c r="Q1736" i="3"/>
  <c r="P1736" i="3"/>
  <c r="P1735" i="3"/>
  <c r="Q1735" i="3" s="1"/>
  <c r="P1734" i="3"/>
  <c r="Q1734" i="3" s="1"/>
  <c r="Q1733" i="3"/>
  <c r="P1733" i="3"/>
  <c r="Q1732" i="3"/>
  <c r="P1732" i="3"/>
  <c r="Q1731" i="3"/>
  <c r="P1731" i="3"/>
  <c r="Q1730" i="3"/>
  <c r="P1730" i="3"/>
  <c r="Q1729" i="3"/>
  <c r="P1729" i="3"/>
  <c r="P1728" i="3"/>
  <c r="Q1728" i="3" s="1"/>
  <c r="Q1727" i="3"/>
  <c r="P1727" i="3"/>
  <c r="Q1726" i="3"/>
  <c r="P1726" i="3"/>
  <c r="Q1725" i="3"/>
  <c r="P1725" i="3"/>
  <c r="P1724" i="3"/>
  <c r="Q1724" i="3" s="1"/>
  <c r="P1723" i="3"/>
  <c r="Q1723" i="3" s="1"/>
  <c r="P1722" i="3"/>
  <c r="Q1722" i="3" s="1"/>
  <c r="Q1721" i="3"/>
  <c r="P1721" i="3"/>
  <c r="P1720" i="3"/>
  <c r="Q1720" i="3" s="1"/>
  <c r="Q1719" i="3"/>
  <c r="P1719" i="3"/>
  <c r="P1718" i="3"/>
  <c r="Q1718" i="3" s="1"/>
  <c r="Q1717" i="3"/>
  <c r="P1717" i="3"/>
  <c r="P1716" i="3"/>
  <c r="Q1716" i="3" s="1"/>
  <c r="P1715" i="3"/>
  <c r="Q1715" i="3" s="1"/>
  <c r="Q1522" i="3"/>
  <c r="P1522" i="3"/>
  <c r="Q1521" i="3"/>
  <c r="P1521" i="3"/>
  <c r="P1520" i="3"/>
  <c r="Q1520" i="3" s="1"/>
  <c r="P1519" i="3"/>
  <c r="Q1519" i="3" s="1"/>
  <c r="Q1518" i="3"/>
  <c r="P1518" i="3"/>
  <c r="Q1517" i="3"/>
  <c r="P1517" i="3"/>
  <c r="Q1516" i="3"/>
  <c r="P1516" i="3"/>
  <c r="Q1515" i="3"/>
  <c r="P1515" i="3"/>
  <c r="Q1514" i="3"/>
  <c r="P1514" i="3"/>
  <c r="Q1513" i="3"/>
  <c r="P1513" i="3"/>
  <c r="Q1512" i="3"/>
  <c r="P1512" i="3"/>
  <c r="Q1511" i="3"/>
  <c r="P1511" i="3"/>
  <c r="Q1510" i="3"/>
  <c r="P1510" i="3"/>
  <c r="Q1509" i="3"/>
  <c r="P1509" i="3"/>
  <c r="Q1508" i="3"/>
  <c r="P1508" i="3"/>
  <c r="Q1507" i="3"/>
  <c r="P1507" i="3"/>
  <c r="Q1506" i="3"/>
  <c r="P1506" i="3"/>
  <c r="P1505" i="3"/>
  <c r="Q1505" i="3" s="1"/>
  <c r="P1504" i="3"/>
  <c r="Q1504" i="3" s="1"/>
  <c r="P1503" i="3"/>
  <c r="Q1503" i="3" s="1"/>
  <c r="P1502" i="3"/>
  <c r="Q1502" i="3" s="1"/>
  <c r="P1501" i="3"/>
  <c r="Q1501" i="3" s="1"/>
  <c r="P1500" i="3"/>
  <c r="Q1500" i="3" s="1"/>
  <c r="P1499" i="3"/>
  <c r="Q1499" i="3" s="1"/>
  <c r="P1498" i="3"/>
  <c r="Q1498" i="3" s="1"/>
  <c r="P1497" i="3"/>
  <c r="Q1497" i="3" s="1"/>
  <c r="Q1694" i="3"/>
  <c r="P1694" i="3"/>
  <c r="Q1693" i="3"/>
  <c r="P1693" i="3"/>
  <c r="P1692" i="3"/>
  <c r="Q1692" i="3" s="1"/>
  <c r="P1691" i="3"/>
  <c r="Q1691" i="3" s="1"/>
  <c r="P1690" i="3"/>
  <c r="Q1690" i="3" s="1"/>
  <c r="Q1689" i="3"/>
  <c r="P1689" i="3"/>
  <c r="Q1688" i="3"/>
  <c r="P1688" i="3"/>
  <c r="Q1687" i="3"/>
  <c r="P1687" i="3"/>
  <c r="P1686" i="3"/>
  <c r="Q1686" i="3" s="1"/>
  <c r="Q1685" i="3"/>
  <c r="P1685" i="3"/>
  <c r="Q1684" i="3"/>
  <c r="P1684" i="3"/>
  <c r="P1683" i="3"/>
  <c r="Q1683" i="3" s="1"/>
  <c r="Q1682" i="3"/>
  <c r="P1682" i="3"/>
  <c r="P1681" i="3"/>
  <c r="Q1681" i="3" s="1"/>
  <c r="Q1680" i="3"/>
  <c r="P1680" i="3"/>
  <c r="Q1679" i="3"/>
  <c r="P1679" i="3"/>
  <c r="P1678" i="3"/>
  <c r="Q1678" i="3" s="1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Q150" i="3" s="1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Q608" i="3" s="1"/>
  <c r="P609" i="3"/>
  <c r="P610" i="3"/>
  <c r="P611" i="3"/>
  <c r="P612" i="3"/>
  <c r="P613" i="3"/>
  <c r="P614" i="3"/>
  <c r="Q614" i="3" s="1"/>
  <c r="P615" i="3"/>
  <c r="P616" i="3"/>
  <c r="Q616" i="3" s="1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Q646" i="3" s="1"/>
  <c r="P647" i="3"/>
  <c r="Q647" i="3" s="1"/>
  <c r="P648" i="3"/>
  <c r="P649" i="3"/>
  <c r="P650" i="3"/>
  <c r="P651" i="3"/>
  <c r="Q651" i="3" s="1"/>
  <c r="P652" i="3"/>
  <c r="Q652" i="3" s="1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Q760" i="3" s="1"/>
  <c r="P761" i="3"/>
  <c r="Q761" i="3" s="1"/>
  <c r="P762" i="3"/>
  <c r="Q762" i="3" s="1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Q799" i="3" s="1"/>
  <c r="P800" i="3"/>
  <c r="Q800" i="3" s="1"/>
  <c r="P801" i="3"/>
  <c r="Q801" i="3" s="1"/>
  <c r="P802" i="3"/>
  <c r="Q802" i="3" s="1"/>
  <c r="P803" i="3"/>
  <c r="Q803" i="3" s="1"/>
  <c r="P804" i="3"/>
  <c r="P805" i="3"/>
  <c r="P806" i="3"/>
  <c r="P807" i="3"/>
  <c r="P808" i="3"/>
  <c r="P809" i="3"/>
  <c r="P810" i="3"/>
  <c r="Q810" i="3" s="1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Q833" i="3" s="1"/>
  <c r="P834" i="3"/>
  <c r="P835" i="3"/>
  <c r="P836" i="3"/>
  <c r="P837" i="3"/>
  <c r="P838" i="3"/>
  <c r="P839" i="3"/>
  <c r="Q839" i="3" s="1"/>
  <c r="P840" i="3"/>
  <c r="Q840" i="3" s="1"/>
  <c r="P841" i="3"/>
  <c r="P842" i="3"/>
  <c r="P843" i="3"/>
  <c r="P844" i="3"/>
  <c r="P845" i="3"/>
  <c r="P846" i="3"/>
  <c r="Q846" i="3" s="1"/>
  <c r="P847" i="3"/>
  <c r="Q847" i="3" s="1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Q901" i="3" s="1"/>
  <c r="P902" i="3"/>
  <c r="P903" i="3"/>
  <c r="Q903" i="3" s="1"/>
  <c r="P904" i="3"/>
  <c r="Q904" i="3" s="1"/>
  <c r="P905" i="3"/>
  <c r="Q905" i="3" s="1"/>
  <c r="P906" i="3"/>
  <c r="Q906" i="3" s="1"/>
  <c r="P907" i="3"/>
  <c r="Q907" i="3" s="1"/>
  <c r="P908" i="3"/>
  <c r="Q908" i="3" s="1"/>
  <c r="P909" i="3"/>
  <c r="Q909" i="3" s="1"/>
  <c r="P910" i="3"/>
  <c r="Q910" i="3" s="1"/>
  <c r="P911" i="3"/>
  <c r="Q911" i="3" s="1"/>
  <c r="P912" i="3"/>
  <c r="Q912" i="3" s="1"/>
  <c r="P913" i="3"/>
  <c r="P914" i="3"/>
  <c r="Q914" i="3" s="1"/>
  <c r="P915" i="3"/>
  <c r="P916" i="3"/>
  <c r="P917" i="3"/>
  <c r="P918" i="3"/>
  <c r="Q918" i="3" s="1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Q948" i="3" s="1"/>
  <c r="P949" i="3"/>
  <c r="Q949" i="3" s="1"/>
  <c r="P950" i="3"/>
  <c r="P951" i="3"/>
  <c r="P952" i="3"/>
  <c r="P953" i="3"/>
  <c r="Q953" i="3" s="1"/>
  <c r="P954" i="3"/>
  <c r="P955" i="3"/>
  <c r="Q955" i="3" s="1"/>
  <c r="P956" i="3"/>
  <c r="Q956" i="3" s="1"/>
  <c r="P957" i="3"/>
  <c r="Q957" i="3" s="1"/>
  <c r="P958" i="3"/>
  <c r="Q958" i="3" s="1"/>
  <c r="P959" i="3"/>
  <c r="Q959" i="3" s="1"/>
  <c r="P960" i="3"/>
  <c r="Q960" i="3" s="1"/>
  <c r="P961" i="3"/>
  <c r="P962" i="3"/>
  <c r="Q962" i="3" s="1"/>
  <c r="P963" i="3"/>
  <c r="P964" i="3"/>
  <c r="P965" i="3"/>
  <c r="Q965" i="3" s="1"/>
  <c r="P966" i="3"/>
  <c r="Q966" i="3" s="1"/>
  <c r="P967" i="3"/>
  <c r="P968" i="3"/>
  <c r="P969" i="3"/>
  <c r="Q969" i="3" s="1"/>
  <c r="P970" i="3"/>
  <c r="P971" i="3"/>
  <c r="P972" i="3"/>
  <c r="Q972" i="3" s="1"/>
  <c r="P973" i="3"/>
  <c r="Q973" i="3" s="1"/>
  <c r="P974" i="3"/>
  <c r="Q974" i="3" s="1"/>
  <c r="P975" i="3"/>
  <c r="Q975" i="3" s="1"/>
  <c r="P976" i="3"/>
  <c r="Q976" i="3" s="1"/>
  <c r="P977" i="3"/>
  <c r="Q977" i="3" s="1"/>
  <c r="P978" i="3"/>
  <c r="P979" i="3"/>
  <c r="Q979" i="3" s="1"/>
  <c r="P980" i="3"/>
  <c r="P981" i="3"/>
  <c r="P982" i="3"/>
  <c r="Q982" i="3" s="1"/>
  <c r="P983" i="3"/>
  <c r="Q983" i="3" s="1"/>
  <c r="P984" i="3"/>
  <c r="P985" i="3"/>
  <c r="P986" i="3"/>
  <c r="P987" i="3"/>
  <c r="Q987" i="3" s="1"/>
  <c r="P988" i="3"/>
  <c r="Q988" i="3" s="1"/>
  <c r="P989" i="3"/>
  <c r="Q989" i="3" s="1"/>
  <c r="P990" i="3"/>
  <c r="Q990" i="3" s="1"/>
  <c r="P991" i="3"/>
  <c r="P992" i="3"/>
  <c r="P993" i="3"/>
  <c r="Q993" i="3" s="1"/>
  <c r="P994" i="3"/>
  <c r="Q994" i="3" s="1"/>
  <c r="P995" i="3"/>
  <c r="Q995" i="3" s="1"/>
  <c r="P996" i="3"/>
  <c r="P997" i="3"/>
  <c r="P998" i="3"/>
  <c r="P999" i="3"/>
  <c r="Q999" i="3" s="1"/>
  <c r="P1000" i="3"/>
  <c r="Q1000" i="3" s="1"/>
  <c r="P1001" i="3"/>
  <c r="P1002" i="3"/>
  <c r="P1003" i="3"/>
  <c r="P1004" i="3"/>
  <c r="P1005" i="3"/>
  <c r="Q1005" i="3" s="1"/>
  <c r="P1006" i="3"/>
  <c r="P1007" i="3"/>
  <c r="Q1007" i="3" s="1"/>
  <c r="P1008" i="3"/>
  <c r="P1009" i="3"/>
  <c r="P1010" i="3"/>
  <c r="P1011" i="3"/>
  <c r="Q1011" i="3" s="1"/>
  <c r="P1012" i="3"/>
  <c r="Q1012" i="3" s="1"/>
  <c r="P1013" i="3"/>
  <c r="P1014" i="3"/>
  <c r="P1015" i="3"/>
  <c r="Q1015" i="3" s="1"/>
  <c r="P1016" i="3"/>
  <c r="P1017" i="3"/>
  <c r="P1018" i="3"/>
  <c r="Q1018" i="3" s="1"/>
  <c r="P1019" i="3"/>
  <c r="P1020" i="3"/>
  <c r="P1021" i="3"/>
  <c r="P1022" i="3"/>
  <c r="P1023" i="3"/>
  <c r="Q1023" i="3" s="1"/>
  <c r="P1024" i="3"/>
  <c r="Q1024" i="3" s="1"/>
  <c r="P1025" i="3"/>
  <c r="Q1025" i="3" s="1"/>
  <c r="P1026" i="3"/>
  <c r="Q1026" i="3" s="1"/>
  <c r="P1027" i="3"/>
  <c r="P1028" i="3"/>
  <c r="P1029" i="3"/>
  <c r="P1030" i="3"/>
  <c r="Q1030" i="3" s="1"/>
  <c r="P1031" i="3"/>
  <c r="Q1031" i="3" s="1"/>
  <c r="P1032" i="3"/>
  <c r="P1033" i="3"/>
  <c r="P1034" i="3"/>
  <c r="P1035" i="3"/>
  <c r="Q1035" i="3" s="1"/>
  <c r="P1036" i="3"/>
  <c r="P1037" i="3"/>
  <c r="P1038" i="3"/>
  <c r="P1039" i="3"/>
  <c r="P1040" i="3"/>
  <c r="Q1040" i="3" s="1"/>
  <c r="P1041" i="3"/>
  <c r="Q1041" i="3" s="1"/>
  <c r="P1042" i="3"/>
  <c r="Q1042" i="3" s="1"/>
  <c r="P1043" i="3"/>
  <c r="Q1043" i="3" s="1"/>
  <c r="P1044" i="3"/>
  <c r="Q1044" i="3" s="1"/>
  <c r="P1045" i="3"/>
  <c r="Q1045" i="3" s="1"/>
  <c r="P1046" i="3"/>
  <c r="Q1046" i="3" s="1"/>
  <c r="P1047" i="3"/>
  <c r="Q1047" i="3" s="1"/>
  <c r="P1048" i="3"/>
  <c r="Q1048" i="3" s="1"/>
  <c r="P1049" i="3"/>
  <c r="Q1049" i="3" s="1"/>
  <c r="P1050" i="3"/>
  <c r="Q1050" i="3" s="1"/>
  <c r="P1051" i="3"/>
  <c r="P1052" i="3"/>
  <c r="Q1052" i="3" s="1"/>
  <c r="P1053" i="3"/>
  <c r="P1054" i="3"/>
  <c r="P1055" i="3"/>
  <c r="P1056" i="3"/>
  <c r="Q1056" i="3" s="1"/>
  <c r="P1057" i="3"/>
  <c r="P1058" i="3"/>
  <c r="Q1058" i="3" s="1"/>
  <c r="P1059" i="3"/>
  <c r="Q1059" i="3" s="1"/>
  <c r="P1060" i="3"/>
  <c r="Q1060" i="3" s="1"/>
  <c r="P1061" i="3"/>
  <c r="Q1061" i="3" s="1"/>
  <c r="P1062" i="3"/>
  <c r="Q1062" i="3" s="1"/>
  <c r="P1063" i="3"/>
  <c r="Q1063" i="3" s="1"/>
  <c r="P1064" i="3"/>
  <c r="Q1064" i="3" s="1"/>
  <c r="P1065" i="3"/>
  <c r="Q1065" i="3" s="1"/>
  <c r="P1066" i="3"/>
  <c r="Q1066" i="3" s="1"/>
  <c r="P1067" i="3"/>
  <c r="Q1067" i="3" s="1"/>
  <c r="P1068" i="3"/>
  <c r="P1069" i="3"/>
  <c r="Q1069" i="3" s="1"/>
  <c r="P1070" i="3"/>
  <c r="P1071" i="3"/>
  <c r="P1072" i="3"/>
  <c r="P1073" i="3"/>
  <c r="P1074" i="3"/>
  <c r="Q1074" i="3" s="1"/>
  <c r="P1075" i="3"/>
  <c r="Q1075" i="3" s="1"/>
  <c r="P1076" i="3"/>
  <c r="Q1076" i="3" s="1"/>
  <c r="P1077" i="3"/>
  <c r="Q1077" i="3" s="1"/>
  <c r="P1078" i="3"/>
  <c r="P1079" i="3"/>
  <c r="P1080" i="3"/>
  <c r="Q1080" i="3" s="1"/>
  <c r="P1081" i="3"/>
  <c r="Q1081" i="3" s="1"/>
  <c r="P1082" i="3"/>
  <c r="Q1082" i="3" s="1"/>
  <c r="P1083" i="3"/>
  <c r="Q1083" i="3" s="1"/>
  <c r="P1084" i="3"/>
  <c r="P1085" i="3"/>
  <c r="P1086" i="3"/>
  <c r="Q1086" i="3" s="1"/>
  <c r="P1087" i="3"/>
  <c r="Q1087" i="3" s="1"/>
  <c r="P1088" i="3"/>
  <c r="P1089" i="3"/>
  <c r="P1090" i="3"/>
  <c r="P1091" i="3"/>
  <c r="P1092" i="3"/>
  <c r="P1093" i="3"/>
  <c r="P1094" i="3"/>
  <c r="P1095" i="3"/>
  <c r="P1096" i="3"/>
  <c r="P1097" i="3"/>
  <c r="P1098" i="3"/>
  <c r="Q1098" i="3" s="1"/>
  <c r="P1099" i="3"/>
  <c r="Q1099" i="3" s="1"/>
  <c r="P1100" i="3"/>
  <c r="P1101" i="3"/>
  <c r="P1102" i="3"/>
  <c r="Q1102" i="3" s="1"/>
  <c r="P1103" i="3"/>
  <c r="P1104" i="3"/>
  <c r="P1105" i="3"/>
  <c r="Q1105" i="3" s="1"/>
  <c r="P1106" i="3"/>
  <c r="P1107" i="3"/>
  <c r="Q1107" i="3" s="1"/>
  <c r="P1108" i="3"/>
  <c r="P1109" i="3"/>
  <c r="P1110" i="3"/>
  <c r="Q1110" i="3" s="1"/>
  <c r="P1111" i="3"/>
  <c r="Q1111" i="3" s="1"/>
  <c r="P1112" i="3"/>
  <c r="Q1112" i="3" s="1"/>
  <c r="P1113" i="3"/>
  <c r="Q1113" i="3" s="1"/>
  <c r="P1114" i="3"/>
  <c r="Q1114" i="3" s="1"/>
  <c r="P1115" i="3"/>
  <c r="Q1115" i="3" s="1"/>
  <c r="P1116" i="3"/>
  <c r="P1117" i="3"/>
  <c r="Q1117" i="3" s="1"/>
  <c r="P1118" i="3"/>
  <c r="Q1118" i="3" s="1"/>
  <c r="P1119" i="3"/>
  <c r="Q1119" i="3" s="1"/>
  <c r="P1120" i="3"/>
  <c r="P1121" i="3"/>
  <c r="Q1121" i="3" s="1"/>
  <c r="P1122" i="3"/>
  <c r="Q1122" i="3" s="1"/>
  <c r="P1123" i="3"/>
  <c r="Q1123" i="3" s="1"/>
  <c r="P1124" i="3"/>
  <c r="Q1124" i="3" s="1"/>
  <c r="P1125" i="3"/>
  <c r="P1126" i="3"/>
  <c r="P1127" i="3"/>
  <c r="Q1127" i="3" s="1"/>
  <c r="P1128" i="3"/>
  <c r="Q1128" i="3" s="1"/>
  <c r="P1129" i="3"/>
  <c r="P1130" i="3"/>
  <c r="P1131" i="3"/>
  <c r="P1132" i="3"/>
  <c r="Q1132" i="3" s="1"/>
  <c r="P1133" i="3"/>
  <c r="P1134" i="3"/>
  <c r="P1135" i="3"/>
  <c r="P1136" i="3"/>
  <c r="P1137" i="3"/>
  <c r="P1138" i="3"/>
  <c r="P1139" i="3"/>
  <c r="P1140" i="3"/>
  <c r="P1141" i="3"/>
  <c r="P1142" i="3"/>
  <c r="P1143" i="3"/>
  <c r="Q1143" i="3" s="1"/>
  <c r="P1144" i="3"/>
  <c r="Q1144" i="3" s="1"/>
  <c r="P1145" i="3"/>
  <c r="Q1145" i="3" s="1"/>
  <c r="P1146" i="3"/>
  <c r="Q1146" i="3" s="1"/>
  <c r="P1147" i="3"/>
  <c r="Q1147" i="3" s="1"/>
  <c r="P1148" i="3"/>
  <c r="Q1148" i="3" s="1"/>
  <c r="P1149" i="3"/>
  <c r="Q1149" i="3" s="1"/>
  <c r="P1150" i="3"/>
  <c r="P1151" i="3"/>
  <c r="Q1151" i="3" s="1"/>
  <c r="P1152" i="3"/>
  <c r="P1153" i="3"/>
  <c r="Q1153" i="3" s="1"/>
  <c r="P1154" i="3"/>
  <c r="Q1154" i="3" s="1"/>
  <c r="P1155" i="3"/>
  <c r="P1156" i="3"/>
  <c r="Q1156" i="3" s="1"/>
  <c r="P1157" i="3"/>
  <c r="Q1157" i="3" s="1"/>
  <c r="P1158" i="3"/>
  <c r="P1159" i="3"/>
  <c r="P1160" i="3"/>
  <c r="P1161" i="3"/>
  <c r="Q1161" i="3" s="1"/>
  <c r="P1162" i="3"/>
  <c r="Q1162" i="3" s="1"/>
  <c r="P1163" i="3"/>
  <c r="Q1163" i="3" s="1"/>
  <c r="P1164" i="3"/>
  <c r="Q1164" i="3" s="1"/>
  <c r="P1165" i="3"/>
  <c r="Q1165" i="3" s="1"/>
  <c r="P1166" i="3"/>
  <c r="Q1166" i="3" s="1"/>
  <c r="P1167" i="3"/>
  <c r="P1168" i="3"/>
  <c r="P1169" i="3"/>
  <c r="Q1169" i="3" s="1"/>
  <c r="P1170" i="3"/>
  <c r="Q1170" i="3" s="1"/>
  <c r="P1171" i="3"/>
  <c r="P1172" i="3"/>
  <c r="Q1172" i="3" s="1"/>
  <c r="P1173" i="3"/>
  <c r="Q1173" i="3" s="1"/>
  <c r="P1174" i="3"/>
  <c r="P1175" i="3"/>
  <c r="P1176" i="3"/>
  <c r="P1177" i="3"/>
  <c r="Q1177" i="3" s="1"/>
  <c r="P1178" i="3"/>
  <c r="P1179" i="3"/>
  <c r="Q1179" i="3" s="1"/>
  <c r="P1180" i="3"/>
  <c r="Q1180" i="3" s="1"/>
  <c r="P1181" i="3"/>
  <c r="Q1181" i="3" s="1"/>
  <c r="P1182" i="3"/>
  <c r="Q1182" i="3" s="1"/>
  <c r="P1183" i="3"/>
  <c r="Q1183" i="3" s="1"/>
  <c r="P1184" i="3"/>
  <c r="P1185" i="3"/>
  <c r="P1186" i="3"/>
  <c r="Q1186" i="3" s="1"/>
  <c r="P1187" i="3"/>
  <c r="Q1187" i="3" s="1"/>
  <c r="P1188" i="3"/>
  <c r="P1189" i="3"/>
  <c r="Q1189" i="3" s="1"/>
  <c r="P1190" i="3"/>
  <c r="Q1190" i="3" s="1"/>
  <c r="P1191" i="3"/>
  <c r="P1192" i="3"/>
  <c r="P1193" i="3"/>
  <c r="P1194" i="3"/>
  <c r="P1195" i="3"/>
  <c r="Q1195" i="3" s="1"/>
  <c r="P1196" i="3"/>
  <c r="Q1196" i="3" s="1"/>
  <c r="P1197" i="3"/>
  <c r="Q1197" i="3" s="1"/>
  <c r="P1198" i="3"/>
  <c r="Q1198" i="3" s="1"/>
  <c r="P1199" i="3"/>
  <c r="Q1199" i="3" s="1"/>
  <c r="P1200" i="3"/>
  <c r="Q1200" i="3" s="1"/>
  <c r="P1201" i="3"/>
  <c r="Q1201" i="3" s="1"/>
  <c r="P1202" i="3"/>
  <c r="Q1202" i="3" s="1"/>
  <c r="P1203" i="3"/>
  <c r="Q1203" i="3" s="1"/>
  <c r="P1204" i="3"/>
  <c r="Q1204" i="3" s="1"/>
  <c r="P1205" i="3"/>
  <c r="P1206" i="3"/>
  <c r="Q1206" i="3" s="1"/>
  <c r="P1207" i="3"/>
  <c r="Q1207" i="3" s="1"/>
  <c r="P1208" i="3"/>
  <c r="Q1208" i="3" s="1"/>
  <c r="P1209" i="3"/>
  <c r="P1210" i="3"/>
  <c r="P1211" i="3"/>
  <c r="P1212" i="3"/>
  <c r="P1213" i="3"/>
  <c r="P1214" i="3"/>
  <c r="P1215" i="3"/>
  <c r="Q1215" i="3" s="1"/>
  <c r="P1216" i="3"/>
  <c r="P1217" i="3"/>
  <c r="P1218" i="3"/>
  <c r="Q1218" i="3" s="1"/>
  <c r="P1219" i="3"/>
  <c r="Q1219" i="3" s="1"/>
  <c r="P1220" i="3"/>
  <c r="Q1220" i="3" s="1"/>
  <c r="P1221" i="3"/>
  <c r="P1222" i="3"/>
  <c r="P1223" i="3"/>
  <c r="P1224" i="3"/>
  <c r="P1225" i="3"/>
  <c r="P1226" i="3"/>
  <c r="Q1226" i="3" s="1"/>
  <c r="P1227" i="3"/>
  <c r="Q1227" i="3" s="1"/>
  <c r="P1228" i="3"/>
  <c r="Q1228" i="3" s="1"/>
  <c r="P1229" i="3"/>
  <c r="P1230" i="3"/>
  <c r="P1231" i="3"/>
  <c r="Q1231" i="3" s="1"/>
  <c r="P1232" i="3"/>
  <c r="Q1232" i="3" s="1"/>
  <c r="P1233" i="3"/>
  <c r="Q1233" i="3" s="1"/>
  <c r="P1234" i="3"/>
  <c r="P1235" i="3"/>
  <c r="P1236" i="3"/>
  <c r="Q1236" i="3" s="1"/>
  <c r="P1237" i="3"/>
  <c r="Q1237" i="3" s="1"/>
  <c r="P1238" i="3"/>
  <c r="Q1238" i="3" s="1"/>
  <c r="P1239" i="3"/>
  <c r="P1240" i="3"/>
  <c r="P1241" i="3"/>
  <c r="P1242" i="3"/>
  <c r="P1243" i="3"/>
  <c r="Q1243" i="3" s="1"/>
  <c r="P1244" i="3"/>
  <c r="Q1244" i="3" s="1"/>
  <c r="P1245" i="3"/>
  <c r="P1246" i="3"/>
  <c r="P1247" i="3"/>
  <c r="P1248" i="3"/>
  <c r="Q1248" i="3" s="1"/>
  <c r="P1249" i="3"/>
  <c r="Q1249" i="3" s="1"/>
  <c r="P1250" i="3"/>
  <c r="Q1250" i="3" s="1"/>
  <c r="P1251" i="3"/>
  <c r="Q1251" i="3" s="1"/>
  <c r="P1252" i="3"/>
  <c r="Q1252" i="3" s="1"/>
  <c r="P1253" i="3"/>
  <c r="Q1253" i="3" s="1"/>
  <c r="P1254" i="3"/>
  <c r="Q1254" i="3" s="1"/>
  <c r="P1255" i="3"/>
  <c r="Q1255" i="3" s="1"/>
  <c r="P1256" i="3"/>
  <c r="P1257" i="3"/>
  <c r="P1258" i="3"/>
  <c r="Q1258" i="3" s="1"/>
  <c r="P1259" i="3"/>
  <c r="Q1259" i="3" s="1"/>
  <c r="P1260" i="3"/>
  <c r="Q1260" i="3" s="1"/>
  <c r="P1261" i="3"/>
  <c r="P1262" i="3"/>
  <c r="P1263" i="3"/>
  <c r="P1264" i="3"/>
  <c r="P1265" i="3"/>
  <c r="Q1265" i="3" s="1"/>
  <c r="P1266" i="3"/>
  <c r="Q1266" i="3" s="1"/>
  <c r="P1267" i="3"/>
  <c r="P1268" i="3"/>
  <c r="P1269" i="3"/>
  <c r="Q1269" i="3" s="1"/>
  <c r="P1270" i="3"/>
  <c r="Q1270" i="3" s="1"/>
  <c r="P1271" i="3"/>
  <c r="P1272" i="3"/>
  <c r="P1273" i="3"/>
  <c r="P1274" i="3"/>
  <c r="P1275" i="3"/>
  <c r="P1276" i="3"/>
  <c r="Q1276" i="3" s="1"/>
  <c r="P1277" i="3"/>
  <c r="Q1277" i="3" s="1"/>
  <c r="P1278" i="3"/>
  <c r="Q1278" i="3" s="1"/>
  <c r="P1279" i="3"/>
  <c r="P1280" i="3"/>
  <c r="P1281" i="3"/>
  <c r="Q1281" i="3" s="1"/>
  <c r="P1282" i="3"/>
  <c r="P1283" i="3"/>
  <c r="Q1283" i="3" s="1"/>
  <c r="P1284" i="3"/>
  <c r="P1285" i="3"/>
  <c r="P1286" i="3"/>
  <c r="P1287" i="3"/>
  <c r="Q1287" i="3" s="1"/>
  <c r="P1288" i="3"/>
  <c r="P1289" i="3"/>
  <c r="Q1289" i="3" s="1"/>
  <c r="P1290" i="3"/>
  <c r="Q1290" i="3" s="1"/>
  <c r="P1291" i="3"/>
  <c r="Q1291" i="3" s="1"/>
  <c r="P1292" i="3"/>
  <c r="P1293" i="3"/>
  <c r="P1294" i="3"/>
  <c r="P1295" i="3"/>
  <c r="P1296" i="3"/>
  <c r="Q1296" i="3" s="1"/>
  <c r="P1297" i="3"/>
  <c r="Q1297" i="3" s="1"/>
  <c r="P1298" i="3"/>
  <c r="Q1298" i="3" s="1"/>
  <c r="P1299" i="3"/>
  <c r="Q1299" i="3" s="1"/>
  <c r="P1300" i="3"/>
  <c r="P1301" i="3"/>
  <c r="Q1301" i="3" s="1"/>
  <c r="P1302" i="3"/>
  <c r="P1303" i="3"/>
  <c r="Q1303" i="3" s="1"/>
  <c r="P1304" i="3"/>
  <c r="Q1304" i="3" s="1"/>
  <c r="P1305" i="3"/>
  <c r="P1306" i="3"/>
  <c r="P1307" i="3"/>
  <c r="P1308" i="3"/>
  <c r="Q1308" i="3" s="1"/>
  <c r="P1309" i="3"/>
  <c r="P1310" i="3"/>
  <c r="P1311" i="3"/>
  <c r="P1312" i="3"/>
  <c r="Q1312" i="3" s="1"/>
  <c r="P1313" i="3"/>
  <c r="P1314" i="3"/>
  <c r="P1315" i="3"/>
  <c r="P1316" i="3"/>
  <c r="P1317" i="3"/>
  <c r="P1318" i="3"/>
  <c r="Q1318" i="3" s="1"/>
  <c r="P1319" i="3"/>
  <c r="Q1319" i="3" s="1"/>
  <c r="P1320" i="3"/>
  <c r="P1321" i="3"/>
  <c r="Q1321" i="3" s="1"/>
  <c r="P1322" i="3"/>
  <c r="P1323" i="3"/>
  <c r="Q1323" i="3" s="1"/>
  <c r="P1324" i="3"/>
  <c r="Q1324" i="3" s="1"/>
  <c r="P1325" i="3"/>
  <c r="P1326" i="3"/>
  <c r="P1327" i="3"/>
  <c r="P1328" i="3"/>
  <c r="P1329" i="3"/>
  <c r="Q1329" i="3" s="1"/>
  <c r="P1330" i="3"/>
  <c r="P1331" i="3"/>
  <c r="P1332" i="3"/>
  <c r="Q1332" i="3" s="1"/>
  <c r="P1333" i="3"/>
  <c r="P1334" i="3"/>
  <c r="Q1334" i="3" s="1"/>
  <c r="P1335" i="3"/>
  <c r="P1336" i="3"/>
  <c r="P1337" i="3"/>
  <c r="Q1337" i="3" s="1"/>
  <c r="P1338" i="3"/>
  <c r="Q1338" i="3" s="1"/>
  <c r="P1339" i="3"/>
  <c r="Q1339" i="3" s="1"/>
  <c r="P1340" i="3"/>
  <c r="Q1340" i="3" s="1"/>
  <c r="P1341" i="3"/>
  <c r="P1342" i="3"/>
  <c r="P1343" i="3"/>
  <c r="Q1343" i="3" s="1"/>
  <c r="P1344" i="3"/>
  <c r="P1345" i="3"/>
  <c r="P1346" i="3"/>
  <c r="P1347" i="3"/>
  <c r="P1348" i="3"/>
  <c r="Q1348" i="3" s="1"/>
  <c r="P1349" i="3"/>
  <c r="Q1349" i="3" s="1"/>
  <c r="P1350" i="3"/>
  <c r="Q1350" i="3" s="1"/>
  <c r="P1351" i="3"/>
  <c r="P1352" i="3"/>
  <c r="Q1352" i="3" s="1"/>
  <c r="P1353" i="3"/>
  <c r="P1354" i="3"/>
  <c r="Q1354" i="3" s="1"/>
  <c r="P1355" i="3"/>
  <c r="Q1355" i="3" s="1"/>
  <c r="P1356" i="3"/>
  <c r="P1357" i="3"/>
  <c r="P1358" i="3"/>
  <c r="Q1358" i="3" s="1"/>
  <c r="P1359" i="3"/>
  <c r="P1360" i="3"/>
  <c r="P1361" i="3"/>
  <c r="Q1361" i="3" s="1"/>
  <c r="P1362" i="3"/>
  <c r="Q1362" i="3" s="1"/>
  <c r="P1363" i="3"/>
  <c r="Q1363" i="3" s="1"/>
  <c r="P1364" i="3"/>
  <c r="P1365" i="3"/>
  <c r="P1366" i="3"/>
  <c r="Q1366" i="3" s="1"/>
  <c r="P1367" i="3"/>
  <c r="Q1367" i="3" s="1"/>
  <c r="P1368" i="3"/>
  <c r="Q1368" i="3" s="1"/>
  <c r="P1369" i="3"/>
  <c r="Q1369" i="3" s="1"/>
  <c r="P1370" i="3"/>
  <c r="P1371" i="3"/>
  <c r="Q1371" i="3" s="1"/>
  <c r="P1372" i="3"/>
  <c r="P1373" i="3"/>
  <c r="Q1373" i="3" s="1"/>
  <c r="P1374" i="3"/>
  <c r="Q1374" i="3" s="1"/>
  <c r="P1375" i="3"/>
  <c r="Q1375" i="3" s="1"/>
  <c r="P1376" i="3"/>
  <c r="P1377" i="3"/>
  <c r="Q1377" i="3" s="1"/>
  <c r="P1378" i="3"/>
  <c r="P1379" i="3"/>
  <c r="P1380" i="3"/>
  <c r="Q1380" i="3" s="1"/>
  <c r="P1381" i="3"/>
  <c r="Q1381" i="3" s="1"/>
  <c r="P1382" i="3"/>
  <c r="P1383" i="3"/>
  <c r="P1384" i="3"/>
  <c r="P1385" i="3"/>
  <c r="P1386" i="3"/>
  <c r="P1387" i="3"/>
  <c r="Q1387" i="3" s="1"/>
  <c r="P1388" i="3"/>
  <c r="P1389" i="3"/>
  <c r="P1390" i="3"/>
  <c r="P1391" i="3"/>
  <c r="P1392" i="3"/>
  <c r="Q1392" i="3" s="1"/>
  <c r="P1393" i="3"/>
  <c r="Q1393" i="3" s="1"/>
  <c r="P1394" i="3"/>
  <c r="Q1394" i="3" s="1"/>
  <c r="P1395" i="3"/>
  <c r="P1396" i="3"/>
  <c r="Q1396" i="3" s="1"/>
  <c r="P1397" i="3"/>
  <c r="P1398" i="3"/>
  <c r="Q1398" i="3" s="1"/>
  <c r="P1399" i="3"/>
  <c r="P1400" i="3"/>
  <c r="Q1400" i="3" s="1"/>
  <c r="P1401" i="3"/>
  <c r="Q1401" i="3" s="1"/>
  <c r="P1402" i="3"/>
  <c r="Q1402" i="3" s="1"/>
  <c r="P1403" i="3"/>
  <c r="Q1403" i="3" s="1"/>
  <c r="P1404" i="3"/>
  <c r="P1405" i="3"/>
  <c r="P1406" i="3"/>
  <c r="Q1406" i="3" s="1"/>
  <c r="P1407" i="3"/>
  <c r="P1408" i="3"/>
  <c r="Q1408" i="3" s="1"/>
  <c r="P1409" i="3"/>
  <c r="P1410" i="3"/>
  <c r="P1411" i="3"/>
  <c r="Q1411" i="3" s="1"/>
  <c r="P1412" i="3"/>
  <c r="Q1412" i="3" s="1"/>
  <c r="P1413" i="3"/>
  <c r="Q1413" i="3" s="1"/>
  <c r="P1414" i="3"/>
  <c r="Q1414" i="3" s="1"/>
  <c r="P1415" i="3"/>
  <c r="P1416" i="3"/>
  <c r="Q1416" i="3" s="1"/>
  <c r="P1417" i="3"/>
  <c r="Q1417" i="3" s="1"/>
  <c r="P1418" i="3"/>
  <c r="Q1418" i="3" s="1"/>
  <c r="P1419" i="3"/>
  <c r="P1420" i="3"/>
  <c r="Q1420" i="3" s="1"/>
  <c r="P1421" i="3"/>
  <c r="P1422" i="3"/>
  <c r="Q1422" i="3" s="1"/>
  <c r="P1423" i="3"/>
  <c r="Q1423" i="3" s="1"/>
  <c r="P1424" i="3"/>
  <c r="Q1424" i="3" s="1"/>
  <c r="P1425" i="3"/>
  <c r="Q1425" i="3" s="1"/>
  <c r="P1426" i="3"/>
  <c r="Q1426" i="3" s="1"/>
  <c r="P1427" i="3"/>
  <c r="Q1427" i="3" s="1"/>
  <c r="P1428" i="3"/>
  <c r="P1429" i="3"/>
  <c r="P1430" i="3"/>
  <c r="Q1430" i="3" s="1"/>
  <c r="P1431" i="3"/>
  <c r="Q1431" i="3" s="1"/>
  <c r="P1432" i="3"/>
  <c r="Q1432" i="3" s="1"/>
  <c r="P1433" i="3"/>
  <c r="Q1433" i="3" s="1"/>
  <c r="P1434" i="3"/>
  <c r="P1435" i="3"/>
  <c r="P1436" i="3"/>
  <c r="P1437" i="3"/>
  <c r="Q1437" i="3" s="1"/>
  <c r="P1438" i="3"/>
  <c r="P1439" i="3"/>
  <c r="P1440" i="3"/>
  <c r="Q1440" i="3" s="1"/>
  <c r="P1441" i="3"/>
  <c r="P1442" i="3"/>
  <c r="P1443" i="3"/>
  <c r="P1444" i="3"/>
  <c r="P1445" i="3"/>
  <c r="Q1445" i="3" s="1"/>
  <c r="P1446" i="3"/>
  <c r="Q1446" i="3" s="1"/>
  <c r="P1447" i="3"/>
  <c r="P1448" i="3"/>
  <c r="P1449" i="3"/>
  <c r="P1450" i="3"/>
  <c r="Q1450" i="3" s="1"/>
  <c r="P1451" i="3"/>
  <c r="Q1451" i="3" s="1"/>
  <c r="P1452" i="3"/>
  <c r="Q1452" i="3" s="1"/>
  <c r="P1453" i="3"/>
  <c r="P1454" i="3"/>
  <c r="Q1454" i="3" s="1"/>
  <c r="P1455" i="3"/>
  <c r="P1456" i="3"/>
  <c r="Q1456" i="3" s="1"/>
  <c r="P1457" i="3"/>
  <c r="P1458" i="3"/>
  <c r="P1459" i="3"/>
  <c r="P1460" i="3"/>
  <c r="Q1460" i="3" s="1"/>
  <c r="P1461" i="3"/>
  <c r="Q1461" i="3" s="1"/>
  <c r="P1462" i="3"/>
  <c r="P1463" i="3"/>
  <c r="Q1463" i="3" s="1"/>
  <c r="P1464" i="3"/>
  <c r="Q1464" i="3" s="1"/>
  <c r="P1465" i="3"/>
  <c r="Q1465" i="3" s="1"/>
  <c r="P1466" i="3"/>
  <c r="P1467" i="3"/>
  <c r="P1468" i="3"/>
  <c r="Q1468" i="3" s="1"/>
  <c r="P1469" i="3"/>
  <c r="P1470" i="3"/>
  <c r="P1471" i="3"/>
  <c r="P1472" i="3"/>
  <c r="P1473" i="3"/>
  <c r="P1474" i="3"/>
  <c r="Q1474" i="3" s="1"/>
  <c r="P1475" i="3"/>
  <c r="P1476" i="3"/>
  <c r="Q1476" i="3" s="1"/>
  <c r="P1477" i="3"/>
  <c r="Q1477" i="3" s="1"/>
  <c r="P1478" i="3"/>
  <c r="P1479" i="3"/>
  <c r="P1480" i="3"/>
  <c r="P1481" i="3"/>
  <c r="P1482" i="3"/>
  <c r="Q1482" i="3" s="1"/>
  <c r="P1483" i="3"/>
  <c r="P1484" i="3"/>
  <c r="Q1484" i="3" s="1"/>
  <c r="P1485" i="3"/>
  <c r="Q1485" i="3" s="1"/>
  <c r="P1486" i="3"/>
  <c r="P1487" i="3"/>
  <c r="Q1487" i="3" s="1"/>
  <c r="P1488" i="3"/>
  <c r="Q1488" i="3" s="1"/>
  <c r="P1489" i="3"/>
  <c r="P1490" i="3"/>
  <c r="P1491" i="3"/>
  <c r="P1492" i="3"/>
  <c r="P1493" i="3"/>
  <c r="P1494" i="3"/>
  <c r="P1495" i="3"/>
  <c r="P1496" i="3"/>
  <c r="Q1496" i="3" s="1"/>
  <c r="Q151" i="3"/>
  <c r="Q465" i="3"/>
  <c r="Q467" i="3"/>
  <c r="Q470" i="3"/>
  <c r="Q472" i="3"/>
  <c r="Q476" i="3"/>
  <c r="Q477" i="3"/>
  <c r="Q479" i="3"/>
  <c r="Q480" i="3"/>
  <c r="Q481" i="3"/>
  <c r="Q482" i="3"/>
  <c r="Q488" i="3"/>
  <c r="Q491" i="3"/>
  <c r="Q493" i="3"/>
  <c r="Q495" i="3"/>
  <c r="Q496" i="3"/>
  <c r="Q497" i="3"/>
  <c r="Q498" i="3"/>
  <c r="Q500" i="3"/>
  <c r="Q505" i="3"/>
  <c r="Q508" i="3"/>
  <c r="Q510" i="3"/>
  <c r="Q512" i="3"/>
  <c r="Q513" i="3"/>
  <c r="Q514" i="3"/>
  <c r="Q515" i="3"/>
  <c r="Q516" i="3"/>
  <c r="Q521" i="3"/>
  <c r="Q522" i="3"/>
  <c r="Q525" i="3"/>
  <c r="Q526" i="3"/>
  <c r="Q527" i="3"/>
  <c r="Q528" i="3"/>
  <c r="Q530" i="3"/>
  <c r="Q531" i="3"/>
  <c r="Q532" i="3"/>
  <c r="Q533" i="3"/>
  <c r="Q538" i="3"/>
  <c r="Q539" i="3"/>
  <c r="Q542" i="3"/>
  <c r="Q544" i="3"/>
  <c r="Q545" i="3"/>
  <c r="Q548" i="3"/>
  <c r="Q549" i="3"/>
  <c r="Q550" i="3"/>
  <c r="Q557" i="3"/>
  <c r="Q560" i="3"/>
  <c r="Q562" i="3"/>
  <c r="Q563" i="3"/>
  <c r="Q566" i="3"/>
  <c r="Q567" i="3"/>
  <c r="Q573" i="3"/>
  <c r="Q577" i="3"/>
  <c r="Q581" i="3"/>
  <c r="Q582" i="3"/>
  <c r="Q587" i="3"/>
  <c r="Q588" i="3"/>
  <c r="Q591" i="3"/>
  <c r="Q592" i="3"/>
  <c r="Q593" i="3"/>
  <c r="Q594" i="3"/>
  <c r="Q597" i="3"/>
  <c r="Q598" i="3"/>
  <c r="Q599" i="3"/>
  <c r="Q600" i="3"/>
  <c r="Q601" i="3"/>
  <c r="Q602" i="3"/>
  <c r="Q603" i="3"/>
  <c r="Q604" i="3"/>
  <c r="Q605" i="3"/>
  <c r="Q606" i="3"/>
  <c r="Q607" i="3"/>
  <c r="Q609" i="3"/>
  <c r="Q610" i="3"/>
  <c r="Q611" i="3"/>
  <c r="Q612" i="3"/>
  <c r="Q613" i="3"/>
  <c r="Q615" i="3"/>
  <c r="Q617" i="3"/>
  <c r="Q618" i="3"/>
  <c r="Q620" i="3"/>
  <c r="Q621" i="3"/>
  <c r="Q622" i="3"/>
  <c r="Q623" i="3"/>
  <c r="Q627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8" i="3"/>
  <c r="Q649" i="3"/>
  <c r="Q650" i="3"/>
  <c r="Q657" i="3"/>
  <c r="Q661" i="3"/>
  <c r="Q663" i="3"/>
  <c r="Q664" i="3"/>
  <c r="Q667" i="3"/>
  <c r="Q668" i="3"/>
  <c r="Q669" i="3"/>
  <c r="Q671" i="3"/>
  <c r="Q676" i="3"/>
  <c r="Q679" i="3"/>
  <c r="Q681" i="3"/>
  <c r="Q682" i="3"/>
  <c r="Q685" i="3"/>
  <c r="Q686" i="3"/>
  <c r="Q687" i="3"/>
  <c r="Q688" i="3"/>
  <c r="Q689" i="3"/>
  <c r="Q690" i="3"/>
  <c r="Q691" i="3"/>
  <c r="Q692" i="3"/>
  <c r="Q696" i="3"/>
  <c r="Q697" i="3"/>
  <c r="Q699" i="3"/>
  <c r="Q701" i="3"/>
  <c r="Q702" i="3"/>
  <c r="Q707" i="3"/>
  <c r="Q708" i="3"/>
  <c r="Q709" i="3"/>
  <c r="Q711" i="3"/>
  <c r="Q712" i="3"/>
  <c r="Q713" i="3"/>
  <c r="Q715" i="3"/>
  <c r="Q716" i="3"/>
  <c r="Q718" i="3"/>
  <c r="Q719" i="3"/>
  <c r="Q720" i="3"/>
  <c r="Q722" i="3"/>
  <c r="Q724" i="3"/>
  <c r="Q725" i="3"/>
  <c r="Q727" i="3"/>
  <c r="Q728" i="3"/>
  <c r="Q729" i="3"/>
  <c r="Q730" i="3"/>
  <c r="Q732" i="3"/>
  <c r="Q733" i="3"/>
  <c r="Q735" i="3"/>
  <c r="Q736" i="3"/>
  <c r="Q737" i="3"/>
  <c r="Q739" i="3"/>
  <c r="Q741" i="3"/>
  <c r="Q742" i="3"/>
  <c r="Q743" i="3"/>
  <c r="Q746" i="3"/>
  <c r="Q747" i="3"/>
  <c r="Q752" i="3"/>
  <c r="Q755" i="3"/>
  <c r="Q757" i="3"/>
  <c r="Q758" i="3"/>
  <c r="Q759" i="3"/>
  <c r="Q763" i="3"/>
  <c r="Q768" i="3"/>
  <c r="Q769" i="3"/>
  <c r="Q774" i="3"/>
  <c r="Q775" i="3"/>
  <c r="Q778" i="3"/>
  <c r="Q779" i="3"/>
  <c r="Q780" i="3"/>
  <c r="Q781" i="3"/>
  <c r="Q787" i="3"/>
  <c r="Q788" i="3"/>
  <c r="Q789" i="3"/>
  <c r="Q790" i="3"/>
  <c r="Q791" i="3"/>
  <c r="Q792" i="3"/>
  <c r="Q794" i="3"/>
  <c r="Q795" i="3"/>
  <c r="Q796" i="3"/>
  <c r="Q797" i="3"/>
  <c r="Q798" i="3"/>
  <c r="Q804" i="3"/>
  <c r="Q805" i="3"/>
  <c r="Q806" i="3"/>
  <c r="Q807" i="3"/>
  <c r="Q808" i="3"/>
  <c r="Q809" i="3"/>
  <c r="Q811" i="3"/>
  <c r="Q812" i="3"/>
  <c r="Q813" i="3"/>
  <c r="Q814" i="3"/>
  <c r="Q819" i="3"/>
  <c r="Q824" i="3"/>
  <c r="Q825" i="3"/>
  <c r="Q826" i="3"/>
  <c r="Q829" i="3"/>
  <c r="Q830" i="3"/>
  <c r="Q831" i="3"/>
  <c r="Q832" i="3"/>
  <c r="Q834" i="3"/>
  <c r="Q835" i="3"/>
  <c r="Q836" i="3"/>
  <c r="Q837" i="3"/>
  <c r="Q838" i="3"/>
  <c r="Q841" i="3"/>
  <c r="Q842" i="3"/>
  <c r="Q843" i="3"/>
  <c r="Q844" i="3"/>
  <c r="Q845" i="3"/>
  <c r="Q848" i="3"/>
  <c r="Q849" i="3"/>
  <c r="Q850" i="3"/>
  <c r="Q851" i="3"/>
  <c r="Q855" i="3"/>
  <c r="Q856" i="3"/>
  <c r="Q857" i="3"/>
  <c r="Q860" i="3"/>
  <c r="Q861" i="3"/>
  <c r="Q862" i="3"/>
  <c r="Q865" i="3"/>
  <c r="Q866" i="3"/>
  <c r="Q867" i="3"/>
  <c r="Q872" i="3"/>
  <c r="Q873" i="3"/>
  <c r="Q874" i="3"/>
  <c r="Q879" i="3"/>
  <c r="Q881" i="3"/>
  <c r="Q882" i="3"/>
  <c r="Q883" i="3"/>
  <c r="Q884" i="3"/>
  <c r="Q896" i="3"/>
  <c r="Q898" i="3"/>
  <c r="Q899" i="3"/>
  <c r="Q900" i="3"/>
  <c r="Q913" i="3"/>
  <c r="Q915" i="3"/>
  <c r="Q916" i="3"/>
  <c r="Q917" i="3"/>
  <c r="Q923" i="3"/>
  <c r="Q924" i="3"/>
  <c r="Q930" i="3"/>
  <c r="Q932" i="3"/>
  <c r="Q933" i="3"/>
  <c r="Q934" i="3"/>
  <c r="Q935" i="3"/>
  <c r="Q940" i="3"/>
  <c r="Q941" i="3"/>
  <c r="Q942" i="3"/>
  <c r="Q943" i="3"/>
  <c r="Q946" i="3"/>
  <c r="Q950" i="3"/>
  <c r="Q951" i="3"/>
  <c r="Q952" i="3"/>
  <c r="Q954" i="3"/>
  <c r="Q961" i="3"/>
  <c r="Q963" i="3"/>
  <c r="Q964" i="3"/>
  <c r="Q967" i="3"/>
  <c r="Q968" i="3"/>
  <c r="Q970" i="3"/>
  <c r="Q971" i="3"/>
  <c r="Q978" i="3"/>
  <c r="Q980" i="3"/>
  <c r="Q981" i="3"/>
  <c r="Q984" i="3"/>
  <c r="Q985" i="3"/>
  <c r="Q986" i="3"/>
  <c r="Q991" i="3"/>
  <c r="Q992" i="3"/>
  <c r="Q996" i="3"/>
  <c r="Q997" i="3"/>
  <c r="Q998" i="3"/>
  <c r="Q1001" i="3"/>
  <c r="Q1002" i="3"/>
  <c r="Q1003" i="3"/>
  <c r="Q1004" i="3"/>
  <c r="Q1006" i="3"/>
  <c r="Q1008" i="3"/>
  <c r="Q1009" i="3"/>
  <c r="Q1010" i="3"/>
  <c r="Q1013" i="3"/>
  <c r="Q1014" i="3"/>
  <c r="Q1016" i="3"/>
  <c r="Q1017" i="3"/>
  <c r="Q1019" i="3"/>
  <c r="Q1020" i="3"/>
  <c r="Q1021" i="3"/>
  <c r="Q1022" i="3"/>
  <c r="Q1027" i="3"/>
  <c r="Q1028" i="3"/>
  <c r="Q1029" i="3"/>
  <c r="Q1032" i="3"/>
  <c r="Q1033" i="3"/>
  <c r="Q1034" i="3"/>
  <c r="Q1036" i="3"/>
  <c r="Q1037" i="3"/>
  <c r="Q1038" i="3"/>
  <c r="Q1039" i="3"/>
  <c r="Q1051" i="3"/>
  <c r="Q1053" i="3"/>
  <c r="Q1054" i="3"/>
  <c r="Q1055" i="3"/>
  <c r="Q1057" i="3"/>
  <c r="Q1068" i="3"/>
  <c r="Q1070" i="3"/>
  <c r="Q1071" i="3"/>
  <c r="Q1072" i="3"/>
  <c r="Q1073" i="3"/>
  <c r="Q1078" i="3"/>
  <c r="Q1079" i="3"/>
  <c r="Q1084" i="3"/>
  <c r="Q1085" i="3"/>
  <c r="Q1088" i="3"/>
  <c r="Q1089" i="3"/>
  <c r="Q1090" i="3"/>
  <c r="Q1091" i="3"/>
  <c r="Q1092" i="3"/>
  <c r="Q1093" i="3"/>
  <c r="Q1094" i="3"/>
  <c r="Q1095" i="3"/>
  <c r="Q1096" i="3"/>
  <c r="Q1097" i="3"/>
  <c r="Q1100" i="3"/>
  <c r="Q1101" i="3"/>
  <c r="Q1103" i="3"/>
  <c r="Q1104" i="3"/>
  <c r="Q1106" i="3"/>
  <c r="Q1108" i="3"/>
  <c r="Q1109" i="3"/>
  <c r="Q1116" i="3"/>
  <c r="Q1120" i="3"/>
  <c r="Q1125" i="3"/>
  <c r="Q1126" i="3"/>
  <c r="Q1129" i="3"/>
  <c r="Q1130" i="3"/>
  <c r="Q1131" i="3"/>
  <c r="Q1133" i="3"/>
  <c r="Q1134" i="3"/>
  <c r="Q1135" i="3"/>
  <c r="Q1136" i="3"/>
  <c r="Q1137" i="3"/>
  <c r="Q1138" i="3"/>
  <c r="Q1139" i="3"/>
  <c r="Q1140" i="3"/>
  <c r="Q1141" i="3"/>
  <c r="Q1142" i="3"/>
  <c r="Q1150" i="3"/>
  <c r="Q1152" i="3"/>
  <c r="Q1155" i="3"/>
  <c r="Q1158" i="3"/>
  <c r="Q1159" i="3"/>
  <c r="Q1160" i="3"/>
  <c r="Q1167" i="3"/>
  <c r="Q1168" i="3"/>
  <c r="Q1171" i="3"/>
  <c r="Q1174" i="3"/>
  <c r="Q1175" i="3"/>
  <c r="Q1176" i="3"/>
  <c r="Q1178" i="3"/>
  <c r="Q1184" i="3"/>
  <c r="Q1185" i="3"/>
  <c r="Q1188" i="3"/>
  <c r="Q1191" i="3"/>
  <c r="Q1192" i="3"/>
  <c r="Q1193" i="3"/>
  <c r="Q1194" i="3"/>
  <c r="Q1205" i="3"/>
  <c r="Q1209" i="3"/>
  <c r="Q1210" i="3"/>
  <c r="Q1211" i="3"/>
  <c r="Q1212" i="3"/>
  <c r="Q1213" i="3"/>
  <c r="Q1214" i="3"/>
  <c r="Q1216" i="3"/>
  <c r="Q1217" i="3"/>
  <c r="Q1221" i="3"/>
  <c r="Q1222" i="3"/>
  <c r="Q1223" i="3"/>
  <c r="Q1224" i="3"/>
  <c r="Q1225" i="3"/>
  <c r="Q1229" i="3"/>
  <c r="Q1230" i="3"/>
  <c r="Q1234" i="3"/>
  <c r="Q1235" i="3"/>
  <c r="Q1239" i="3"/>
  <c r="Q1240" i="3"/>
  <c r="Q1241" i="3"/>
  <c r="Q1242" i="3"/>
  <c r="Q1245" i="3"/>
  <c r="Q1246" i="3"/>
  <c r="Q1247" i="3"/>
  <c r="Q1256" i="3"/>
  <c r="Q1257" i="3"/>
  <c r="Q1261" i="3"/>
  <c r="Q1262" i="3"/>
  <c r="Q1263" i="3"/>
  <c r="Q1264" i="3"/>
  <c r="Q1267" i="3"/>
  <c r="Q1268" i="3"/>
  <c r="Q1271" i="3"/>
  <c r="Q1272" i="3"/>
  <c r="Q1273" i="3"/>
  <c r="Q1274" i="3"/>
  <c r="Q1275" i="3"/>
  <c r="Q1279" i="3"/>
  <c r="Q1280" i="3"/>
  <c r="Q1282" i="3"/>
  <c r="Q1284" i="3"/>
  <c r="Q1285" i="3"/>
  <c r="Q1286" i="3"/>
  <c r="Q1288" i="3"/>
  <c r="Q1292" i="3"/>
  <c r="Q1293" i="3"/>
  <c r="Q1294" i="3"/>
  <c r="Q1295" i="3"/>
  <c r="Q1300" i="3"/>
  <c r="Q1302" i="3"/>
  <c r="Q1305" i="3"/>
  <c r="Q1306" i="3"/>
  <c r="Q1307" i="3"/>
  <c r="Q1309" i="3"/>
  <c r="Q1310" i="3"/>
  <c r="Q1311" i="3"/>
  <c r="Q1313" i="3"/>
  <c r="Q1314" i="3"/>
  <c r="Q1315" i="3"/>
  <c r="Q1316" i="3"/>
  <c r="Q1317" i="3"/>
  <c r="Q1320" i="3"/>
  <c r="Q1322" i="3"/>
  <c r="Q1325" i="3"/>
  <c r="Q1326" i="3"/>
  <c r="Q1327" i="3"/>
  <c r="Q1328" i="3"/>
  <c r="Q1330" i="3"/>
  <c r="Q1331" i="3"/>
  <c r="Q1333" i="3"/>
  <c r="Q1335" i="3"/>
  <c r="Q1336" i="3"/>
  <c r="Q1341" i="3"/>
  <c r="Q1342" i="3"/>
  <c r="Q1344" i="3"/>
  <c r="Q1345" i="3"/>
  <c r="Q1346" i="3"/>
  <c r="Q1347" i="3"/>
  <c r="Q1351" i="3"/>
  <c r="Q1353" i="3"/>
  <c r="Q1356" i="3"/>
  <c r="Q1357" i="3"/>
  <c r="Q1359" i="3"/>
  <c r="Q1360" i="3"/>
  <c r="Q1364" i="3"/>
  <c r="Q1365" i="3"/>
  <c r="Q1370" i="3"/>
  <c r="Q1372" i="3"/>
  <c r="Q1376" i="3"/>
  <c r="Q1378" i="3"/>
  <c r="Q1379" i="3"/>
  <c r="Q1382" i="3"/>
  <c r="Q1383" i="3"/>
  <c r="Q1384" i="3"/>
  <c r="Q1385" i="3"/>
  <c r="Q1386" i="3"/>
  <c r="Q1388" i="3"/>
  <c r="Q1389" i="3"/>
  <c r="Q1390" i="3"/>
  <c r="Q1391" i="3"/>
  <c r="Q1395" i="3"/>
  <c r="Q1397" i="3"/>
  <c r="Q1399" i="3"/>
  <c r="Q1404" i="3"/>
  <c r="Q1405" i="3"/>
  <c r="Q1407" i="3"/>
  <c r="Q1409" i="3"/>
  <c r="Q1410" i="3"/>
  <c r="Q1415" i="3"/>
  <c r="Q1419" i="3"/>
  <c r="Q1421" i="3"/>
  <c r="Q1428" i="3"/>
  <c r="Q1429" i="3"/>
  <c r="Q1434" i="3"/>
  <c r="Q1435" i="3"/>
  <c r="Q1436" i="3"/>
  <c r="Q1438" i="3"/>
  <c r="Q1439" i="3"/>
  <c r="Q1441" i="3"/>
  <c r="Q1442" i="3"/>
  <c r="Q1443" i="3"/>
  <c r="Q1444" i="3"/>
  <c r="Q1447" i="3"/>
  <c r="Q1448" i="3"/>
  <c r="Q1449" i="3"/>
  <c r="Q1453" i="3"/>
  <c r="Q1455" i="3"/>
  <c r="Q1457" i="3"/>
  <c r="Q1458" i="3"/>
  <c r="Q1459" i="3"/>
  <c r="Q1462" i="3"/>
  <c r="Q1466" i="3"/>
  <c r="Q1467" i="3"/>
  <c r="Q1469" i="3"/>
  <c r="Q1470" i="3"/>
  <c r="Q1471" i="3"/>
  <c r="Q1472" i="3"/>
  <c r="Q1473" i="3"/>
  <c r="Q1475" i="3"/>
  <c r="Q1478" i="3"/>
  <c r="Q1479" i="3"/>
  <c r="Q1480" i="3"/>
  <c r="Q1481" i="3"/>
  <c r="Q1483" i="3"/>
  <c r="Q1486" i="3"/>
  <c r="Q1489" i="3"/>
  <c r="Q1490" i="3"/>
  <c r="Q1491" i="3"/>
  <c r="Q1492" i="3"/>
  <c r="Q1493" i="3"/>
  <c r="Q1494" i="3"/>
  <c r="Q1495" i="3"/>
  <c r="P2528" i="3" l="1"/>
  <c r="Q2528" i="3" s="1"/>
  <c r="P2529" i="3"/>
  <c r="Q2529" i="3" s="1"/>
  <c r="P2530" i="3"/>
  <c r="Q2530" i="3" s="1"/>
  <c r="P2531" i="3"/>
  <c r="Q2531" i="3" s="1"/>
  <c r="P2532" i="3"/>
  <c r="Q2532" i="3" s="1"/>
  <c r="P2533" i="3"/>
  <c r="Q2533" i="3" s="1"/>
  <c r="P2534" i="3"/>
  <c r="Q2534" i="3" s="1"/>
  <c r="P2535" i="3"/>
  <c r="Q2535" i="3" s="1"/>
  <c r="P2536" i="3"/>
  <c r="Q2536" i="3" s="1"/>
  <c r="P2537" i="3"/>
  <c r="Q2537" i="3" s="1"/>
  <c r="P2538" i="3"/>
  <c r="Q2538" i="3" s="1"/>
  <c r="P2539" i="3"/>
  <c r="Q2539" i="3" s="1"/>
  <c r="P2540" i="3"/>
  <c r="Q2540" i="3" s="1"/>
  <c r="P2541" i="3"/>
  <c r="Q2541" i="3" s="1"/>
  <c r="P2542" i="3"/>
  <c r="Q2542" i="3" s="1"/>
  <c r="P2543" i="3"/>
  <c r="Q2543" i="3" s="1"/>
  <c r="P2544" i="3"/>
  <c r="Q2544" i="3" s="1"/>
  <c r="P2545" i="3"/>
  <c r="Q2545" i="3" s="1"/>
  <c r="P2546" i="3"/>
  <c r="Q2546" i="3" s="1"/>
  <c r="P2547" i="3"/>
  <c r="Q2547" i="3" s="1"/>
  <c r="P2548" i="3"/>
  <c r="Q2548" i="3" s="1"/>
  <c r="P2549" i="3"/>
  <c r="Q2549" i="3" s="1"/>
  <c r="P2550" i="3"/>
  <c r="Q2550" i="3" s="1"/>
  <c r="P2551" i="3"/>
  <c r="Q2551" i="3" s="1"/>
  <c r="P2552" i="3"/>
  <c r="Q2552" i="3" s="1"/>
  <c r="P2553" i="3"/>
  <c r="Q2553" i="3" s="1"/>
  <c r="P2554" i="3"/>
  <c r="Q2554" i="3" s="1"/>
  <c r="P2555" i="3"/>
  <c r="Q2555" i="3" s="1"/>
  <c r="P2556" i="3"/>
  <c r="Q2556" i="3" s="1"/>
  <c r="P2557" i="3"/>
  <c r="Q2557" i="3" s="1"/>
  <c r="P2558" i="3"/>
  <c r="Q2558" i="3" s="1"/>
  <c r="P2559" i="3"/>
  <c r="Q2559" i="3" s="1"/>
  <c r="P2560" i="3"/>
  <c r="Q2560" i="3" s="1"/>
  <c r="P2561" i="3"/>
  <c r="Q2561" i="3" s="1"/>
  <c r="P2562" i="3"/>
  <c r="Q2562" i="3" s="1"/>
  <c r="P2563" i="3"/>
  <c r="Q2563" i="3" s="1"/>
  <c r="P2564" i="3"/>
  <c r="Q2564" i="3" s="1"/>
  <c r="P2565" i="3"/>
  <c r="Q2565" i="3" s="1"/>
  <c r="P2566" i="3"/>
  <c r="Q2566" i="3" s="1"/>
  <c r="P2567" i="3"/>
  <c r="Q2567" i="3" s="1"/>
  <c r="P2568" i="3"/>
  <c r="Q2568" i="3" s="1"/>
  <c r="P2569" i="3"/>
  <c r="Q2569" i="3" s="1"/>
  <c r="P2570" i="3"/>
  <c r="Q2570" i="3" s="1"/>
  <c r="P2571" i="3"/>
  <c r="Q2571" i="3" s="1"/>
  <c r="P2572" i="3"/>
  <c r="Q2572" i="3" s="1"/>
  <c r="P2573" i="3"/>
  <c r="Q2573" i="3" s="1"/>
  <c r="P2574" i="3"/>
  <c r="Q2574" i="3" s="1"/>
  <c r="P2575" i="3"/>
  <c r="Q2575" i="3" s="1"/>
  <c r="P2576" i="3"/>
  <c r="Q2576" i="3" s="1"/>
  <c r="P2577" i="3"/>
  <c r="Q2577" i="3" s="1"/>
  <c r="P2578" i="3"/>
  <c r="Q2578" i="3" s="1"/>
  <c r="P2579" i="3"/>
  <c r="Q2579" i="3" s="1"/>
  <c r="P2580" i="3"/>
  <c r="Q2580" i="3" s="1"/>
  <c r="P2581" i="3"/>
  <c r="Q2581" i="3" s="1"/>
  <c r="P2582" i="3"/>
  <c r="Q2582" i="3" s="1"/>
  <c r="P2583" i="3"/>
  <c r="Q2583" i="3" s="1"/>
  <c r="P2584" i="3"/>
  <c r="Q2584" i="3" s="1"/>
  <c r="P2585" i="3"/>
  <c r="Q2585" i="3" s="1"/>
  <c r="P2586" i="3"/>
  <c r="Q2586" i="3" s="1"/>
  <c r="P2587" i="3"/>
  <c r="Q2587" i="3" s="1"/>
  <c r="P2588" i="3"/>
  <c r="Q2588" i="3" s="1"/>
  <c r="P2589" i="3"/>
  <c r="Q2589" i="3" s="1"/>
  <c r="P2590" i="3"/>
  <c r="Q2590" i="3" s="1"/>
  <c r="P2591" i="3"/>
  <c r="Q2591" i="3" s="1"/>
  <c r="P2592" i="3"/>
  <c r="Q2592" i="3" s="1"/>
  <c r="P2593" i="3"/>
  <c r="Q2593" i="3" s="1"/>
  <c r="P2594" i="3"/>
  <c r="Q2594" i="3" s="1"/>
  <c r="P2595" i="3"/>
  <c r="Q2595" i="3" s="1"/>
  <c r="P2596" i="3"/>
  <c r="Q2596" i="3" s="1"/>
  <c r="P2597" i="3"/>
  <c r="Q2597" i="3" s="1"/>
  <c r="P2598" i="3"/>
  <c r="Q2598" i="3" s="1"/>
  <c r="P2599" i="3"/>
  <c r="Q2599" i="3" s="1"/>
  <c r="P2600" i="3"/>
  <c r="Q2600" i="3" s="1"/>
  <c r="P2601" i="3"/>
  <c r="Q2601" i="3" s="1"/>
  <c r="P2602" i="3"/>
  <c r="Q2602" i="3" s="1"/>
  <c r="P2603" i="3"/>
  <c r="Q2603" i="3" s="1"/>
  <c r="P2604" i="3"/>
  <c r="Q2604" i="3" s="1"/>
  <c r="P2605" i="3"/>
  <c r="Q2605" i="3" s="1"/>
  <c r="P2606" i="3"/>
  <c r="Q2606" i="3" s="1"/>
  <c r="P2607" i="3"/>
  <c r="Q2607" i="3" s="1"/>
  <c r="P2608" i="3"/>
  <c r="Q2608" i="3" s="1"/>
  <c r="P2609" i="3"/>
  <c r="Q2609" i="3" s="1"/>
  <c r="P2610" i="3"/>
  <c r="Q2610" i="3" s="1"/>
  <c r="P2611" i="3"/>
  <c r="Q2611" i="3" s="1"/>
  <c r="P2612" i="3"/>
  <c r="Q2612" i="3" s="1"/>
  <c r="P2613" i="3"/>
  <c r="Q2613" i="3" s="1"/>
  <c r="P2614" i="3"/>
  <c r="Q2614" i="3" s="1"/>
  <c r="P2615" i="3"/>
  <c r="Q2615" i="3" s="1"/>
  <c r="P2616" i="3"/>
  <c r="Q2616" i="3" s="1"/>
  <c r="P2617" i="3"/>
  <c r="Q2617" i="3" s="1"/>
  <c r="P2618" i="3"/>
  <c r="Q2618" i="3" s="1"/>
  <c r="P2619" i="3"/>
  <c r="Q2619" i="3" s="1"/>
  <c r="P2620" i="3"/>
  <c r="Q2620" i="3" s="1"/>
  <c r="P2621" i="3"/>
  <c r="Q2621" i="3" s="1"/>
  <c r="P2622" i="3"/>
  <c r="Q2622" i="3" s="1"/>
  <c r="P2623" i="3"/>
  <c r="Q2623" i="3" s="1"/>
  <c r="P2624" i="3"/>
  <c r="Q2624" i="3" s="1"/>
  <c r="P2625" i="3"/>
  <c r="Q2625" i="3" s="1"/>
  <c r="P2626" i="3"/>
  <c r="Q2626" i="3" s="1"/>
  <c r="P2627" i="3"/>
  <c r="Q2627" i="3" s="1"/>
  <c r="P2628" i="3"/>
  <c r="Q2628" i="3" s="1"/>
  <c r="P2629" i="3"/>
  <c r="Q2629" i="3" s="1"/>
  <c r="P2630" i="3"/>
  <c r="Q2630" i="3" s="1"/>
  <c r="P2631" i="3"/>
  <c r="Q2631" i="3" s="1"/>
  <c r="P2632" i="3"/>
  <c r="Q2632" i="3" s="1"/>
  <c r="P2633" i="3"/>
  <c r="Q2633" i="3" s="1"/>
  <c r="P2634" i="3"/>
  <c r="Q2634" i="3" s="1"/>
  <c r="P2635" i="3"/>
  <c r="Q2635" i="3" s="1"/>
  <c r="P2636" i="3"/>
  <c r="Q2636" i="3" s="1"/>
  <c r="P2637" i="3"/>
  <c r="Q2637" i="3" s="1"/>
  <c r="P2638" i="3"/>
  <c r="Q2638" i="3" s="1"/>
  <c r="P2639" i="3"/>
  <c r="Q2639" i="3" s="1"/>
  <c r="P2640" i="3"/>
  <c r="Q2640" i="3" s="1"/>
  <c r="P2641" i="3"/>
  <c r="Q2641" i="3" s="1"/>
  <c r="P2642" i="3"/>
  <c r="Q2642" i="3" s="1"/>
  <c r="P2643" i="3"/>
  <c r="Q2643" i="3" s="1"/>
  <c r="P2644" i="3"/>
  <c r="Q2644" i="3" s="1"/>
  <c r="P2645" i="3"/>
  <c r="Q2645" i="3" s="1"/>
  <c r="P2646" i="3"/>
  <c r="Q2646" i="3" s="1"/>
  <c r="P2647" i="3"/>
  <c r="Q2647" i="3" s="1"/>
  <c r="P2648" i="3"/>
  <c r="Q2648" i="3" s="1"/>
  <c r="P2649" i="3"/>
  <c r="Q2649" i="3" s="1"/>
  <c r="P2650" i="3"/>
  <c r="Q2650" i="3" s="1"/>
  <c r="P2651" i="3"/>
  <c r="Q2651" i="3" s="1"/>
  <c r="P2652" i="3"/>
  <c r="Q2652" i="3" s="1"/>
  <c r="P2653" i="3"/>
  <c r="Q2653" i="3" s="1"/>
  <c r="P2654" i="3"/>
  <c r="Q2654" i="3" s="1"/>
  <c r="P2655" i="3"/>
  <c r="Q2655" i="3" s="1"/>
  <c r="P2656" i="3"/>
  <c r="Q2656" i="3" s="1"/>
  <c r="P2657" i="3"/>
  <c r="Q2657" i="3" s="1"/>
  <c r="P2658" i="3"/>
  <c r="Q2658" i="3" s="1"/>
  <c r="P2659" i="3"/>
  <c r="Q2659" i="3" s="1"/>
  <c r="P2660" i="3"/>
  <c r="Q2660" i="3" s="1"/>
  <c r="P2661" i="3"/>
  <c r="Q2661" i="3" s="1"/>
  <c r="P2662" i="3"/>
  <c r="Q2662" i="3" s="1"/>
  <c r="P2663" i="3"/>
  <c r="Q2663" i="3" s="1"/>
  <c r="P2664" i="3"/>
  <c r="Q2664" i="3" s="1"/>
  <c r="P2665" i="3"/>
  <c r="Q2665" i="3" s="1"/>
  <c r="P2666" i="3"/>
  <c r="Q2666" i="3" s="1"/>
  <c r="P2667" i="3"/>
  <c r="Q2667" i="3" s="1"/>
  <c r="P2668" i="3"/>
  <c r="Q2668" i="3" s="1"/>
  <c r="P2669" i="3"/>
  <c r="Q2669" i="3" s="1"/>
  <c r="P2670" i="3"/>
  <c r="Q2670" i="3" s="1"/>
  <c r="P2671" i="3"/>
  <c r="Q2671" i="3" s="1"/>
  <c r="P2672" i="3"/>
  <c r="Q2672" i="3" s="1"/>
  <c r="P2673" i="3"/>
  <c r="Q2673" i="3" s="1"/>
  <c r="P2674" i="3"/>
  <c r="Q2674" i="3" s="1"/>
  <c r="P2675" i="3"/>
  <c r="Q2675" i="3" s="1"/>
  <c r="P2676" i="3"/>
  <c r="Q2676" i="3" s="1"/>
  <c r="P2677" i="3"/>
  <c r="Q2677" i="3" s="1"/>
  <c r="P2678" i="3"/>
  <c r="Q2678" i="3" s="1"/>
  <c r="P2679" i="3"/>
  <c r="Q2679" i="3" s="1"/>
  <c r="P2680" i="3"/>
  <c r="Q2680" i="3" s="1"/>
  <c r="P2681" i="3"/>
  <c r="Q2681" i="3" s="1"/>
  <c r="P2682" i="3"/>
  <c r="Q2682" i="3" s="1"/>
  <c r="P2683" i="3"/>
  <c r="Q2683" i="3" s="1"/>
  <c r="P2684" i="3"/>
  <c r="Q2684" i="3" s="1"/>
  <c r="P2685" i="3"/>
  <c r="Q2685" i="3" s="1"/>
  <c r="P2686" i="3"/>
  <c r="Q2686" i="3" s="1"/>
  <c r="P2687" i="3"/>
  <c r="Q2687" i="3" s="1"/>
  <c r="P2688" i="3"/>
  <c r="Q2688" i="3" s="1"/>
  <c r="P2689" i="3"/>
  <c r="Q2689" i="3" s="1"/>
  <c r="P2690" i="3"/>
  <c r="Q2690" i="3" s="1"/>
  <c r="P2691" i="3"/>
  <c r="Q2691" i="3" s="1"/>
  <c r="P2692" i="3"/>
  <c r="Q2692" i="3" s="1"/>
  <c r="P2693" i="3"/>
  <c r="Q2693" i="3" s="1"/>
  <c r="P2694" i="3"/>
  <c r="Q2694" i="3" s="1"/>
  <c r="P2695" i="3"/>
  <c r="Q2695" i="3" s="1"/>
  <c r="P2696" i="3"/>
  <c r="Q2696" i="3" s="1"/>
  <c r="P2697" i="3"/>
  <c r="Q2697" i="3" s="1"/>
  <c r="P2698" i="3"/>
  <c r="Q2698" i="3" s="1"/>
  <c r="P2699" i="3"/>
  <c r="Q2699" i="3" s="1"/>
  <c r="P2700" i="3"/>
  <c r="Q2700" i="3" s="1"/>
  <c r="P2701" i="3"/>
  <c r="Q2701" i="3" s="1"/>
  <c r="P2702" i="3"/>
  <c r="Q2702" i="3" s="1"/>
  <c r="P2703" i="3"/>
  <c r="Q2703" i="3" s="1"/>
  <c r="P2704" i="3"/>
  <c r="Q2704" i="3" s="1"/>
  <c r="P2705" i="3"/>
  <c r="Q2705" i="3" s="1"/>
  <c r="P2706" i="3"/>
  <c r="Q2706" i="3" s="1"/>
  <c r="P2707" i="3"/>
  <c r="Q2707" i="3" s="1"/>
  <c r="P2708" i="3"/>
  <c r="Q2708" i="3" s="1"/>
  <c r="P2709" i="3"/>
  <c r="Q2709" i="3" s="1"/>
  <c r="P2710" i="3"/>
  <c r="Q2710" i="3" s="1"/>
  <c r="P2711" i="3"/>
  <c r="Q2711" i="3" s="1"/>
  <c r="P2712" i="3"/>
  <c r="Q2712" i="3" s="1"/>
  <c r="P2713" i="3"/>
  <c r="Q2713" i="3" s="1"/>
  <c r="P2714" i="3"/>
  <c r="Q2714" i="3" s="1"/>
  <c r="P2715" i="3"/>
  <c r="Q2715" i="3" s="1"/>
  <c r="P2716" i="3"/>
  <c r="Q2716" i="3" s="1"/>
  <c r="P2717" i="3"/>
  <c r="Q2717" i="3" s="1"/>
  <c r="P2718" i="3"/>
  <c r="Q2718" i="3" s="1"/>
  <c r="P2719" i="3"/>
  <c r="Q2719" i="3" s="1"/>
  <c r="P2720" i="3"/>
  <c r="Q2720" i="3" s="1"/>
  <c r="P2721" i="3"/>
  <c r="Q2721" i="3" s="1"/>
  <c r="P2722" i="3"/>
  <c r="Q2722" i="3" s="1"/>
  <c r="P2723" i="3"/>
  <c r="Q2723" i="3" s="1"/>
  <c r="P2724" i="3"/>
  <c r="Q2724" i="3" s="1"/>
  <c r="P2725" i="3"/>
  <c r="Q2725" i="3" s="1"/>
  <c r="P2726" i="3"/>
  <c r="Q2726" i="3" s="1"/>
  <c r="P2727" i="3"/>
  <c r="Q2727" i="3" s="1"/>
  <c r="P2728" i="3"/>
  <c r="Q2728" i="3" s="1"/>
  <c r="P2729" i="3"/>
  <c r="Q2729" i="3" s="1"/>
  <c r="P2730" i="3"/>
  <c r="Q2730" i="3" s="1"/>
  <c r="P2731" i="3"/>
  <c r="Q2731" i="3" s="1"/>
  <c r="P2732" i="3"/>
  <c r="Q2732" i="3" s="1"/>
  <c r="P2733" i="3"/>
  <c r="Q2733" i="3" s="1"/>
  <c r="P2734" i="3"/>
  <c r="Q2734" i="3" s="1"/>
  <c r="P2735" i="3"/>
  <c r="Q2735" i="3" s="1"/>
  <c r="P2736" i="3"/>
  <c r="Q2736" i="3" s="1"/>
  <c r="P2737" i="3"/>
  <c r="Q2737" i="3" s="1"/>
  <c r="P2738" i="3"/>
  <c r="Q2738" i="3" s="1"/>
  <c r="P2739" i="3"/>
  <c r="Q2739" i="3" s="1"/>
  <c r="P2740" i="3"/>
  <c r="Q2740" i="3" s="1"/>
  <c r="P2741" i="3"/>
  <c r="Q2741" i="3" s="1"/>
  <c r="P2742" i="3"/>
  <c r="Q2742" i="3" s="1"/>
  <c r="P2743" i="3"/>
  <c r="Q2743" i="3" s="1"/>
  <c r="P2744" i="3"/>
  <c r="Q2744" i="3" s="1"/>
  <c r="P2745" i="3"/>
  <c r="Q2745" i="3" s="1"/>
  <c r="P2746" i="3"/>
  <c r="Q2746" i="3" s="1"/>
  <c r="P2747" i="3"/>
  <c r="Q2747" i="3" s="1"/>
  <c r="P2748" i="3"/>
  <c r="Q2748" i="3" s="1"/>
  <c r="P2749" i="3"/>
  <c r="Q2749" i="3" s="1"/>
  <c r="P2750" i="3"/>
  <c r="Q2750" i="3" s="1"/>
  <c r="P2751" i="3"/>
  <c r="Q2751" i="3" s="1"/>
  <c r="P2752" i="3"/>
  <c r="Q2752" i="3" s="1"/>
  <c r="P2753" i="3"/>
  <c r="Q2753" i="3" s="1"/>
  <c r="P2754" i="3"/>
  <c r="Q2754" i="3" s="1"/>
  <c r="P2755" i="3"/>
  <c r="Q2755" i="3" s="1"/>
  <c r="P2756" i="3"/>
  <c r="Q2756" i="3" s="1"/>
  <c r="P2757" i="3"/>
  <c r="Q2757" i="3" s="1"/>
  <c r="P2758" i="3"/>
  <c r="Q2758" i="3" s="1"/>
  <c r="P2759" i="3"/>
  <c r="Q2759" i="3" s="1"/>
  <c r="P2760" i="3"/>
  <c r="Q2760" i="3" s="1"/>
  <c r="P2761" i="3"/>
  <c r="Q2761" i="3" s="1"/>
  <c r="P2762" i="3"/>
  <c r="Q2762" i="3" s="1"/>
  <c r="P2763" i="3"/>
  <c r="Q2763" i="3" s="1"/>
  <c r="P2764" i="3"/>
  <c r="Q2764" i="3" s="1"/>
  <c r="P2765" i="3"/>
  <c r="Q2765" i="3" s="1"/>
  <c r="P2766" i="3"/>
  <c r="Q2766" i="3" s="1"/>
  <c r="P2767" i="3"/>
  <c r="Q2767" i="3" s="1"/>
  <c r="P2768" i="3"/>
  <c r="Q2768" i="3" s="1"/>
  <c r="P2769" i="3"/>
  <c r="Q2769" i="3" s="1"/>
  <c r="P2770" i="3"/>
  <c r="Q2770" i="3" s="1"/>
  <c r="P2771" i="3"/>
  <c r="Q2771" i="3" s="1"/>
  <c r="P2772" i="3"/>
  <c r="Q2772" i="3" s="1"/>
  <c r="P2773" i="3"/>
  <c r="Q2773" i="3" s="1"/>
  <c r="P2774" i="3"/>
  <c r="Q2774" i="3" s="1"/>
  <c r="P2775" i="3"/>
  <c r="Q2775" i="3" s="1"/>
  <c r="P2776" i="3"/>
  <c r="Q2776" i="3" s="1"/>
  <c r="P2777" i="3"/>
  <c r="Q2777" i="3" s="1"/>
  <c r="P2778" i="3"/>
  <c r="Q2778" i="3" s="1"/>
  <c r="P2779" i="3"/>
  <c r="Q2779" i="3" s="1"/>
  <c r="P2780" i="3"/>
  <c r="Q2780" i="3" s="1"/>
  <c r="P2781" i="3"/>
  <c r="Q2781" i="3" s="1"/>
  <c r="P2782" i="3"/>
  <c r="Q2782" i="3" s="1"/>
  <c r="P2783" i="3"/>
  <c r="Q2783" i="3" s="1"/>
  <c r="P2784" i="3"/>
  <c r="Q2784" i="3" s="1"/>
  <c r="P2785" i="3"/>
  <c r="Q2785" i="3" s="1"/>
  <c r="P2786" i="3"/>
  <c r="Q2786" i="3" s="1"/>
  <c r="P2787" i="3"/>
  <c r="Q2787" i="3" s="1"/>
  <c r="P2788" i="3"/>
  <c r="Q2788" i="3" s="1"/>
  <c r="P2789" i="3"/>
  <c r="Q2789" i="3" s="1"/>
  <c r="P2790" i="3"/>
  <c r="Q2790" i="3" s="1"/>
  <c r="P2791" i="3"/>
  <c r="Q2791" i="3" s="1"/>
  <c r="P2792" i="3"/>
  <c r="Q2792" i="3" s="1"/>
  <c r="P2793" i="3"/>
  <c r="Q2793" i="3" s="1"/>
  <c r="P2794" i="3"/>
  <c r="Q2794" i="3" s="1"/>
  <c r="P2795" i="3"/>
  <c r="Q2795" i="3" s="1"/>
  <c r="Q80" i="3" l="1"/>
  <c r="Q430" i="3"/>
  <c r="Q448" i="3"/>
  <c r="Q447" i="3"/>
  <c r="Q446" i="3"/>
  <c r="Q445" i="3"/>
  <c r="Q444" i="3"/>
  <c r="Q443" i="3"/>
  <c r="Q442" i="3"/>
  <c r="Q441" i="3"/>
  <c r="Q440" i="3"/>
  <c r="Q439" i="3"/>
  <c r="Q438" i="3"/>
  <c r="Q437" i="3"/>
  <c r="Q436" i="3"/>
  <c r="Q435" i="3"/>
  <c r="Q434" i="3"/>
  <c r="Q433" i="3"/>
  <c r="Q432" i="3"/>
  <c r="Q431" i="3"/>
  <c r="Q698" i="3"/>
  <c r="Q695" i="3"/>
  <c r="Q694" i="3"/>
  <c r="Q693" i="3"/>
  <c r="Q700" i="3"/>
  <c r="Q239" i="3"/>
  <c r="Q222" i="3"/>
  <c r="Q251" i="3"/>
  <c r="Q249" i="3"/>
  <c r="Q552" i="3"/>
  <c r="Q579" i="3"/>
  <c r="Q578" i="3"/>
  <c r="Q576" i="3"/>
  <c r="Q575" i="3"/>
  <c r="Q574" i="3"/>
  <c r="Q572" i="3"/>
  <c r="Q580" i="3"/>
  <c r="Q571" i="3"/>
  <c r="Q570" i="3"/>
  <c r="Q569" i="3"/>
  <c r="Q54" i="3"/>
  <c r="Q53" i="3"/>
  <c r="Q37" i="3"/>
  <c r="Q52" i="3"/>
  <c r="Q51" i="3"/>
  <c r="Q50" i="3"/>
  <c r="Q49" i="3"/>
  <c r="Q48" i="3"/>
  <c r="Q47" i="3"/>
  <c r="Q46" i="3"/>
  <c r="Q45" i="3"/>
  <c r="Q44" i="3"/>
  <c r="Q43" i="3"/>
  <c r="Q42" i="3"/>
  <c r="Q55" i="3"/>
  <c r="Q41" i="3"/>
  <c r="Q40" i="3"/>
  <c r="Q39" i="3"/>
  <c r="Q121" i="3"/>
  <c r="Q120" i="3"/>
  <c r="Q106" i="3"/>
  <c r="Q119" i="3"/>
  <c r="Q118" i="3"/>
  <c r="Q117" i="3"/>
  <c r="Q116" i="3"/>
  <c r="Q115" i="3"/>
  <c r="Q114" i="3"/>
  <c r="Q113" i="3"/>
  <c r="Q112" i="3"/>
  <c r="Q111" i="3"/>
  <c r="Q122" i="3"/>
  <c r="Q110" i="3"/>
  <c r="Q109" i="3"/>
  <c r="Q108" i="3"/>
  <c r="Q670" i="3"/>
  <c r="Q684" i="3"/>
  <c r="Q683" i="3"/>
  <c r="Q680" i="3"/>
  <c r="Q678" i="3"/>
  <c r="Q677" i="3"/>
  <c r="Q675" i="3"/>
  <c r="Q674" i="3"/>
  <c r="Q673" i="3"/>
  <c r="Q672" i="3"/>
  <c r="Q551" i="3"/>
  <c r="Q565" i="3"/>
  <c r="Q564" i="3"/>
  <c r="Q561" i="3"/>
  <c r="Q559" i="3"/>
  <c r="Q558" i="3"/>
  <c r="Q556" i="3"/>
  <c r="Q568" i="3"/>
  <c r="Q555" i="3"/>
  <c r="Q554" i="3"/>
  <c r="Q553" i="3"/>
  <c r="Q411" i="3"/>
  <c r="Q410" i="3"/>
  <c r="Q395" i="3"/>
  <c r="Q409" i="3"/>
  <c r="Q408" i="3"/>
  <c r="Q407" i="3"/>
  <c r="Q406" i="3"/>
  <c r="Q405" i="3"/>
  <c r="Q404" i="3"/>
  <c r="Q403" i="3"/>
  <c r="Q402" i="3"/>
  <c r="Q401" i="3"/>
  <c r="Q400" i="3"/>
  <c r="Q412" i="3"/>
  <c r="Q399" i="3"/>
  <c r="Q398" i="3"/>
  <c r="Q397" i="3"/>
  <c r="Q159" i="3"/>
  <c r="Q165" i="3"/>
  <c r="Q166" i="3"/>
  <c r="Q167" i="3"/>
  <c r="Q171" i="3"/>
  <c r="Q172" i="3"/>
  <c r="Q174" i="3"/>
  <c r="Q175" i="3"/>
  <c r="Q176" i="3"/>
  <c r="Q5" i="3"/>
  <c r="Q6" i="3"/>
  <c r="Q9" i="3"/>
  <c r="Q10" i="3"/>
  <c r="Q12" i="3"/>
  <c r="Q14" i="3"/>
  <c r="Q15" i="3"/>
  <c r="Q2" i="3"/>
  <c r="Q17" i="3"/>
  <c r="Q18" i="3"/>
  <c r="Q75" i="3"/>
  <c r="Q74" i="3"/>
  <c r="Q327" i="3"/>
  <c r="Q315" i="3"/>
  <c r="Q316" i="3"/>
  <c r="Q319" i="3"/>
  <c r="Q320" i="3"/>
  <c r="Q321" i="3"/>
  <c r="Q325" i="3"/>
  <c r="Q326" i="3"/>
  <c r="Q453" i="3"/>
  <c r="Q454" i="3"/>
  <c r="Q457" i="3"/>
  <c r="Q458" i="3"/>
  <c r="Q459" i="3"/>
  <c r="Q460" i="3"/>
  <c r="Q463" i="3"/>
  <c r="Q464" i="3"/>
  <c r="Q209" i="3"/>
  <c r="Q212" i="3"/>
  <c r="Q213" i="3"/>
  <c r="Q217" i="3"/>
  <c r="Q220" i="3"/>
  <c r="Q221" i="3"/>
  <c r="Q223" i="3"/>
  <c r="Q225" i="3"/>
  <c r="Q226" i="3"/>
  <c r="Q227" i="3"/>
  <c r="Q38" i="3"/>
  <c r="Q24" i="3"/>
  <c r="Q26" i="3"/>
  <c r="Q28" i="3"/>
  <c r="Q29" i="3"/>
  <c r="Q30" i="3"/>
  <c r="Q33" i="3"/>
  <c r="Q35" i="3"/>
  <c r="Q36" i="3"/>
  <c r="Q92" i="3"/>
  <c r="Q107" i="3"/>
  <c r="Q99" i="3"/>
  <c r="Q101" i="3"/>
  <c r="Q104" i="3"/>
  <c r="Q105" i="3"/>
  <c r="Q329" i="3"/>
  <c r="Q345" i="3"/>
  <c r="Q332" i="3"/>
  <c r="Q339" i="3"/>
  <c r="Q342" i="3"/>
  <c r="Q343" i="3"/>
  <c r="Q396" i="3"/>
  <c r="Q385" i="3"/>
  <c r="Q390" i="3"/>
  <c r="Q391" i="3"/>
  <c r="Q393" i="3"/>
  <c r="Q394" i="3"/>
  <c r="Q267" i="3"/>
  <c r="Q268" i="3"/>
  <c r="Q270" i="3"/>
  <c r="Q271" i="3"/>
  <c r="Q272" i="3"/>
  <c r="Q273" i="3"/>
  <c r="Q274" i="3"/>
  <c r="Q275" i="3"/>
  <c r="Q276" i="3"/>
  <c r="Q278" i="3"/>
  <c r="Q279" i="3"/>
  <c r="Q280" i="3"/>
  <c r="Q282" i="3"/>
  <c r="Q283" i="3"/>
  <c r="Q284" i="3"/>
  <c r="Q57" i="3"/>
  <c r="Q73" i="3"/>
  <c r="Q62" i="3"/>
  <c r="Q65" i="3"/>
  <c r="Q66" i="3"/>
  <c r="Q68" i="3"/>
  <c r="Q69" i="3"/>
  <c r="Q70" i="3"/>
  <c r="Q71" i="3"/>
  <c r="Q72" i="3"/>
  <c r="Q378" i="3"/>
  <c r="Q366" i="3"/>
  <c r="Q367" i="3"/>
  <c r="Q369" i="3"/>
  <c r="Q376" i="3"/>
  <c r="Q377" i="3"/>
  <c r="Q429" i="3"/>
  <c r="Q417" i="3"/>
  <c r="Q421" i="3"/>
  <c r="Q423" i="3"/>
  <c r="Q424" i="3"/>
  <c r="Q426" i="3"/>
  <c r="Q413" i="3"/>
  <c r="Q427" i="3"/>
  <c r="Q428" i="3"/>
  <c r="Q292" i="3"/>
  <c r="Q293" i="3"/>
  <c r="Q295" i="3"/>
  <c r="Q296" i="3"/>
  <c r="Q297" i="3"/>
  <c r="Q298" i="3"/>
  <c r="Q299" i="3"/>
  <c r="Q300" i="3"/>
  <c r="Q301" i="3"/>
  <c r="Q302" i="3"/>
  <c r="Q303" i="3"/>
  <c r="Q304" i="3"/>
  <c r="Q305" i="3"/>
  <c r="Q307" i="3"/>
  <c r="Q308" i="3"/>
  <c r="Q309" i="3"/>
  <c r="Q149" i="3"/>
  <c r="Q127" i="3"/>
  <c r="Q128" i="3"/>
  <c r="Q129" i="3"/>
  <c r="Q131" i="3"/>
  <c r="Q132" i="3"/>
  <c r="Q133" i="3"/>
  <c r="Q134" i="3"/>
  <c r="Q137" i="3"/>
  <c r="Q142" i="3"/>
  <c r="Q143" i="3"/>
  <c r="Q145" i="3"/>
  <c r="Q146" i="3"/>
  <c r="Q147" i="3"/>
  <c r="Q148" i="3"/>
  <c r="Q179" i="3"/>
  <c r="Q183" i="3"/>
  <c r="Q184" i="3"/>
  <c r="Q185" i="3"/>
  <c r="Q186" i="3"/>
  <c r="Q188" i="3"/>
  <c r="Q191" i="3"/>
  <c r="Q192" i="3"/>
  <c r="Q196" i="3"/>
  <c r="Q199" i="3"/>
  <c r="Q200" i="3"/>
  <c r="Q201" i="3"/>
  <c r="Q236" i="3"/>
  <c r="Q245" i="3"/>
  <c r="Q248" i="3"/>
  <c r="Q250" i="3"/>
  <c r="Q252" i="3"/>
  <c r="Q255" i="3"/>
  <c r="Q256" i="3"/>
  <c r="Q346" i="3"/>
  <c r="Q361" i="3"/>
  <c r="Q349" i="3"/>
  <c r="Q356" i="3"/>
  <c r="Q359" i="3"/>
  <c r="Q360" i="3"/>
  <c r="Q152" i="3"/>
  <c r="Q177" i="3"/>
  <c r="Q154" i="3"/>
  <c r="Q155" i="3"/>
  <c r="Q156" i="3"/>
  <c r="Q157" i="3"/>
  <c r="Q158" i="3"/>
  <c r="Q160" i="3"/>
  <c r="Q161" i="3"/>
  <c r="Q162" i="3"/>
  <c r="Q163" i="3"/>
  <c r="Q164" i="3"/>
  <c r="Q153" i="3"/>
  <c r="Q168" i="3"/>
  <c r="Q169" i="3"/>
  <c r="Q170" i="3"/>
  <c r="Q173" i="3"/>
  <c r="Q3" i="3"/>
  <c r="Q4" i="3"/>
  <c r="Q19" i="3"/>
  <c r="Q7" i="3"/>
  <c r="Q624" i="3"/>
  <c r="Q626" i="3"/>
  <c r="Q726" i="3"/>
  <c r="Q740" i="3"/>
  <c r="Q738" i="3"/>
  <c r="Q734" i="3"/>
  <c r="Q731" i="3"/>
  <c r="Q344" i="3"/>
  <c r="Q358" i="3"/>
  <c r="Q357" i="3"/>
  <c r="Q355" i="3"/>
  <c r="Q354" i="3"/>
  <c r="Q353" i="3"/>
  <c r="Q352" i="3"/>
  <c r="Q351" i="3"/>
  <c r="Q350" i="3"/>
  <c r="Q348" i="3"/>
  <c r="Q347" i="3"/>
  <c r="Q499" i="3"/>
  <c r="Q511" i="3"/>
  <c r="Q509" i="3"/>
  <c r="Q507" i="3"/>
  <c r="Q506" i="3"/>
  <c r="Q504" i="3"/>
  <c r="Q503" i="3"/>
  <c r="Q502" i="3"/>
  <c r="Q501" i="3"/>
  <c r="Q254" i="3"/>
  <c r="Q253" i="3"/>
  <c r="Q247" i="3"/>
  <c r="Q246" i="3"/>
  <c r="Q229" i="3"/>
  <c r="Q244" i="3"/>
  <c r="Q243" i="3"/>
  <c r="Q242" i="3"/>
  <c r="Q241" i="3"/>
  <c r="Q240" i="3"/>
  <c r="Q238" i="3"/>
  <c r="Q237" i="3"/>
  <c r="Q235" i="3"/>
  <c r="Q234" i="3"/>
  <c r="Q257" i="3"/>
  <c r="Q233" i="3"/>
  <c r="Q232" i="3"/>
  <c r="Q231" i="3"/>
  <c r="Q619" i="3"/>
  <c r="Q466" i="3"/>
  <c r="Q478" i="3"/>
  <c r="Q475" i="3"/>
  <c r="Q474" i="3"/>
  <c r="Q473" i="3"/>
  <c r="Q471" i="3"/>
  <c r="Q469" i="3"/>
  <c r="Q468" i="3"/>
  <c r="Q868" i="3"/>
  <c r="Q880" i="3"/>
  <c r="Q878" i="3"/>
  <c r="Q877" i="3"/>
  <c r="Q876" i="3"/>
  <c r="Q875" i="3"/>
  <c r="Q871" i="3"/>
  <c r="Q870" i="3"/>
  <c r="Q869" i="3"/>
  <c r="Q198" i="3"/>
  <c r="Q197" i="3"/>
  <c r="Q195" i="3"/>
  <c r="Q194" i="3"/>
  <c r="Q193" i="3"/>
  <c r="Q178" i="3"/>
  <c r="Q190" i="3"/>
  <c r="Q189" i="3"/>
  <c r="Q187" i="3"/>
  <c r="Q182" i="3"/>
  <c r="Q202" i="3"/>
  <c r="Q181" i="3"/>
  <c r="Q180" i="3"/>
  <c r="Q144" i="3"/>
  <c r="Q141" i="3"/>
  <c r="Q140" i="3"/>
  <c r="Q139" i="3"/>
  <c r="Q123" i="3"/>
  <c r="Q138" i="3"/>
  <c r="Q136" i="3"/>
  <c r="Q135" i="3"/>
  <c r="Q130" i="3"/>
  <c r="Q126" i="3"/>
  <c r="Q125" i="3"/>
  <c r="Q124" i="3"/>
  <c r="Q287" i="3"/>
  <c r="Q306" i="3"/>
  <c r="Q259" i="3"/>
  <c r="Q294" i="3"/>
  <c r="Q291" i="3"/>
  <c r="Q290" i="3"/>
  <c r="Q289" i="3"/>
  <c r="Q288" i="3"/>
  <c r="Q286" i="3"/>
  <c r="Q285" i="3"/>
  <c r="Q815" i="3"/>
  <c r="Q828" i="3"/>
  <c r="Q827" i="3"/>
  <c r="Q823" i="3"/>
  <c r="Q822" i="3"/>
  <c r="Q821" i="3"/>
  <c r="Q820" i="3"/>
  <c r="Q818" i="3"/>
  <c r="Q817" i="3"/>
  <c r="Q816" i="3"/>
  <c r="Q583" i="3"/>
  <c r="Q596" i="3"/>
  <c r="Q595" i="3"/>
  <c r="Q590" i="3"/>
  <c r="Q589" i="3"/>
  <c r="Q586" i="3"/>
  <c r="Q585" i="3"/>
  <c r="Q584" i="3"/>
  <c r="Q425" i="3"/>
  <c r="Q422" i="3"/>
  <c r="Q420" i="3"/>
  <c r="Q419" i="3"/>
  <c r="Q418" i="3"/>
  <c r="Q416" i="3"/>
  <c r="Q415" i="3"/>
  <c r="Q414" i="3"/>
  <c r="Q628" i="3"/>
  <c r="Q744" i="3"/>
  <c r="Q756" i="3"/>
  <c r="Q754" i="3"/>
  <c r="Q753" i="3"/>
  <c r="Q751" i="3"/>
  <c r="Q750" i="3"/>
  <c r="Q749" i="3"/>
  <c r="Q748" i="3"/>
  <c r="Q745" i="3"/>
  <c r="Q517" i="3"/>
  <c r="Q529" i="3"/>
  <c r="Q524" i="3"/>
  <c r="Q523" i="3"/>
  <c r="Q520" i="3"/>
  <c r="Q519" i="3"/>
  <c r="Q518" i="3"/>
  <c r="Q919" i="3"/>
  <c r="Q931" i="3"/>
  <c r="Q929" i="3"/>
  <c r="Q928" i="3"/>
  <c r="Q927" i="3"/>
  <c r="Q926" i="3"/>
  <c r="Q925" i="3"/>
  <c r="Q922" i="3"/>
  <c r="Q921" i="3"/>
  <c r="Q920" i="3"/>
  <c r="Q363" i="3"/>
  <c r="Q364" i="3"/>
  <c r="Q365" i="3"/>
  <c r="Q368" i="3"/>
  <c r="Q370" i="3"/>
  <c r="Q371" i="3"/>
  <c r="Q372" i="3"/>
  <c r="Q373" i="3"/>
  <c r="Q374" i="3"/>
  <c r="Q375" i="3"/>
  <c r="Q362" i="3"/>
  <c r="Q228" i="3"/>
  <c r="Q260" i="3"/>
  <c r="Q261" i="3"/>
  <c r="Q310" i="3"/>
  <c r="Q262" i="3"/>
  <c r="Q263" i="3"/>
  <c r="Q264" i="3"/>
  <c r="Q265" i="3"/>
  <c r="Q266" i="3"/>
  <c r="Q269" i="3"/>
  <c r="Q258" i="3"/>
  <c r="Q277" i="3"/>
  <c r="Q281" i="3"/>
  <c r="Q58" i="3"/>
  <c r="Q59" i="3"/>
  <c r="Q60" i="3"/>
  <c r="Q61" i="3"/>
  <c r="Q63" i="3"/>
  <c r="Q64" i="3"/>
  <c r="Q67" i="3"/>
  <c r="Q56" i="3"/>
  <c r="Q382" i="3" l="1"/>
  <c r="Q383" i="3"/>
  <c r="Q384" i="3"/>
  <c r="Q386" i="3"/>
  <c r="Q387" i="3"/>
  <c r="Q388" i="3"/>
  <c r="Q389" i="3"/>
  <c r="Q392" i="3"/>
  <c r="Q379" i="3"/>
  <c r="Q782" i="3"/>
  <c r="Q783" i="3"/>
  <c r="Q784" i="3"/>
  <c r="Q785" i="3"/>
  <c r="Q786" i="3"/>
  <c r="Q793" i="3"/>
  <c r="Q381" i="3"/>
  <c r="Q380" i="3"/>
  <c r="Q91" i="3"/>
  <c r="Q625" i="3" l="1"/>
  <c r="Q714" i="3"/>
  <c r="Q717" i="3"/>
  <c r="Q721" i="3"/>
  <c r="Q723" i="3"/>
  <c r="Q710" i="3"/>
  <c r="Q484" i="3"/>
  <c r="Q485" i="3"/>
  <c r="Q486" i="3"/>
  <c r="Q487" i="3"/>
  <c r="Q489" i="3"/>
  <c r="Q490" i="3"/>
  <c r="Q492" i="3"/>
  <c r="Q494" i="3"/>
  <c r="Q483" i="3"/>
  <c r="Q330" i="3"/>
  <c r="Q331" i="3"/>
  <c r="Q333" i="3"/>
  <c r="Q334" i="3"/>
  <c r="Q335" i="3"/>
  <c r="Q336" i="3"/>
  <c r="Q337" i="3"/>
  <c r="Q338" i="3"/>
  <c r="Q340" i="3"/>
  <c r="Q341" i="3"/>
  <c r="Q328" i="3"/>
  <c r="Q886" i="3"/>
  <c r="Q887" i="3"/>
  <c r="Q888" i="3"/>
  <c r="Q902" i="3"/>
  <c r="Q889" i="3"/>
  <c r="Q890" i="3"/>
  <c r="Q891" i="3"/>
  <c r="Q892" i="3"/>
  <c r="Q893" i="3"/>
  <c r="Q894" i="3"/>
  <c r="Q895" i="3"/>
  <c r="Q897" i="3"/>
  <c r="Q885" i="3"/>
  <c r="Q103" i="3"/>
  <c r="Q102" i="3"/>
  <c r="Q100" i="3"/>
  <c r="Q98" i="3"/>
  <c r="Q96" i="3"/>
  <c r="Q97" i="3"/>
  <c r="Q95" i="3"/>
  <c r="Q94" i="3"/>
  <c r="Q93" i="3"/>
  <c r="Q20" i="3"/>
  <c r="Q34" i="3"/>
  <c r="Q32" i="3"/>
  <c r="Q31" i="3"/>
  <c r="Q27" i="3"/>
  <c r="Q25" i="3"/>
  <c r="Q22" i="3"/>
  <c r="Q23" i="3"/>
  <c r="Q21" i="3"/>
  <c r="Q224" i="3"/>
  <c r="Q219" i="3"/>
  <c r="Q218" i="3"/>
  <c r="Q203" i="3"/>
  <c r="Q216" i="3"/>
  <c r="Q215" i="3"/>
  <c r="Q214" i="3"/>
  <c r="Q211" i="3"/>
  <c r="Q210" i="3"/>
  <c r="Q208" i="3"/>
  <c r="Q207" i="3"/>
  <c r="Q205" i="3"/>
  <c r="Q206" i="3"/>
  <c r="Q230" i="3"/>
  <c r="Q204" i="3"/>
  <c r="Q8" i="3" l="1"/>
  <c r="Q11" i="3"/>
  <c r="Q13" i="3"/>
  <c r="Q16" i="3"/>
  <c r="Q76" i="3"/>
  <c r="Q77" i="3"/>
  <c r="Q78" i="3"/>
  <c r="Q79" i="3"/>
  <c r="Q81" i="3"/>
  <c r="Q82" i="3"/>
  <c r="Q83" i="3"/>
  <c r="Q84" i="3"/>
  <c r="Q85" i="3"/>
  <c r="Q86" i="3"/>
  <c r="Q87" i="3"/>
  <c r="Q88" i="3"/>
  <c r="Q89" i="3"/>
  <c r="Q90" i="3"/>
  <c r="Q312" i="3"/>
  <c r="Q313" i="3"/>
  <c r="Q314" i="3"/>
  <c r="Q317" i="3"/>
  <c r="Q318" i="3"/>
  <c r="Q322" i="3"/>
  <c r="Q323" i="3"/>
  <c r="Q324" i="3"/>
  <c r="Q311" i="3"/>
  <c r="Q852" i="3"/>
  <c r="Q853" i="3"/>
  <c r="Q854" i="3"/>
  <c r="Q858" i="3"/>
  <c r="Q859" i="3"/>
  <c r="Q863" i="3"/>
  <c r="Q864" i="3"/>
  <c r="Q450" i="3"/>
  <c r="Q451" i="3"/>
  <c r="Q452" i="3"/>
  <c r="Q455" i="3"/>
  <c r="Q456" i="3"/>
  <c r="Q461" i="3"/>
  <c r="Q462" i="3"/>
  <c r="Q449" i="3"/>
  <c r="Q703" i="3"/>
  <c r="Q704" i="3"/>
  <c r="Q705" i="3"/>
  <c r="Q706" i="3"/>
  <c r="Q535" i="3"/>
  <c r="Q536" i="3"/>
  <c r="Q537" i="3"/>
  <c r="Q540" i="3"/>
  <c r="Q541" i="3"/>
  <c r="Q543" i="3"/>
  <c r="Q546" i="3"/>
  <c r="Q547" i="3"/>
  <c r="Q534" i="3"/>
  <c r="Q654" i="3"/>
  <c r="Q655" i="3"/>
  <c r="Q656" i="3"/>
  <c r="Q658" i="3"/>
  <c r="Q659" i="3"/>
  <c r="Q660" i="3"/>
  <c r="Q662" i="3"/>
  <c r="Q665" i="3"/>
  <c r="Q666" i="3"/>
  <c r="Q653" i="3"/>
  <c r="Q765" i="3"/>
  <c r="Q766" i="3"/>
  <c r="Q767" i="3"/>
  <c r="Q770" i="3"/>
  <c r="Q771" i="3"/>
  <c r="Q772" i="3"/>
  <c r="Q773" i="3"/>
  <c r="Q776" i="3"/>
  <c r="Q777" i="3"/>
  <c r="Q764" i="3"/>
  <c r="Q937" i="3"/>
  <c r="Q938" i="3"/>
  <c r="Q939" i="3"/>
  <c r="Q944" i="3"/>
  <c r="Q945" i="3"/>
  <c r="Q947" i="3"/>
  <c r="Q936" i="3"/>
</calcChain>
</file>

<file path=xl/sharedStrings.xml><?xml version="1.0" encoding="utf-8"?>
<sst xmlns="http://schemas.openxmlformats.org/spreadsheetml/2006/main" count="15869" uniqueCount="483">
  <si>
    <t>✔️</t>
  </si>
  <si>
    <t>NA</t>
  </si>
  <si>
    <t>Obra</t>
  </si>
  <si>
    <t>Itens de verificação</t>
  </si>
  <si>
    <t>Status</t>
  </si>
  <si>
    <t>Evidência / Observação</t>
  </si>
  <si>
    <t>CF</t>
  </si>
  <si>
    <t>Peso</t>
  </si>
  <si>
    <t>Pontos</t>
  </si>
  <si>
    <t>ARQ</t>
  </si>
  <si>
    <t>Ponto de Origem</t>
  </si>
  <si>
    <t>Alinhamento conforme BEP: O ponto de origem (Ponto de base do projeto / Ponto de topografia) está de acordo com o definido no BEP?</t>
  </si>
  <si>
    <t>Sistema de Unidades</t>
  </si>
  <si>
    <t>Unidades e Precisão: O sistema de unidades (m, cm, etc.) e a precisão (casas decimais, arredondamento) estão de acordo com o BEP?</t>
  </si>
  <si>
    <t>Nomenclatura de Arquivos e Modelos</t>
  </si>
  <si>
    <t>Nome do arquivo .RVT: Segue o padrão estabelecido (conforme o ConstruCode)?</t>
  </si>
  <si>
    <t>Modelo de Embasamento (GER): O modelo de embasamento está nomeado corretamente como “GER” (ou conforme o padrão do BEP)?</t>
  </si>
  <si>
    <t>Níveis</t>
  </si>
  <si>
    <t>Níveis alinhados ao BEP: Os níveis (térreo, pavimento tipo, cobertura etc.) estão de acordo com as referências de altura e organização definidas no BEP?</t>
  </si>
  <si>
    <t>Nomenclatura de níveis: A nomenclatura (ex.: “Térreo”, “1º Pavimento”, “Cobertura”) segue o padrão do BEP?</t>
  </si>
  <si>
    <t>Opções de Projeto (Design Options)</t>
  </si>
  <si>
    <t>Uso correto de “Opções de Projeto”: Estão sendo utilizadas somente conforme a estratégia do BEP, sem criar opções desnecessárias?</t>
  </si>
  <si>
    <t>Vinculos RVT</t>
  </si>
  <si>
    <t>Os vinculos estão com a nomenclatura correta do nível?</t>
  </si>
  <si>
    <t>Os vinculos estão de acordo com a divisão de modelos do BEP?</t>
  </si>
  <si>
    <t>Elementos Modelados</t>
  </si>
  <si>
    <t>Sobreposição de elementos</t>
  </si>
  <si>
    <t>Varanda sem a modelagem da parede do guarda-corpo</t>
  </si>
  <si>
    <t>Associação aos Níveis: Todos os elementos (paredes, pisos, pilares, etc.) estão associados aos níveis corretos, sem offsets excessivos?</t>
  </si>
  <si>
    <t>Modelagem no local (“Modelo in-place”): Existem elementos criados no local? Se sim, é realmente necessário ou deveria ser uma família carregável?</t>
  </si>
  <si>
    <t>Duplicações</t>
  </si>
  <si>
    <t>Materiais</t>
  </si>
  <si>
    <t>O nome dos materiais está padronizado?</t>
  </si>
  <si>
    <t>Paredes</t>
  </si>
  <si>
    <t>Tipo de Parede: As paredes de arquitetura estão definidas como “Parede Básica” (em vez de “Parede Empilhada ”)?</t>
  </si>
  <si>
    <t>Camadas: As paredes possuem as camadas Estrutura, Substrato e Acabamento, conforme especificado (reboco, cerâmica, pintura etc.)?</t>
  </si>
  <si>
    <t>Espessuras: As espessuras das camadas estão corretas?
    - Reboco interno: 2,5 cm
    - Reboco externo: 5 cm
    - Revestimento cerâmico (parede): 1,5 cm
    - Pintura interna: 0,25 cm
    - Pintura externa: 0,50 cm</t>
  </si>
  <si>
    <t>Orientação: O lado externo da parede está voltado realmente para o exterior (parede não “espelhada”)?</t>
  </si>
  <si>
    <t>Pisos</t>
  </si>
  <si>
    <t>Camadas de Piso: O piso possui camada de substrato (contrapiso, laje etc.) e acabamento (porcelanato, cerâmica etc.)?</t>
  </si>
  <si>
    <t>Espessuras: As espessuras seguem o padrão estabelecido?
    - Contrapiso: 4 cm (áreas secas/molháveis) ou 3 cm (áreas molhadas)
    - Piso polido (capeamento de laje): 6 cm
    - Piso em contato direto com o solo: 12 cm
    - Revestimento cerâmico de piso: 1,5 cm</t>
  </si>
  <si>
    <t>Requisitos de Modelagem (Parâmetros e Classificações)</t>
  </si>
  <si>
    <t>AIT</t>
  </si>
  <si>
    <t>Rodapés</t>
  </si>
  <si>
    <t>Modelagem como “Moldura de Parede”: Os rodapés foram criados via “Moldura de Parede” (Wall Sweep) ou outro método indicado pelo BEP?</t>
  </si>
  <si>
    <t>Bancadas</t>
  </si>
  <si>
    <t>Famílias Carregadas: Bancadas (cozinha, banheiro etc.) são famílias carregadas no modelo, com parâmetros de altura, profundidade, materiais etc.?</t>
  </si>
  <si>
    <t>Parametro não cadastrado</t>
  </si>
  <si>
    <t>APS</t>
  </si>
  <si>
    <t>CLI</t>
  </si>
  <si>
    <t>HSP</t>
  </si>
  <si>
    <t>HID</t>
  </si>
  <si>
    <t>Inclinação esta preenchida como grau, deve ser em % conforme previsto no BEP</t>
  </si>
  <si>
    <t>Possui elementos não vinculados aos niveis corretos no modelo GER</t>
  </si>
  <si>
    <t>ELE</t>
  </si>
  <si>
    <t>EST</t>
  </si>
  <si>
    <t>ELS</t>
  </si>
  <si>
    <t>Possui arquivos com nomenclatura TIP E PHT</t>
  </si>
  <si>
    <t>Arquivos de CLI possuem nivel adicional com nomenclatura de "apagar"</t>
  </si>
  <si>
    <t>Não possui vista "Federeda" configurada como especificado no BEP</t>
  </si>
  <si>
    <t>Favor deslocar o ponto base conforme previsto no BEP</t>
  </si>
  <si>
    <t>Arquivo GER esta com opção de projeto, e Pavimentos tipo não estão com opção de projetos cadastradas corretamente</t>
  </si>
  <si>
    <t>EPR</t>
  </si>
  <si>
    <t>parte das nomenclatura dos niveis com a informação de planta baixa</t>
  </si>
  <si>
    <t>Deslocamento do ponto Base não especificado</t>
  </si>
  <si>
    <t>Unidade de medida de graus em desacordo com BEP</t>
  </si>
  <si>
    <t>Vai ser ajustado no BEP</t>
  </si>
  <si>
    <t>Não foi disponibilizado o arquivo RVT</t>
  </si>
  <si>
    <t>Nomenclatura dos niveis divergentes do especificado no BEP</t>
  </si>
  <si>
    <t>IRR</t>
  </si>
  <si>
    <t>Posssui nivel adicional com nomenclatura de Nivel 1</t>
  </si>
  <si>
    <t>possui elementos deslocados no modelo</t>
  </si>
  <si>
    <t>Possui elementos deslocados no modelo</t>
  </si>
  <si>
    <t>Nos vinculos foi necessário considerar coordendas compartilhadas para posicionar no modelo Geral</t>
  </si>
  <si>
    <t>Elementos de vinculos modelados no arquivo GER</t>
  </si>
  <si>
    <t>Foi modelado rampas como modelagem no local, esse tipo de modelagem não é permitida.</t>
  </si>
  <si>
    <t>HGA</t>
  </si>
  <si>
    <t>Arquivos com nomenclatura divergenta da especificada no BEP</t>
  </si>
  <si>
    <t>Não possui vista com nomenclatura "FEDERADA" configurada conforme BEP</t>
  </si>
  <si>
    <t>(Não esta com opções)</t>
  </si>
  <si>
    <t>Verificar todas as tipologias de parede, pois estão com as espessuras de reboco, pintura e revestimento cerâmico divergentes do BEP.</t>
  </si>
  <si>
    <t>Não é permitido opção de planta no arquivo GER</t>
  </si>
  <si>
    <t>Possui itens itens modelados fora do nivel</t>
  </si>
  <si>
    <t>HIN</t>
  </si>
  <si>
    <t>arquivo GER em NVS</t>
  </si>
  <si>
    <t>Niveis estão deslocados</t>
  </si>
  <si>
    <t>(Não verificado no arquivo GER)</t>
  </si>
  <si>
    <t>Ponto base sem deslocamento</t>
  </si>
  <si>
    <t>Arquivos tipos com nomenclatura divergente do BEP</t>
  </si>
  <si>
    <t>ponto base não possui deslocamento</t>
  </si>
  <si>
    <t>Modelo GER não disponibilizado em RVT</t>
  </si>
  <si>
    <t>Foram encontradas várias paredes sem revestimento de fachada; em alguns casos, as paredes estavam espelhadas.</t>
  </si>
  <si>
    <t>Vista "FEDERADA" não configurada</t>
  </si>
  <si>
    <t>Possui elementos deslocados</t>
  </si>
  <si>
    <t>(possui mas para elementos inerentes ao projeto)</t>
  </si>
  <si>
    <t>Possui modelos sem classificação</t>
  </si>
  <si>
    <t>possui elementos deslocados</t>
  </si>
  <si>
    <t>Ponto base não esta com deslocamento configurado conforme BEP</t>
  </si>
  <si>
    <t>Nomenclatura dos arquivos divergentes do previsto no BEP</t>
  </si>
  <si>
    <t>Arquivo GER esta com a nomenclatura de  0PR</t>
  </si>
  <si>
    <t>Não configurado ponto base conforme solicitado no BEP</t>
  </si>
  <si>
    <t>Nomenclatura dos arquivos divergentes do previsto no BEP e arquivos divididos não previstos para instalações</t>
  </si>
  <si>
    <t>Possui pavimentos com a nomenclatura divergente da solicitada no BEP</t>
  </si>
  <si>
    <t>Possui dois arquivos divididos e opções a menos</t>
  </si>
  <si>
    <t>Unidade de medida em graus em desacordo com BEP</t>
  </si>
  <si>
    <t>Possuem itens com ancoragem incorretas</t>
  </si>
  <si>
    <t>Unidade de medida esta em graus</t>
  </si>
  <si>
    <t>Ponto base sem deslocamento configurado</t>
  </si>
  <si>
    <t>modelo esta com a nomenclatura descrita como 0PR</t>
  </si>
  <si>
    <t>BEP solicita que o arquivo de instalações esteja em 1 arquivo nomeado como TPO</t>
  </si>
  <si>
    <t>Renomear a vista de exportação navisworks para federada ou criar um nova vista com nomenlcatura de "FEDERADA" configurada conforme BEP</t>
  </si>
  <si>
    <t>Posssui elementos alinhados em niveis divergentes</t>
  </si>
  <si>
    <t>(Possui porem somente alguns sifoes)</t>
  </si>
  <si>
    <t>Elemento caixa sanfonada não esta vinculado a niveis</t>
  </si>
  <si>
    <t>(arquivos fragmentados junto as opções, agurdando correção para verificação)</t>
  </si>
  <si>
    <t>Ponto base esta sem o deslocamento configurado</t>
  </si>
  <si>
    <t>Sera nessesario renomear a vista para FEDERADO para mantermos conforme o BEP</t>
  </si>
  <si>
    <t>O modelo possui níveis com nomenclatura divergente das previstas no BEP.</t>
  </si>
  <si>
    <t>A nomenclatura dos arquivos TIPO está divergente da especificada no BEP. Favor verificar.</t>
  </si>
  <si>
    <t>Não possui vista federada configurada</t>
  </si>
  <si>
    <t>Possui diversas bancadas modeladas como modelo generico e sem informações de medidas</t>
  </si>
  <si>
    <t>Possui diversos elemento em niveis distintos</t>
  </si>
  <si>
    <t>Possuem niveis na garagem com nomenclatura divergente do BEP</t>
  </si>
  <si>
    <t>niveis desalinhados com o solicitado no BEP</t>
  </si>
  <si>
    <t>Divisão decimal dos numeros divergente</t>
  </si>
  <si>
    <t>Categoria</t>
  </si>
  <si>
    <t>Disciplina</t>
  </si>
  <si>
    <t>R15RV - TERRA UNNA</t>
  </si>
  <si>
    <t>PR</t>
  </si>
  <si>
    <t>Fase</t>
  </si>
  <si>
    <t>R4A - HELLO VISION</t>
  </si>
  <si>
    <t>Tipo de Parede: As paredes de arquitetura estão definidas como “Parede Básica” (em vez de “Parede Genérica”)?</t>
  </si>
  <si>
    <t>PB</t>
  </si>
  <si>
    <t>EMT</t>
  </si>
  <si>
    <t>CPR</t>
  </si>
  <si>
    <t>O modelo de embasamento está com o nome BAS</t>
  </si>
  <si>
    <t>Ponto maximo</t>
  </si>
  <si>
    <t>O 27P está com opção de planta (No BEP não é permitido)
O TP3 não está considerando opção de planta PCD</t>
  </si>
  <si>
    <t>A vista deve estar com o nome FEDERADO</t>
  </si>
  <si>
    <t>Existem 2 instâncias de vários tipos de materiais, por exemplo:
 __REBOCO INTERNO 2,0CM != REBOCO_INTERNO 2,0</t>
  </si>
  <si>
    <t>ALV-BLOCO_CERÂMICO-14CM-EXT(5.5x5.5) VIRA
ALV-BLOCO_CERÂMICO-39CM-EXT(5.5x2.0) - PAREDE ESPECIAL PREFEITURA
ALV-BLOCO_CERÂMICO-39CM-EXT(5.5x2.5) - PAREDE ESPECIAL PREFEITURA</t>
  </si>
  <si>
    <t>ALV-BLOCO_CERAMICO-11.5CM-EXT(5.5X3.0): O reboco interno está de 1,4cm (BEP = 2,5cm)
ALV-BLOCO_CERAMICO-39CM-EXT(5.5X2.5) - PAREDE ESPECIAL PREFEITURA: O reboco interno está de 2,3cm (BEP = 2,5cm)
ALV-BLOCO_CERAMICO-11.5CM-EXT(5.5X2.5): O reboco externo está de 4cm (BEP = 5cm)</t>
  </si>
  <si>
    <t>Verificar o BCF</t>
  </si>
  <si>
    <t>Espessuras divergentes nos pisos</t>
  </si>
  <si>
    <t>9846 - 7170 - 4988</t>
  </si>
  <si>
    <t>Na nomenclatura dos numeros estão desconfiguradas</t>
  </si>
  <si>
    <t>Esta como modelo BAS, deve ser alterado.</t>
  </si>
  <si>
    <t>Possui um nivel de subsolo 02 não previsto no BEP</t>
  </si>
  <si>
    <t>Arquivo TPO esta sem opção de planta PCD</t>
  </si>
  <si>
    <t>Sem vista federada no modelo GER</t>
  </si>
  <si>
    <t>Possui elementos hospedados em niveis divergentes dos quais deveriam.</t>
  </si>
  <si>
    <t>Niveis com nomenclatura divergente do BEP</t>
  </si>
  <si>
    <t>O arquivo GER está sem a vista 3D com a nomenclatura de FEDERADA no modelo GER, conforme previsto no BEP.</t>
  </si>
  <si>
    <t>Não configurado</t>
  </si>
  <si>
    <t>1329 / 5629 / 5629</t>
  </si>
  <si>
    <t>O ponto base no arquvo TP03 esta deslocado, favor verificar.</t>
  </si>
  <si>
    <t>Não foi deslocado o ponto base do projeto</t>
  </si>
  <si>
    <t xml:space="preserve"> A altura do ponto base não está configurada conforme o BEP; deve ser deslocada em 100,15. Favor verificar BEP</t>
  </si>
  <si>
    <t>FALTAM OS ARQUIVOS: TPO, TP3 E PCD, E POSSUI UM ARQUIVO COM A NOMENCLATURA DE BAS.</t>
  </si>
  <si>
    <t>POSSUI NIVEL 0 NOS ARQUIVOS</t>
  </si>
  <si>
    <t>NOS ARQUIVOS QUE FORAM DISPONIBILIZADOS SIM, POREM NÃO FOI VERIFICADO  TPO, TP3 E PCD</t>
  </si>
  <si>
    <t>NÃO POSSUI NENHUMA VISTA 3D E NEM OPÇÃO FEDERADA NO ARQUIVO PRINCIPAL</t>
  </si>
  <si>
    <t>POSTE DE ILUMINAÇÃO NÃO ESTA INCERIDO EM FAMILIAS</t>
  </si>
  <si>
    <t>FOI ACORDADO QUE NO PR SERA RESOLVIDO, SERA FECHADO APONTAMENTO APÓS CONCLUSÃO</t>
  </si>
  <si>
    <t>Modelo deslocado</t>
  </si>
  <si>
    <t>A nomenclatura do arquivo geral deve ser MOD-GER ao invés de MOD-MOD.</t>
  </si>
  <si>
    <t>Niveis com nomenclatura divergente no IFC</t>
  </si>
  <si>
    <t xml:space="preserve">  </t>
  </si>
  <si>
    <t>Corrigir o ponto base de todos os arquivos conforme a solicitação do BEP. (Deslocamento na Elevação de -100,15)</t>
  </si>
  <si>
    <t>Modelo esta com nomenclatura de BAS</t>
  </si>
  <si>
    <t>Nivel RESER. SUP. LOJAS  não aparece porem e nivel intermediario, esta OK</t>
  </si>
  <si>
    <t>Duto não associado a nenhum nivel</t>
  </si>
  <si>
    <t>Duto modelado no local</t>
  </si>
  <si>
    <t>Possui um nivel adicional (nivel 1)</t>
  </si>
  <si>
    <t>Não possui vista FEDERADA</t>
  </si>
  <si>
    <t>possui elemento com deslocamento</t>
  </si>
  <si>
    <t>Possui deslocamento não previsto no ponto base</t>
  </si>
  <si>
    <t>Não esta configurado</t>
  </si>
  <si>
    <t>Nomenclatura divergente</t>
  </si>
  <si>
    <t>Verificar itens que não estão associados a nenhum nivel ou que estão associados a niveis divergentes</t>
  </si>
  <si>
    <t>Ponto base sem deslocamento: Corrigir o ponto dos arquivos conforme a solicitação do BEP. (Deslocamento na Elevação de -100,15)</t>
  </si>
  <si>
    <t>Modelo GER não possui vista FEDERADA. O modelo GER não possui a vista com a nomenclatura: FEDERADA conforme previsto no BEP como a vista 3D padrão.</t>
  </si>
  <si>
    <t>Cota de Niveis divergentes</t>
  </si>
  <si>
    <t>VERIFICAR o por que não esta possuindo opções de projetos</t>
  </si>
  <si>
    <t>Diversos elementos em outros niveis porem com deslocamento configurado.</t>
  </si>
  <si>
    <t>Possui tubulações sem continuação</t>
  </si>
  <si>
    <t>possui elementos com deslocamento e por isso aparecem de forma sobreposta</t>
  </si>
  <si>
    <t>R70 - MEDITERRANE</t>
  </si>
  <si>
    <t>Os modelos GER e 36P contém opção de planta</t>
  </si>
  <si>
    <t>Existe a vista 3D configurada, mas não com o nome FEDERADO</t>
  </si>
  <si>
    <t>Os pavimentos PCD não estão relacionados na vista federado</t>
  </si>
  <si>
    <t>A parede do 04P está sobrepondo a do 03P</t>
  </si>
  <si>
    <t>Elementos genéricos estão sem nível atribuído</t>
  </si>
  <si>
    <t>Alguns elementos deveriam ser: Parede básica, Parede cortina e Piso.</t>
  </si>
  <si>
    <t>A parede 18 está com material de tijolo genérico</t>
  </si>
  <si>
    <t>Parede empilhada encontrada no modelo</t>
  </si>
  <si>
    <t>Parede de reboco sem padronização de nomenclatura</t>
  </si>
  <si>
    <t>Paredes com espessura incorreta</t>
  </si>
  <si>
    <t>Paredes da fachada sem o revestimento e reboco externo</t>
  </si>
  <si>
    <t>O contrapiso dos banheiros está com espessura de 4cm</t>
  </si>
  <si>
    <t>Ponto base esta deslocado em sua elevação em -20.34</t>
  </si>
  <si>
    <t>Esta com a nomenclatura de BAS, deve ser alterado. No arquivo GER.</t>
  </si>
  <si>
    <t>Arquivo TPO não esta com opções de projetos</t>
  </si>
  <si>
    <t>Bancadas estão feitas como modelo generico, não possuindo informação de medidas</t>
  </si>
  <si>
    <t>Elementos não hospedados</t>
  </si>
  <si>
    <t>verificar modelos genericos se deveriam possuir informação ou não de acordo com o BEP</t>
  </si>
  <si>
    <t>possuem elementos posicionados em vistas distintas</t>
  </si>
  <si>
    <t>Não foi possivel verificar arquivo TPO (não disponibilizado)</t>
  </si>
  <si>
    <t>Falta arquivo TPO E 36P</t>
  </si>
  <si>
    <t>Unidade de medida de inclinação esta configurada como ângulo, BEP solicita que seja em percentual</t>
  </si>
  <si>
    <t>Ponto base não possui deslocamento</t>
  </si>
  <si>
    <t>Possui opção de projeto TIPO 05 no PAV 35</t>
  </si>
  <si>
    <t>nomeclatura da vista esta como NWC OU Exportação</t>
  </si>
  <si>
    <t>Verificar R01 e TIP</t>
  </si>
  <si>
    <t>Niveis com deslocamento divergente</t>
  </si>
  <si>
    <t>Não esta com deslocamento de base 100</t>
  </si>
  <si>
    <t>Esta faltando arquivo 36P</t>
  </si>
  <si>
    <t>Não foram realizadas opções de projetos</t>
  </si>
  <si>
    <t>Não possui vista FEDERADA no arquivo GER</t>
  </si>
  <si>
    <t>possui elementos hospedados em niveis divergentes</t>
  </si>
  <si>
    <t>Possui elementos avulsos no projeto</t>
  </si>
  <si>
    <t>Unidade de medida de inclinação esta configurada como GRAUS, BEP solicita que seja em percentual</t>
  </si>
  <si>
    <t>Possui nivel "APAGAR" nos modelos</t>
  </si>
  <si>
    <t>Arquivo TPO esta sem opção de projetos</t>
  </si>
  <si>
    <t>Não possui nenhuma vista 3d e nem opção federada no arquivo principal</t>
  </si>
  <si>
    <t>Possui eletrodutos incompletos</t>
  </si>
  <si>
    <t>Possui diversos itens deslocados anexados em niveis distintos</t>
  </si>
  <si>
    <t>Modelo esta deslocado</t>
  </si>
  <si>
    <t>Verificar Nomenclatura dos niveis</t>
  </si>
  <si>
    <t>Possui 2 elementos deslocados</t>
  </si>
  <si>
    <t>Modelo possui elementos ocultos</t>
  </si>
  <si>
    <t>Falta modelo do 38 Pavimento</t>
  </si>
  <si>
    <t>Possui um nivel adjasente com nomenclatura de TEMPLATE</t>
  </si>
  <si>
    <t>TPO Esta sem opção de projetos</t>
  </si>
  <si>
    <t>Arquivo esta sem vista FEDERADA</t>
  </si>
  <si>
    <t>Possui elementos fora de nivel</t>
  </si>
  <si>
    <t>Não possui os parametros cadastrados</t>
  </si>
  <si>
    <t>IMP</t>
  </si>
  <si>
    <t>Ponto base esta deslocado em sua elevação</t>
  </si>
  <si>
    <t>Não possui arquivos do 36Pav conforme previsto no BEP</t>
  </si>
  <si>
    <t>Não possui opção de projetos cadastradas no arquivo TPO</t>
  </si>
  <si>
    <t xml:space="preserve">Não possui vista FEDERADA e Esta sem opção de planta 3D </t>
  </si>
  <si>
    <t>Elementos Hospedados fora do Nivel</t>
  </si>
  <si>
    <t>Unidade de medida de inclinação esta configurada como GRAU, BEP solicita que seja em percentual</t>
  </si>
  <si>
    <t>Não possui vista FEDERADA e Esta sem opção de planta 3D</t>
  </si>
  <si>
    <t>SPDA</t>
  </si>
  <si>
    <t>Nivel adicional de "TEMPLATE" não previsto no BEP</t>
  </si>
  <si>
    <t>Paredes possuem camada N/A e sua estrutura não esta como AR</t>
  </si>
  <si>
    <t>Corrigido</t>
  </si>
  <si>
    <t>EP</t>
  </si>
  <si>
    <t>CPM</t>
  </si>
  <si>
    <t>Próxima Revisão</t>
  </si>
  <si>
    <t>Nomenclatura esta como CPM-ARQ-EP-MODEL-MOD-PLA-R06</t>
  </si>
  <si>
    <t>Nomenclatura esta como MOD</t>
  </si>
  <si>
    <t>Niveis em desacordo com BEP</t>
  </si>
  <si>
    <t>Possui elementos fora do nivel</t>
  </si>
  <si>
    <t>Esta com opção de planta "PADRONIZAÇÃO AL"</t>
  </si>
  <si>
    <t>Não se aplica nesta etapa</t>
  </si>
  <si>
    <t>Parededes estão com nomenclatura "PL-BL-CER"</t>
  </si>
  <si>
    <t>As espessuras e estrutura das paredes não estão corretas</t>
  </si>
  <si>
    <t>Contrapiso não configurado</t>
  </si>
  <si>
    <t>Não possui vista com nomenclatura de "FEDERADO"</t>
  </si>
  <si>
    <t>BEP não solicita base 100 para esta etapa</t>
  </si>
  <si>
    <t>LO</t>
  </si>
  <si>
    <t xml:space="preserve">R181 - TRIP WORLD </t>
  </si>
  <si>
    <t>Ponto base esta deslocado</t>
  </si>
  <si>
    <t>Angulação esta especificada em graus, e BEP solicita que seja em Percentual</t>
  </si>
  <si>
    <t>Não possui arquivo com nomenclatura de GER</t>
  </si>
  <si>
    <t>VERIFICAR</t>
  </si>
  <si>
    <t>OBRA NÃO POSSUIA BEP</t>
  </si>
  <si>
    <t>Não possui vista 3D configurada e com nomenclatura de Federada</t>
  </si>
  <si>
    <t>Porem sem base 100</t>
  </si>
  <si>
    <t>UCS (sistema de coordenadas) Esta deslocado</t>
  </si>
  <si>
    <t>Não possui arquivos TIPOS</t>
  </si>
  <si>
    <t>Esta com a nomenclatura de MOD</t>
  </si>
  <si>
    <t>Empreendimento não possui BEP, niveis definidos pela ARQ</t>
  </si>
  <si>
    <t>Confirmar com João</t>
  </si>
  <si>
    <t>Possui elementos de fachada modelados no local</t>
  </si>
  <si>
    <t>Existem 2 instâncias de mesmo materiais, por exemplo:
 __REBOCO INTERNO e REBOCO INTERNO</t>
  </si>
  <si>
    <t>Possui diversas medidas diferentes para reboco externo e interno</t>
  </si>
  <si>
    <t>Espessuras divergentes nos pisos verificar planilha</t>
  </si>
  <si>
    <t>Elementos ainda Hospedados em niveis distintos</t>
  </si>
  <si>
    <t>Ponto base ainda sem deslocamento</t>
  </si>
  <si>
    <t>Elementos ainda deslocados</t>
  </si>
  <si>
    <t>Parametro cadastrado mas não preenchido</t>
  </si>
  <si>
    <t>Parametro não cadastrado no modelo GER</t>
  </si>
  <si>
    <t>Parametros somente no arquivo TPO (sem preenchimento)</t>
  </si>
  <si>
    <t>FALTAM OS ARQUIVOS: TPO, TP3 E PCD, E POSSUI UM ARQUIVO COM A NOMENCLATURA De TOR (anteriormente estava como BAS).</t>
  </si>
  <si>
    <t>Corrigido parcialmente sera aberto novo apontamento</t>
  </si>
  <si>
    <t>Foi adotado, via conversa do CF o contra-piso de 8cm.</t>
  </si>
  <si>
    <t>❌</t>
  </si>
  <si>
    <t>✔️✔️</t>
  </si>
  <si>
    <t>Parametro incerido mas não preenchido</t>
  </si>
  <si>
    <t>POSSUI ELEMENTOS VINCULADOS AO NIVEL 0</t>
  </si>
  <si>
    <t>NOMENCLATURA DO ARQUIVO TIPO COMO TOR</t>
  </si>
  <si>
    <t>ARQUIVO NÃO ESTA COM A SEPARAÇÃO CORRETA DOS ITENS</t>
  </si>
  <si>
    <t>Ponto base deslocado</t>
  </si>
  <si>
    <t>Incerido mas nem todos estão preenchidos corretamente</t>
  </si>
  <si>
    <t>NOMENCLATURA DO ARQUIVO TIPO COMO TOR E ESTA COMO DAS</t>
  </si>
  <si>
    <t>O arquivo GER não possui vínculos cadastrados para os demais arquivos, conforme previsto no BEP. Favor ajustar.</t>
  </si>
  <si>
    <t>Os parâmetros solicitados nos requisitos de modelagem do BEP ainda não foram cadastrados.</t>
  </si>
  <si>
    <t>Inclinação definida em Graus</t>
  </si>
  <si>
    <t>Modelo desta com nomenclatura BAS no lugar que deveria ser GER</t>
  </si>
  <si>
    <t>Bomba auto escorante voando</t>
  </si>
  <si>
    <t>o arquivo GER temos essas incompatibilidades de nomenclatura:
Materiais com Problemas de Nomenclatura
(Duplo underspace no inicio do texto "__")
__ALV_PINTURA BRANCA 
__BLOCO CERÂMICO DE 11,5 cm (185 paredes) 
__BLOCO CERÂMICO DE 19 cm (CORTA FOGO) (66 paredes)
__BLOCO CONCRETO DE 14CM (29 paredes)
__GESSO ACARTONADO (2 paredes)
__PAREDE MACIÇA EM CONCRETO (3 paredes)</t>
  </si>
  <si>
    <t>7906 - 7238</t>
  </si>
  <si>
    <t>7088 - 9595</t>
  </si>
  <si>
    <r>
      <t xml:space="preserve">Parâmetro “GPL_CLASSIFICAÇÃO GPL”: Todos os elementos possuem esse parâmetro </t>
    </r>
    <r>
      <rPr>
        <b/>
        <sz val="11"/>
        <rFont val="Aptos Narrow"/>
        <family val="2"/>
        <scheme val="minor"/>
      </rPr>
      <t>incerido</t>
    </r>
    <r>
      <rPr>
        <sz val="11"/>
        <rFont val="Aptos Narrow"/>
        <family val="2"/>
        <scheme val="minor"/>
      </rPr>
      <t xml:space="preserve"> conforme RM-GPL?</t>
    </r>
  </si>
  <si>
    <r>
      <t xml:space="preserve">Parâmetro “GPL_DESCRIÇÃO COMERCIAL”: Está </t>
    </r>
    <r>
      <rPr>
        <b/>
        <sz val="11"/>
        <rFont val="Aptos Narrow"/>
        <family val="2"/>
        <scheme val="minor"/>
      </rPr>
      <t>preenchido</t>
    </r>
    <r>
      <rPr>
        <sz val="11"/>
        <rFont val="Aptos Narrow"/>
        <family val="2"/>
        <scheme val="minor"/>
      </rPr>
      <t xml:space="preserve"> corretamente em todos os elementos necessários?</t>
    </r>
  </si>
  <si>
    <t>Parametro não preenchido</t>
  </si>
  <si>
    <r>
      <t>Nomenclatura:</t>
    </r>
    <r>
      <rPr>
        <b/>
        <sz val="11"/>
        <rFont val="Aptos Narrow"/>
        <family val="2"/>
        <scheme val="minor"/>
      </rPr>
      <t xml:space="preserve"> A nomenclatura das paredes segue o padrão do BEP</t>
    </r>
    <r>
      <rPr>
        <sz val="11"/>
        <rFont val="Aptos Narrow"/>
        <family val="2"/>
        <scheme val="minor"/>
      </rPr>
      <t xml:space="preserve"> (ex.: ALV-BLOCO_CERAMICO-19CM-INT/EXT(REVEST. INTERNO x PINTURA EXTERNA)?</t>
    </r>
  </si>
  <si>
    <r>
      <t xml:space="preserve">Vista 3D no modelo GER: No modelo “GER”, existe uma vista </t>
    </r>
    <r>
      <rPr>
        <b/>
        <sz val="11"/>
        <rFont val="Aptos Narrow"/>
        <family val="2"/>
        <scheme val="minor"/>
      </rPr>
      <t>3D (FEDERADO)</t>
    </r>
    <r>
      <rPr>
        <sz val="11"/>
        <rFont val="Aptos Narrow"/>
        <family val="2"/>
        <scheme val="minor"/>
      </rPr>
      <t xml:space="preserve"> configurada com as</t>
    </r>
    <r>
      <rPr>
        <b/>
        <sz val="11"/>
        <rFont val="Aptos Narrow"/>
        <family val="2"/>
        <scheme val="minor"/>
      </rPr>
      <t xml:space="preserve"> opções de planta</t>
    </r>
    <r>
      <rPr>
        <sz val="11"/>
        <rFont val="Aptos Narrow"/>
        <family val="2"/>
        <scheme val="minor"/>
      </rPr>
      <t xml:space="preserve"> de cada </t>
    </r>
    <r>
      <rPr>
        <b/>
        <sz val="11"/>
        <rFont val="Aptos Narrow"/>
        <family val="2"/>
        <scheme val="minor"/>
      </rPr>
      <t>vínculo/instância</t>
    </r>
    <r>
      <rPr>
        <sz val="11"/>
        <rFont val="Aptos Narrow"/>
        <family val="2"/>
        <scheme val="minor"/>
      </rPr>
      <t>, se necessário?</t>
    </r>
  </si>
  <si>
    <r>
      <t xml:space="preserve">Não existem elementos com </t>
    </r>
    <r>
      <rPr>
        <b/>
        <sz val="11"/>
        <rFont val="Aptos Narrow"/>
        <family val="2"/>
        <scheme val="minor"/>
      </rPr>
      <t>modelagem incompleta</t>
    </r>
    <r>
      <rPr>
        <sz val="11"/>
        <rFont val="Aptos Narrow"/>
        <family val="2"/>
        <scheme val="minor"/>
      </rPr>
      <t xml:space="preserve"> </t>
    </r>
    <r>
      <rPr>
        <b/>
        <sz val="11"/>
        <rFont val="Aptos Narrow"/>
        <family val="2"/>
        <scheme val="minor"/>
      </rPr>
      <t>ou deslocada</t>
    </r>
  </si>
  <si>
    <r>
      <t xml:space="preserve">Todos os vínculos (links) estão configurados para </t>
    </r>
    <r>
      <rPr>
        <b/>
        <sz val="11"/>
        <rFont val="Aptos Narrow"/>
        <family val="2"/>
        <scheme val="minor"/>
      </rPr>
      <t>“Origem interna a Origem interna”</t>
    </r>
    <r>
      <rPr>
        <sz val="11"/>
        <rFont val="Aptos Narrow"/>
        <family val="2"/>
        <scheme val="minor"/>
      </rPr>
      <t xml:space="preserve"> ou </t>
    </r>
    <r>
      <rPr>
        <b/>
        <sz val="11"/>
        <rFont val="Aptos Narrow"/>
        <family val="2"/>
        <scheme val="minor"/>
      </rPr>
      <t>“Coordenadas Compartilhadas”</t>
    </r>
    <r>
      <rPr>
        <sz val="11"/>
        <rFont val="Aptos Narrow"/>
        <family val="2"/>
        <scheme val="minor"/>
      </rPr>
      <t xml:space="preserve"> (caso exigido no BEP)?</t>
    </r>
  </si>
  <si>
    <t>ARQUITETURA</t>
  </si>
  <si>
    <r>
      <t>Não existem</t>
    </r>
    <r>
      <rPr>
        <b/>
        <sz val="11"/>
        <rFont val="Aptos Narrow"/>
        <family val="2"/>
        <scheme val="minor"/>
      </rPr>
      <t xml:space="preserve"> elementos duplicados ou sobrepostos</t>
    </r>
  </si>
  <si>
    <t>O modelo utiliza a origem interna do Revit corretamente?</t>
  </si>
  <si>
    <t>INTERIORES</t>
  </si>
  <si>
    <t>INSTALAÇÕES</t>
  </si>
  <si>
    <r>
      <t>Os modelos estão com o</t>
    </r>
    <r>
      <rPr>
        <b/>
        <sz val="11"/>
        <rFont val="Aptos Narrow"/>
        <family val="2"/>
        <scheme val="minor"/>
      </rPr>
      <t xml:space="preserve"> ponto base deslocado</t>
    </r>
    <r>
      <rPr>
        <sz val="11"/>
        <rFont val="Aptos Narrow"/>
        <family val="2"/>
        <scheme val="minor"/>
      </rPr>
      <t>? Exemplo: Térreo = 0 -&gt; Térreo = 100,15</t>
    </r>
  </si>
  <si>
    <t>(“Modelo in-place”): Existem elementos criados no local? Se sim, é realmente necessário ou deveria ser uma família carregável?</t>
  </si>
  <si>
    <r>
      <t xml:space="preserve">Todos os elementos (paredes, pisos, pilares, etc.) </t>
    </r>
    <r>
      <rPr>
        <b/>
        <sz val="11"/>
        <rFont val="Aptos Narrow"/>
        <family val="2"/>
        <scheme val="minor"/>
      </rPr>
      <t>estão associados aos níveis corretos</t>
    </r>
    <r>
      <rPr>
        <sz val="11"/>
        <rFont val="Aptos Narrow"/>
        <family val="2"/>
        <scheme val="minor"/>
      </rPr>
      <t>, sem offsets excessivos?</t>
    </r>
  </si>
  <si>
    <r>
      <t>Os vínculos estão com</t>
    </r>
    <r>
      <rPr>
        <b/>
        <sz val="11"/>
        <rFont val="Aptos Narrow"/>
        <family val="2"/>
        <scheme val="minor"/>
      </rPr>
      <t xml:space="preserve"> opção de desenho</t>
    </r>
    <r>
      <rPr>
        <sz val="11"/>
        <rFont val="Aptos Narrow"/>
        <family val="2"/>
        <scheme val="minor"/>
      </rPr>
      <t xml:space="preserve"> preenchido corretamente.(Não estando como “automático”).</t>
    </r>
  </si>
  <si>
    <r>
      <t>Todos os elementos (paredes, pisos, pilares, etc.) estão a</t>
    </r>
    <r>
      <rPr>
        <b/>
        <sz val="11"/>
        <rFont val="Aptos Narrow"/>
        <family val="2"/>
        <scheme val="minor"/>
      </rPr>
      <t>ssociados aos níveis corretos</t>
    </r>
    <r>
      <rPr>
        <sz val="11"/>
        <rFont val="Aptos Narrow"/>
        <family val="2"/>
        <scheme val="minor"/>
      </rPr>
      <t>, sem offsets excessivos?</t>
    </r>
  </si>
  <si>
    <r>
      <t xml:space="preserve">O </t>
    </r>
    <r>
      <rPr>
        <b/>
        <sz val="11"/>
        <rFont val="Aptos Narrow"/>
        <family val="2"/>
        <scheme val="minor"/>
      </rPr>
      <t>sistema de unidades</t>
    </r>
    <r>
      <rPr>
        <sz val="11"/>
        <rFont val="Aptos Narrow"/>
        <family val="2"/>
        <scheme val="minor"/>
      </rPr>
      <t xml:space="preserve"> (m, cm, etc.) e a precisão (casas decimais, arredondamento) estão de acordo com o BEP?</t>
    </r>
  </si>
  <si>
    <t>Os níveis estão de acordo com as referências de altura e organização definidas no BEP?</t>
  </si>
  <si>
    <t>As paredes possuem as camadas Estrutura, Substrato e Acabamento, conforme especificado (reboco, cerâmica, pintura etc.)?</t>
  </si>
  <si>
    <t>O piso possui camada de substrato (contrapiso, laje etc.) e acabamento (porcelanato, cerâmica etc.)?</t>
  </si>
  <si>
    <t>Possui arquivos com nomenclatura de GCO E EVG verificar bep e corrigir</t>
  </si>
  <si>
    <t>Empreendimento não possui BEP</t>
  </si>
  <si>
    <t>estão de acordo com a arquitetura</t>
  </si>
  <si>
    <t>Não possui opções</t>
  </si>
  <si>
    <t>Os modelos na caixa d'água estão deslocados.</t>
  </si>
  <si>
    <t>Inclinação em graus (Empreendimento não possui BEP)</t>
  </si>
  <si>
    <t>Não possui (Empreendimento não possui BEP)</t>
  </si>
  <si>
    <t>Possui elementos fora do nivel (Empreendimento não possui BEP)</t>
  </si>
  <si>
    <t>Nomenclatura do arquivo GER esta como "BAS" (Empreendimento não possui BEP)</t>
  </si>
  <si>
    <t>Modelos estão deslocados, em exceção de modelo GER. (Empreendimento não possui BEP)</t>
  </si>
  <si>
    <t>Modelos estão deslocados (Empreendimento não possui BEP)</t>
  </si>
  <si>
    <t xml:space="preserve"> (Empreendimento não possui BEP)</t>
  </si>
  <si>
    <t>(“Modelo in-place”):Não existem elementos criados no local? Se sim, é realmente necessário ou deveria ser uma família carregável?</t>
  </si>
  <si>
    <t>Ponto topografico deslocado</t>
  </si>
  <si>
    <t>Prumada sem continuidade</t>
  </si>
  <si>
    <t>Possui arquivos com os nomes de BAS, TPO e BAS</t>
  </si>
  <si>
    <t>Nomeado como BAS</t>
  </si>
  <si>
    <t>Possui arquivo "SDA" com nomenlcaturas em niveis divergentes</t>
  </si>
  <si>
    <t>Opção de desenho esta como automatico</t>
  </si>
  <si>
    <t>Possui arquivo com o nome de BAS</t>
  </si>
  <si>
    <t>Deslocados no arquivo GER e no arquivo TPO</t>
  </si>
  <si>
    <t>PE</t>
  </si>
  <si>
    <t>Possui elementos vinculados a outros niveis e com deslocamento configurado</t>
  </si>
  <si>
    <t>Verificar com thomas (arquivo TP2)</t>
  </si>
  <si>
    <t>Possui o nome bloco com acento e sem acento e drywall com "_" e sem "_"</t>
  </si>
  <si>
    <t>Modelo GER e TP3 Estão com elementos deslocados</t>
  </si>
  <si>
    <t>Opções de projetos não configuradas</t>
  </si>
  <si>
    <t>Arquivo esta com os Vinculos da fase anterior</t>
  </si>
  <si>
    <t>Furos em laje modelados como modelo generico</t>
  </si>
  <si>
    <t>Não existem elementos com modelagem incompleta ou deslocada</t>
  </si>
  <si>
    <t>novo</t>
  </si>
  <si>
    <t>Parametros não inceridos</t>
  </si>
  <si>
    <t>Estão com as opções padrão como automatico</t>
  </si>
  <si>
    <t>Vista "FEDERADA" não configurada, Os pavimentos 36P, 24P, 25P, 26P, 27P não estão com vinculo e a vista não esta nomeada como  "FEDERADA"</t>
  </si>
  <si>
    <t>Modelo GER esta com opção de projeto não prevista no BEP</t>
  </si>
  <si>
    <t>O arquivo está dividido entre 1TP e 2PH. Possui somente vínculo do 5º pavimento ao 10º pavimento. Favor se atentar aos níveis solicitados na divisão do modelo do BEP.</t>
  </si>
  <si>
    <t>configurar vista "FEDERADA"</t>
  </si>
  <si>
    <t>arquivos fragmentados junto as opções</t>
  </si>
  <si>
    <t>Nomenclatura esta como: R15RV-EMT-PE-10000-TER-IFC-R00 - deveria ser R15RV-EMT-PE-MODEL-MOD-GER-R00</t>
  </si>
  <si>
    <t>Elementos deslocados em todos os eixos, favor verificar e realinhar os modelos</t>
  </si>
  <si>
    <t>Materiais com nomenclatura duplicada ou não padronizada</t>
  </si>
  <si>
    <t>Modelo foi deslocado Juntamento com o ponto base</t>
  </si>
  <si>
    <t>Nomenclatura dos níveis divergentes do BEP</t>
  </si>
  <si>
    <t>ESTRUTURAS DIVERGENTES DAS PAREDES
Favor verificar as paredes a seguir e corrigir o que for necessário nas mesmas.</t>
  </si>
  <si>
    <t>1. O contrapiso deve ter especificações de 4,00 cm para áreas secas e molháveis.</t>
  </si>
  <si>
    <t>1. O contrapiso deve ter especificações de 4,00 cm para áreas secas e molháveis.
2. Para áreas molhadas, a espessura deve ser de 3,00 
3. Não modelar contrapiso nas escadas de emergência.</t>
  </si>
  <si>
    <t>Modelo possui elementos de furo de vigas em diversos locais</t>
  </si>
  <si>
    <t>No modelo federado as nomenclaturas dos niveis não especificam em quais locais estão o TP1 e o TP2</t>
  </si>
  <si>
    <t>Nomenclatura em desacordo com BEP: R70-EMT-PR-10000-TER-IFC-R00</t>
  </si>
  <si>
    <t>Pergolado deslocado em sua base, favor verificar</t>
  </si>
  <si>
    <t>No nivel da cobertura possui elementos hospedados no nivel 38 e no nivel mesa de motores.</t>
  </si>
  <si>
    <t>A rede frigorígena está interferindo em outra tubulação</t>
  </si>
  <si>
    <t>Opções de projetos esta com a configuraçao: automaticos e não exixte vinculo do 36 Pavimento</t>
  </si>
  <si>
    <t>Deletar o nível 1.
Manter apenas os níveis previstos no BEP.
Além disso, manter por padrão os níveis ocultados na vista FEDERADA.</t>
  </si>
  <si>
    <t>Elementos com modelagem no local que deveriam ser elementos nativos do Revit</t>
  </si>
  <si>
    <t>Parametro não incerido</t>
  </si>
  <si>
    <t>Espessuras: As espessuras seguem o padrão estabelecido?
    - Contrapiso: 4 cm (áreas secas/molháveis) ou 3 cm (áreas molhadas)
    - Piso polido (capeamento de laje): 6 cm
    - Piso em contato direto com o solo: 12 cm+J1475
    - Revestimento cerâmico de piso: 1,5 cm</t>
  </si>
  <si>
    <t>Ponto topografico elevado</t>
  </si>
  <si>
    <t>Corrigido na correção R01</t>
  </si>
  <si>
    <t>Modelo GER Esta com elementos deslocados</t>
  </si>
  <si>
    <t>Arquivo tipo estão com poucas opções</t>
  </si>
  <si>
    <t>possui arquivos com nomenclatura TIP e PHT</t>
  </si>
  <si>
    <t>Unidade de medida em desacordo</t>
  </si>
  <si>
    <t>Mantem o erro</t>
  </si>
  <si>
    <t>Inceridos no modelo antigo e preenchidos somente no modelo 1TP</t>
  </si>
  <si>
    <t>O Norte está configurado como Norte do projeto, e não como Norte verdadeiro?</t>
  </si>
  <si>
    <t xml:space="preserve"> Elementos fora do nível de referência</t>
  </si>
  <si>
    <t>PL</t>
  </si>
  <si>
    <t>R24</t>
  </si>
  <si>
    <t xml:space="preserve">Ponto base não foi deslocado </t>
  </si>
  <si>
    <t>Possui 1 elemento na cobertura que esta flutuando, e piscina esta desconfigrada</t>
  </si>
  <si>
    <t>Espessuras não exportadas no IFC</t>
  </si>
  <si>
    <t>Unidade de medida esta em Milimetros e deveria estar em metros</t>
  </si>
  <si>
    <t>Ponto base precisa subir em cerca de 14cm</t>
  </si>
  <si>
    <t>Nomenclaturas em desacordo com BEP</t>
  </si>
  <si>
    <t>paredes da fachada sem o revestimento e reboco externo</t>
  </si>
  <si>
    <t>Espessuras das camadas divergentes</t>
  </si>
  <si>
    <t>Paredes com nomenclatura divergentes</t>
  </si>
  <si>
    <t>Nomenclatura: A nomenclatura das paredes segue o padrão do BEP (ex.: ALV-BLOCO_CERAMICO-19CM-INT/EXT(REVEST. INTERNO x PINTURA EXTERNA)?</t>
  </si>
  <si>
    <t>Portão de acesso ao lixo não incerida em nenhuma familia</t>
  </si>
  <si>
    <t>3184 - 7298</t>
  </si>
  <si>
    <t>5045 - 5054</t>
  </si>
  <si>
    <t>Elementos genéricos sem nível atribuído</t>
  </si>
  <si>
    <t>Nomear os vinculos dos pavimentos</t>
  </si>
  <si>
    <t>Somente o modelo GER esta sem o preenchimento, favor verificar</t>
  </si>
  <si>
    <t>Possui nivel "PLANO DE REF" com elementos hospedados</t>
  </si>
  <si>
    <t>Ajustar opções de projeto conforme BEP atualizado, atualmente esta somente com os pavimentos</t>
  </si>
  <si>
    <t>unidade esta como 111,111.00 e não 111.111,00</t>
  </si>
  <si>
    <t>Esta como automatico</t>
  </si>
  <si>
    <t>Adequar ao BEP atualizado</t>
  </si>
  <si>
    <t>Possui algums itens sem preenchimento</t>
  </si>
  <si>
    <t>PONTO BASE E PONTO TOPOGRÁFICO DESLOCADOS</t>
  </si>
  <si>
    <t>ARQUIVO POSSUI NIVEL NÃO PREVISTO NO BEP</t>
  </si>
  <si>
    <t>VALIDADO COM THOMAS</t>
  </si>
  <si>
    <t>ELEMENTOS FORA DO NÍVEL DE REFERÊNCIA</t>
  </si>
  <si>
    <t>Parametros não cadastrados</t>
  </si>
  <si>
    <t>Balcões não associados a niveis</t>
  </si>
  <si>
    <t xml:space="preserve"> Elementos Duplicados</t>
  </si>
  <si>
    <t>Elementos com Modelagem no local</t>
  </si>
  <si>
    <t>Não possui vista 3D configurada</t>
  </si>
  <si>
    <t>O Ponto base está deslocado em sua elevação em -20,34.</t>
  </si>
  <si>
    <t>Bancadas estão como um modelo genérico</t>
  </si>
  <si>
    <t>incompatibilidade com ARQ</t>
  </si>
  <si>
    <t>2319 - 1792</t>
  </si>
  <si>
    <t>Nomenclaturas divergentes</t>
  </si>
  <si>
    <t>Alterar a nomenclatura do arquivo GER</t>
  </si>
  <si>
    <t>Arquivo do GER não modelado</t>
  </si>
  <si>
    <t>Corrimão em duplicidade</t>
  </si>
  <si>
    <t>Banco em desacordo com book</t>
  </si>
  <si>
    <t>Todas as disciplinas devem seguir as diretrizes de modelagem apontadas no document</t>
  </si>
  <si>
    <r>
      <t>Elementos duplicados: Não existem</t>
    </r>
    <r>
      <rPr>
        <b/>
        <sz val="11"/>
        <rFont val="Arial"/>
        <family val="2"/>
      </rPr>
      <t xml:space="preserve"> elementos duplicados ou sobrepostos</t>
    </r>
  </si>
  <si>
    <r>
      <t>O modelo utiliza a</t>
    </r>
    <r>
      <rPr>
        <b/>
        <sz val="11"/>
        <rFont val="Arial"/>
        <family val="2"/>
      </rPr>
      <t xml:space="preserve"> origem interna do Revit </t>
    </r>
    <r>
      <rPr>
        <sz val="11"/>
        <rFont val="Arial"/>
        <family val="2"/>
      </rPr>
      <t>corretamente?</t>
    </r>
  </si>
  <si>
    <r>
      <t xml:space="preserve">Todos os vínculos (links) estão configurados para </t>
    </r>
    <r>
      <rPr>
        <b/>
        <sz val="11"/>
        <rFont val="Arial"/>
        <family val="2"/>
      </rPr>
      <t>“Origem interna a Origem interna”</t>
    </r>
    <r>
      <rPr>
        <sz val="11"/>
        <rFont val="Arial"/>
        <family val="2"/>
      </rPr>
      <t xml:space="preserve"> ou </t>
    </r>
    <r>
      <rPr>
        <b/>
        <sz val="11"/>
        <rFont val="Arial"/>
        <family val="2"/>
      </rPr>
      <t>“Coordenadas Compartilhadas”</t>
    </r>
    <r>
      <rPr>
        <sz val="11"/>
        <rFont val="Arial"/>
        <family val="2"/>
      </rPr>
      <t xml:space="preserve"> (caso exigido no BEP)?</t>
    </r>
  </si>
  <si>
    <r>
      <t xml:space="preserve">Vista 3D no modelo GER: No modelo “GER”, existe uma vista </t>
    </r>
    <r>
      <rPr>
        <b/>
        <sz val="11"/>
        <rFont val="Arial"/>
        <family val="2"/>
      </rPr>
      <t>3D (FEDERADO)</t>
    </r>
    <r>
      <rPr>
        <sz val="11"/>
        <rFont val="Arial"/>
        <family val="2"/>
      </rPr>
      <t xml:space="preserve"> configurada com as</t>
    </r>
    <r>
      <rPr>
        <b/>
        <sz val="11"/>
        <rFont val="Arial"/>
        <family val="2"/>
      </rPr>
      <t xml:space="preserve"> opções de planta</t>
    </r>
    <r>
      <rPr>
        <sz val="11"/>
        <rFont val="Arial"/>
        <family val="2"/>
      </rPr>
      <t xml:space="preserve"> de cada </t>
    </r>
    <r>
      <rPr>
        <b/>
        <sz val="11"/>
        <rFont val="Arial"/>
        <family val="2"/>
      </rPr>
      <t>vínculo/instância</t>
    </r>
    <r>
      <rPr>
        <sz val="11"/>
        <rFont val="Arial"/>
        <family val="2"/>
      </rPr>
      <t>, se necessário?</t>
    </r>
  </si>
  <si>
    <r>
      <t xml:space="preserve">Parâmetro “GPL_CLASSIFICAÇÃO GPL”: Todos os elementos possuem esse parâmetro </t>
    </r>
    <r>
      <rPr>
        <b/>
        <sz val="11"/>
        <rFont val="Arial"/>
        <family val="2"/>
      </rPr>
      <t>incerido</t>
    </r>
    <r>
      <rPr>
        <sz val="11"/>
        <rFont val="Arial"/>
        <family val="2"/>
      </rPr>
      <t xml:space="preserve"> conforme RM-GPL?</t>
    </r>
  </si>
  <si>
    <r>
      <t xml:space="preserve">Parâmetro “GPL_DESCRIÇÃO COMERCIAL”: Está </t>
    </r>
    <r>
      <rPr>
        <b/>
        <sz val="11"/>
        <rFont val="Arial"/>
        <family val="2"/>
      </rPr>
      <t>preenchido</t>
    </r>
    <r>
      <rPr>
        <sz val="11"/>
        <rFont val="Arial"/>
        <family val="2"/>
      </rPr>
      <t xml:space="preserve"> corretamente em todos os elementos necessários?</t>
    </r>
  </si>
  <si>
    <r>
      <t>Os modelos estão com o</t>
    </r>
    <r>
      <rPr>
        <b/>
        <sz val="11"/>
        <rFont val="Arial"/>
        <family val="2"/>
      </rPr>
      <t xml:space="preserve"> ponto base deslocado</t>
    </r>
    <r>
      <rPr>
        <sz val="11"/>
        <rFont val="Arial"/>
        <family val="2"/>
      </rPr>
      <t>? Exemplo: Térreo = 0 -&gt; Térreo = 100,15</t>
    </r>
  </si>
  <si>
    <r>
      <t>Ponto base: Os modelos estão com o</t>
    </r>
    <r>
      <rPr>
        <b/>
        <sz val="11"/>
        <rFont val="Arial"/>
        <family val="2"/>
      </rPr>
      <t xml:space="preserve"> ponto base deslocado</t>
    </r>
    <r>
      <rPr>
        <sz val="11"/>
        <rFont val="Arial"/>
        <family val="2"/>
      </rPr>
      <t>? Exemplo: Térreo = 0 -&gt; Térreo = 100,15</t>
    </r>
  </si>
  <si>
    <r>
      <t>Nomenclatura:</t>
    </r>
    <r>
      <rPr>
        <b/>
        <sz val="11"/>
        <rFont val="Arial"/>
        <family val="2"/>
      </rPr>
      <t xml:space="preserve"> A nomenclatura das paredes segue o padrão do BEP</t>
    </r>
    <r>
      <rPr>
        <sz val="11"/>
        <rFont val="Arial"/>
        <family val="2"/>
      </rPr>
      <t xml:space="preserve"> (ex.: ALV-BLOCO_CERAMICO-19CM-INT/EXT(REVEST. INTERNO x PINTURA EXTERNA)?</t>
    </r>
  </si>
  <si>
    <r>
      <t xml:space="preserve">O modelo utiliza a </t>
    </r>
    <r>
      <rPr>
        <b/>
        <sz val="11"/>
        <rFont val="Arial"/>
        <family val="2"/>
      </rPr>
      <t>origem interna</t>
    </r>
    <r>
      <rPr>
        <sz val="11"/>
        <rFont val="Arial"/>
        <family val="2"/>
      </rPr>
      <t xml:space="preserve"> do Revit corretamente?</t>
    </r>
  </si>
  <si>
    <r>
      <t xml:space="preserve">Nomenclatura: </t>
    </r>
    <r>
      <rPr>
        <b/>
        <sz val="11"/>
        <rFont val="Arial"/>
        <family val="2"/>
      </rPr>
      <t>A nomenclatura das paredes segue o padrão do BEP</t>
    </r>
    <r>
      <rPr>
        <sz val="11"/>
        <rFont val="Arial"/>
        <family val="2"/>
      </rPr>
      <t xml:space="preserve"> (ex.: ALV-BLOCO_CERAMICO-19CM-INT/EXT(REVEST. INTERNO x PINTURA EXTERNA)?</t>
    </r>
  </si>
  <si>
    <r>
      <t xml:space="preserve">Não existem elementos com </t>
    </r>
    <r>
      <rPr>
        <b/>
        <sz val="11"/>
        <rFont val="Arial"/>
        <family val="2"/>
      </rPr>
      <t>modelagem incompleta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ou deslocada</t>
    </r>
  </si>
  <si>
    <r>
      <t>Os modelos estão com o</t>
    </r>
    <r>
      <rPr>
        <b/>
        <sz val="11"/>
        <color theme="1"/>
        <rFont val="Arial"/>
        <family val="2"/>
      </rPr>
      <t xml:space="preserve"> ponto base deslocado</t>
    </r>
    <r>
      <rPr>
        <sz val="11"/>
        <color theme="1"/>
        <rFont val="Arial"/>
        <family val="2"/>
      </rPr>
      <t>? Exemplo: Térreo = 0 -&gt; Térreo = 100,15</t>
    </r>
  </si>
  <si>
    <r>
      <t xml:space="preserve">Todos os vínculos (links) estão configurados para </t>
    </r>
    <r>
      <rPr>
        <b/>
        <sz val="11"/>
        <color theme="1"/>
        <rFont val="Arial"/>
        <family val="2"/>
      </rPr>
      <t>“Origem interna a Origem interna”</t>
    </r>
    <r>
      <rPr>
        <sz val="11"/>
        <color theme="1"/>
        <rFont val="Arial"/>
        <family val="2"/>
      </rPr>
      <t xml:space="preserve"> ou </t>
    </r>
    <r>
      <rPr>
        <b/>
        <sz val="11"/>
        <color theme="1"/>
        <rFont val="Arial"/>
        <family val="2"/>
      </rPr>
      <t>“Coordenadas Compartilhadas”</t>
    </r>
    <r>
      <rPr>
        <sz val="11"/>
        <color theme="1"/>
        <rFont val="Arial"/>
        <family val="2"/>
      </rPr>
      <t xml:space="preserve"> (caso exigido no BEP)?</t>
    </r>
  </si>
  <si>
    <r>
      <t xml:space="preserve">Vista 3D no modelo GER: No modelo “GER”, existe uma vista </t>
    </r>
    <r>
      <rPr>
        <b/>
        <sz val="11"/>
        <color theme="1"/>
        <rFont val="Arial"/>
        <family val="2"/>
      </rPr>
      <t>3D (FEDERADO)</t>
    </r>
    <r>
      <rPr>
        <sz val="11"/>
        <color theme="1"/>
        <rFont val="Arial"/>
        <family val="2"/>
      </rPr>
      <t xml:space="preserve"> configurada com as</t>
    </r>
    <r>
      <rPr>
        <b/>
        <sz val="11"/>
        <color theme="1"/>
        <rFont val="Arial"/>
        <family val="2"/>
      </rPr>
      <t xml:space="preserve"> opções de planta</t>
    </r>
    <r>
      <rPr>
        <sz val="11"/>
        <color theme="1"/>
        <rFont val="Arial"/>
        <family val="2"/>
      </rPr>
      <t xml:space="preserve"> de cada </t>
    </r>
    <r>
      <rPr>
        <b/>
        <sz val="11"/>
        <color theme="1"/>
        <rFont val="Arial"/>
        <family val="2"/>
      </rPr>
      <t>vínculo/instância</t>
    </r>
    <r>
      <rPr>
        <sz val="11"/>
        <color theme="1"/>
        <rFont val="Arial"/>
        <family val="2"/>
      </rPr>
      <t>, se necessário?</t>
    </r>
  </si>
  <si>
    <r>
      <t>Os vínculos estão com</t>
    </r>
    <r>
      <rPr>
        <b/>
        <sz val="11"/>
        <color theme="1"/>
        <rFont val="Arial"/>
        <family val="2"/>
      </rPr>
      <t xml:space="preserve"> opção de desenho</t>
    </r>
    <r>
      <rPr>
        <sz val="11"/>
        <color theme="1"/>
        <rFont val="Arial"/>
        <family val="2"/>
      </rPr>
      <t xml:space="preserve"> preenchido corretamente.(Não estando como “automático”).</t>
    </r>
  </si>
  <si>
    <r>
      <t xml:space="preserve">Todos os elementos (paredes, pisos, pilares, etc.) </t>
    </r>
    <r>
      <rPr>
        <b/>
        <sz val="11"/>
        <color theme="1"/>
        <rFont val="Arial"/>
        <family val="2"/>
      </rPr>
      <t>estão associados aos níveis corretos</t>
    </r>
    <r>
      <rPr>
        <sz val="11"/>
        <color theme="1"/>
        <rFont val="Arial"/>
        <family val="2"/>
      </rPr>
      <t>, sem offsets excessivos?</t>
    </r>
  </si>
  <si>
    <r>
      <t>Não existem</t>
    </r>
    <r>
      <rPr>
        <b/>
        <sz val="11"/>
        <color theme="1"/>
        <rFont val="Arial"/>
        <family val="2"/>
      </rPr>
      <t xml:space="preserve"> elementos duplicados ou sobrepostos</t>
    </r>
  </si>
  <si>
    <r>
      <t xml:space="preserve">Não existem elementos com </t>
    </r>
    <r>
      <rPr>
        <b/>
        <sz val="11"/>
        <color theme="1"/>
        <rFont val="Arial"/>
        <family val="2"/>
      </rPr>
      <t>modelagem incompleta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ou deslocada</t>
    </r>
  </si>
  <si>
    <r>
      <t xml:space="preserve">Parâmetro “GPL_CLASSIFICAÇÃO GPL”: Todos os elementos possuem esse parâmetro </t>
    </r>
    <r>
      <rPr>
        <b/>
        <sz val="11"/>
        <color theme="1"/>
        <rFont val="Arial"/>
        <family val="2"/>
      </rPr>
      <t>incerido</t>
    </r>
    <r>
      <rPr>
        <sz val="11"/>
        <color theme="1"/>
        <rFont val="Arial"/>
        <family val="2"/>
      </rPr>
      <t xml:space="preserve"> conforme RM-GPL?</t>
    </r>
  </si>
  <si>
    <r>
      <t xml:space="preserve">Parâmetro “GPL_DESCRIÇÃO COMERCIAL”: Está </t>
    </r>
    <r>
      <rPr>
        <b/>
        <sz val="11"/>
        <color theme="1"/>
        <rFont val="Arial"/>
        <family val="2"/>
      </rPr>
      <t>preenchido</t>
    </r>
    <r>
      <rPr>
        <sz val="11"/>
        <color theme="1"/>
        <rFont val="Arial"/>
        <family val="2"/>
      </rPr>
      <t xml:space="preserve"> corretamente em todos os elementos necessários?</t>
    </r>
  </si>
  <si>
    <r>
      <t xml:space="preserve">Não existem elementos com </t>
    </r>
    <r>
      <rPr>
        <b/>
        <sz val="11"/>
        <rFont val="Arial"/>
        <family val="2"/>
      </rPr>
      <t>modelagem incompleta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ou deslocado</t>
    </r>
  </si>
  <si>
    <r>
      <t>O modelo utiliza a</t>
    </r>
    <r>
      <rPr>
        <b/>
        <sz val="11"/>
        <color theme="1"/>
        <rFont val="Arial"/>
        <family val="2"/>
      </rPr>
      <t xml:space="preserve"> origem interna do Revit </t>
    </r>
    <r>
      <rPr>
        <sz val="11"/>
        <color theme="1"/>
        <rFont val="Arial"/>
        <family val="2"/>
      </rPr>
      <t>corretamente?</t>
    </r>
  </si>
  <si>
    <r>
      <t xml:space="preserve">Não existem elementos com </t>
    </r>
    <r>
      <rPr>
        <b/>
        <sz val="11"/>
        <color theme="1"/>
        <rFont val="Arial"/>
        <family val="2"/>
      </rPr>
      <t>modelagem incompleta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ou deslocado</t>
    </r>
  </si>
  <si>
    <r>
      <t>Elementos duplicados: Não existem</t>
    </r>
    <r>
      <rPr>
        <b/>
        <sz val="11"/>
        <color theme="1"/>
        <rFont val="Arial"/>
        <family val="2"/>
      </rPr>
      <t xml:space="preserve"> elementos duplicados ou sobrepostos</t>
    </r>
  </si>
  <si>
    <r>
      <t xml:space="preserve">O </t>
    </r>
    <r>
      <rPr>
        <b/>
        <sz val="11"/>
        <color theme="1"/>
        <rFont val="Arial"/>
        <family val="2"/>
      </rPr>
      <t>sistema de unidades</t>
    </r>
    <r>
      <rPr>
        <sz val="11"/>
        <color theme="1"/>
        <rFont val="Arial"/>
        <family val="2"/>
      </rPr>
      <t xml:space="preserve"> (m, cm, etc.) e a precisão (casas decimais, arredondamento) estão de acordo com o BEP?</t>
    </r>
  </si>
  <si>
    <r>
      <t>Todos os elementos (paredes, pisos, pilares, etc.) estão a</t>
    </r>
    <r>
      <rPr>
        <b/>
        <sz val="11"/>
        <color theme="1"/>
        <rFont val="Arial"/>
        <family val="2"/>
      </rPr>
      <t>ssociados aos níveis corretos</t>
    </r>
    <r>
      <rPr>
        <sz val="11"/>
        <color theme="1"/>
        <rFont val="Arial"/>
        <family val="2"/>
      </rPr>
      <t>, sem offsets excessivos?</t>
    </r>
  </si>
  <si>
    <r>
      <t xml:space="preserve">Nomenclatura: </t>
    </r>
    <r>
      <rPr>
        <b/>
        <sz val="11"/>
        <color theme="1"/>
        <rFont val="Arial"/>
        <family val="2"/>
      </rPr>
      <t>A nomenclatura das paredes segue o padrão do BEP</t>
    </r>
    <r>
      <rPr>
        <sz val="11"/>
        <color theme="1"/>
        <rFont val="Arial"/>
        <family val="2"/>
      </rPr>
      <t xml:space="preserve"> (ex.: ALV-BLOCO_CERAMICO-19CM-INT/EXT(REVEST. INTERNO x PINTURA EXTERNA)?</t>
    </r>
  </si>
  <si>
    <r>
      <t>Os modelos estão com o</t>
    </r>
    <r>
      <rPr>
        <b/>
        <sz val="11"/>
        <rFont val="Arial"/>
        <family val="2"/>
      </rPr>
      <t xml:space="preserve"> ponto base deslocado</t>
    </r>
    <r>
      <rPr>
        <sz val="11"/>
        <rFont val="Arial"/>
        <family val="2"/>
      </rPr>
      <t>? Exemplo: Térreo = 0 -&gt; Térreo = 100,00</t>
    </r>
  </si>
  <si>
    <r>
      <t xml:space="preserve">O </t>
    </r>
    <r>
      <rPr>
        <b/>
        <sz val="11"/>
        <rFont val="Arial"/>
        <family val="2"/>
      </rPr>
      <t>sistema de unidades</t>
    </r>
    <r>
      <rPr>
        <sz val="11"/>
        <rFont val="Arial"/>
        <family val="2"/>
      </rPr>
      <t xml:space="preserve"> (m, cm, etc.) e a precisão (casas decimais, arredondamento) estão de acordo com o BEP?</t>
    </r>
  </si>
  <si>
    <r>
      <t>Os vínculos estão com</t>
    </r>
    <r>
      <rPr>
        <b/>
        <sz val="11"/>
        <rFont val="Arial"/>
        <family val="2"/>
      </rPr>
      <t xml:space="preserve"> opção de desenho</t>
    </r>
    <r>
      <rPr>
        <sz val="11"/>
        <rFont val="Arial"/>
        <family val="2"/>
      </rPr>
      <t xml:space="preserve"> preenchido corretamente.(Não estando como “automático”).</t>
    </r>
  </si>
  <si>
    <r>
      <t>Todos os elementos (paredes, pisos, pilares, etc.) estão a</t>
    </r>
    <r>
      <rPr>
        <b/>
        <sz val="11"/>
        <rFont val="Arial"/>
        <family val="2"/>
      </rPr>
      <t>ssociados aos níveis corretos</t>
    </r>
    <r>
      <rPr>
        <sz val="11"/>
        <rFont val="Arial"/>
        <family val="2"/>
      </rPr>
      <t>, sem offsets excessivos?</t>
    </r>
  </si>
  <si>
    <r>
      <t>Não existem</t>
    </r>
    <r>
      <rPr>
        <b/>
        <sz val="11"/>
        <rFont val="Arial"/>
        <family val="2"/>
      </rPr>
      <t xml:space="preserve"> elementos duplicados ou sobrepostos</t>
    </r>
  </si>
  <si>
    <r>
      <t>Os modelos GER estão com o</t>
    </r>
    <r>
      <rPr>
        <b/>
        <sz val="11"/>
        <rFont val="Arial"/>
        <family val="2"/>
      </rPr>
      <t xml:space="preserve"> ponto base deslocado</t>
    </r>
    <r>
      <rPr>
        <sz val="11"/>
        <rFont val="Arial"/>
        <family val="2"/>
      </rPr>
      <t>? Exemplo: Térreo = 0 -&gt; Térreo = 100,15</t>
    </r>
  </si>
  <si>
    <r>
      <t xml:space="preserve">Todos os elementos (paredes, pisos, pilares, etc.) </t>
    </r>
    <r>
      <rPr>
        <b/>
        <sz val="11"/>
        <rFont val="Arial"/>
        <family val="2"/>
      </rPr>
      <t>estão associados aos níveis corretos</t>
    </r>
    <r>
      <rPr>
        <sz val="11"/>
        <rFont val="Arial"/>
        <family val="2"/>
      </rPr>
      <t>, sem offsets excessivos?</t>
    </r>
  </si>
  <si>
    <t>9123 - 8665</t>
  </si>
  <si>
    <t>EMT / EST</t>
  </si>
  <si>
    <t>Total</t>
  </si>
  <si>
    <t>Arquivo GER esta como BAS</t>
  </si>
  <si>
    <t>Renomear vista de 3D para FEDERADA</t>
  </si>
  <si>
    <t>Modelo GER</t>
  </si>
  <si>
    <t>Possui niveis intermediarios</t>
  </si>
  <si>
    <t>Todas as disciplinas devem seguir as diretrizes de modelagem apontadas no documento</t>
  </si>
  <si>
    <t>Abrir apontamento</t>
  </si>
  <si>
    <t>Abrir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</si>
</sst>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12"/>
      <color theme="1"/>
      <name val="Arial Narrow"/>
      <family val="2"/>
    </font>
    <font>
      <b/>
      <sz val="14"/>
      <name val="Arial Narrow"/>
      <family val="2"/>
    </font>
    <font>
      <b/>
      <sz val="16"/>
      <color theme="0"/>
      <name val="Arial Narrow"/>
      <family val="2"/>
    </font>
    <font>
      <sz val="14"/>
      <name val="Aptos Narrow"/>
      <family val="2"/>
      <scheme val="minor"/>
    </font>
    <font>
      <sz val="12"/>
      <name val="Arial Narrow"/>
      <family val="2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name val="Arial Narrow"/>
      <family val="2"/>
    </font>
    <font>
      <sz val="11"/>
      <color rgb="FFEE0000"/>
      <name val="Aptos Narrow"/>
      <family val="2"/>
      <scheme val="minor"/>
    </font>
    <font>
      <b/>
      <sz val="11"/>
      <color rgb="FFEE0000"/>
      <name val="Arial Narrow"/>
      <family val="2"/>
    </font>
    <font>
      <sz val="11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  <font>
      <b/>
      <sz val="14"/>
      <color theme="0"/>
      <name val="Arial"/>
      <family val="2"/>
    </font>
    <font>
      <sz val="11"/>
      <color theme="1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Arial"/>
      <family val="2"/>
    </font>
    <font>
      <sz val="11"/>
      <color rgb="FFEE0000"/>
      <name val="Arial"/>
      <family val="2"/>
    </font>
    <font>
      <b/>
      <sz val="11"/>
      <color rgb="FFEE0000"/>
      <name val="Arial"/>
      <family val="2"/>
    </font>
    <font>
      <b/>
      <sz val="11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71826B"/>
        <bgColor rgb="FFC4BCC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C8888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3" fillId="0" borderId="0" xfId="0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5" fillId="2" borderId="4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7" fillId="0" borderId="0" xfId="0" applyFont="1"/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14" fontId="1" fillId="0" borderId="8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6" fillId="0" borderId="1" xfId="1" applyFont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9" fillId="0" borderId="1" xfId="1" applyFont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14" fontId="20" fillId="0" borderId="1" xfId="0" applyNumberFormat="1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0" fontId="21" fillId="0" borderId="1" xfId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14" fontId="14" fillId="0" borderId="8" xfId="0" applyNumberFormat="1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14" fontId="14" fillId="4" borderId="1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vertical="center" wrapText="1"/>
    </xf>
    <xf numFmtId="0" fontId="24" fillId="0" borderId="1" xfId="1" applyFont="1" applyBorder="1" applyAlignment="1">
      <alignment horizontal="center" vertical="center" wrapText="1"/>
    </xf>
    <xf numFmtId="14" fontId="23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 wrapText="1"/>
    </xf>
    <xf numFmtId="0" fontId="14" fillId="5" borderId="1" xfId="0" applyFont="1" applyFill="1" applyBorder="1" applyAlignment="1">
      <alignment vertical="center" wrapText="1"/>
    </xf>
    <xf numFmtId="0" fontId="14" fillId="0" borderId="1" xfId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vertical="center" wrapText="1"/>
    </xf>
    <xf numFmtId="0" fontId="16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5" fillId="0" borderId="1" xfId="1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/>
    </xf>
    <xf numFmtId="0" fontId="0" fillId="3" borderId="0" xfId="0" applyFill="1" applyAlignment="1">
      <alignment horizontal="center"/>
    </xf>
  </cellXfs>
  <cellStyles count="2">
    <cellStyle name="Normal" xfId="0" builtinId="0"/>
    <cellStyle name="Normal 2" xfId="1" xr:uid="{2B61601E-0762-4ED6-AEFF-2C1EE83D826D}"/>
  </cellStyles>
  <dxfs count="947"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EC888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rial Narrow"/>
        <family val="2"/>
        <scheme val="none"/>
      </font>
      <fill>
        <patternFill patternType="solid">
          <fgColor rgb="FFC4BCC5"/>
          <bgColor rgb="FF71826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EC8888"/>
      <color rgb="FF74B747"/>
      <color rgb="FF2B732B"/>
      <color rgb="FFA6B4A0"/>
      <color rgb="FF14900E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3FC3ED-6B3E-4836-BF04-8121618338B1}" name="Tabela1" displayName="Tabela1" ref="H1:S2796" totalsRowCount="1" headerRowDxfId="946" dataDxfId="944" headerRowBorderDxfId="945" tableBorderDxfId="943" totalsRowBorderDxfId="942">
  <autoFilter ref="H1:S2795" xr:uid="{783FC3ED-6B3E-4836-BF04-8121618338B1}"/>
  <tableColumns count="12">
    <tableColumn id="1" xr3:uid="{EBAEB0E8-AF73-477B-B19E-44678995905E}" name="Disciplina" totalsRowLabel="Total" dataDxfId="941" totalsRowDxfId="929"/>
    <tableColumn id="2" xr3:uid="{458E3B56-FC0A-46E9-8061-3D9F70C228EC}" name="Categoria" dataDxfId="940" totalsRowDxfId="928"/>
    <tableColumn id="3" xr3:uid="{CD04C908-9821-48DA-9906-D0B8F5891BE6}" name="Itens de verificação" dataDxfId="939" totalsRowDxfId="927"/>
    <tableColumn id="4" xr3:uid="{15869D6F-525D-4DAD-8957-D18674BD27B0}" name="Status" dataDxfId="938" totalsRowDxfId="926"/>
    <tableColumn id="5" xr3:uid="{FB2814E5-B3D7-4454-88F6-FFB71C6069ED}" name="Evidência / Observação" dataDxfId="937" totalsRowDxfId="925"/>
    <tableColumn id="6" xr3:uid="{F0A1CF5D-1B51-4B3B-9A85-A74D0952B5C5}" name="CF" dataDxfId="936" totalsRowDxfId="924"/>
    <tableColumn id="10" xr3:uid="{CC0D4AC3-DC22-490C-96D3-24E5C1BC507A}" name="Próxima Revisão" dataDxfId="935" totalsRowDxfId="923"/>
    <tableColumn id="7" xr3:uid="{400FB842-5F18-4EA4-9DC5-17A271A8516C}" name="Peso" dataDxfId="934" totalsRowDxfId="922"/>
    <tableColumn id="8" xr3:uid="{6AE89B1D-98F0-454F-B4CD-764572708F43}" name="Pontos" dataDxfId="933" totalsRowDxfId="921">
      <calculatedColumnFormula>IF(Tabela1[[#This Row],[Status]]="✔️",Tabela1[[#This Row],[Peso]]*1*1,0)</calculatedColumnFormula>
    </tableColumn>
    <tableColumn id="9" xr3:uid="{2B9C17B1-BFF2-4CE8-8FF5-6AA35FF44A78}" name="Ponto maximo" dataDxfId="932" totalsRowDxfId="920">
      <calculatedColumnFormula>IF(Tabela1[[#This Row],[Status]]="NA",0,IF(Tabela1[[#This Row],[Status]]="❌",Tabela1[[#This Row],[Peso]],IF(Tabela1[[#This Row],[Status]]="✔️✔️",Tabela1[[#This Row],[Peso]]*0.5,Tabela1[[#This Row],[Pontos]])))</calculatedColumnFormula>
    </tableColumn>
    <tableColumn id="11" xr3:uid="{A8D7F66E-7897-4B38-BB8E-E863D0E17EBD}" name="Obra" dataDxfId="931" totalsRowDxfId="919"/>
    <tableColumn id="12" xr3:uid="{BF841878-D3CE-4B52-BD9B-065C093042CD}" name="Fase" totalsRowFunction="count" dataDxfId="930" totalsRowDxfId="91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A9223-C322-4E98-B128-21FC6B384169}">
  <sheetPr codeName="Planilha1"/>
  <dimension ref="A1:XEZ2796"/>
  <sheetViews>
    <sheetView showGridLines="0" tabSelected="1" topLeftCell="H1" zoomScale="60" zoomScaleNormal="60" workbookViewId="0">
      <pane ySplit="1" topLeftCell="A2519" activePane="bottomLeft" state="frozen"/>
      <selection activeCell="H1" sqref="H1"/>
      <selection pane="bottomLeft" activeCell="H2794" sqref="H2794"/>
    </sheetView>
  </sheetViews>
  <sheetFormatPr defaultColWidth="8.88671875" defaultRowHeight="18" x14ac:dyDescent="0.35"/>
  <cols>
    <col min="1" max="7" width="8.88671875" hidden="1" customWidth="1"/>
    <col min="8" max="8" width="15.21875" style="6" customWidth="1"/>
    <col min="9" max="9" width="25.33203125" style="1" customWidth="1"/>
    <col min="10" max="10" width="97.44140625" customWidth="1"/>
    <col min="11" max="11" width="10.33203125" style="5" customWidth="1"/>
    <col min="12" max="12" width="49.5546875" style="1" customWidth="1"/>
    <col min="13" max="13" width="13.109375" style="1" customWidth="1"/>
    <col min="14" max="14" width="25.6640625" style="1" customWidth="1"/>
    <col min="15" max="15" width="12.6640625" customWidth="1"/>
    <col min="16" max="16" width="14.77734375" style="1" customWidth="1"/>
    <col min="17" max="17" width="13.33203125" style="1" customWidth="1"/>
    <col min="18" max="18" width="14.5546875" style="1" customWidth="1"/>
    <col min="19" max="19" width="10.88671875" customWidth="1"/>
    <col min="20" max="16384" width="8.88671875" style="13"/>
  </cols>
  <sheetData>
    <row r="1" spans="1:48" s="15" customFormat="1" ht="213.6" customHeight="1" x14ac:dyDescent="0.3">
      <c r="A1" s="4"/>
      <c r="B1" s="4"/>
      <c r="C1" s="4"/>
      <c r="D1" s="4"/>
      <c r="E1" s="4"/>
      <c r="F1" s="4"/>
      <c r="G1" s="4"/>
      <c r="H1" s="7" t="s">
        <v>126</v>
      </c>
      <c r="I1" s="8" t="s">
        <v>125</v>
      </c>
      <c r="J1" s="8" t="s">
        <v>3</v>
      </c>
      <c r="K1" s="8" t="s">
        <v>4</v>
      </c>
      <c r="L1" s="8" t="s">
        <v>5</v>
      </c>
      <c r="M1" s="8" t="s">
        <v>6</v>
      </c>
      <c r="N1" s="8" t="s">
        <v>251</v>
      </c>
      <c r="O1" s="8" t="s">
        <v>7</v>
      </c>
      <c r="P1" s="8" t="s">
        <v>8</v>
      </c>
      <c r="Q1" s="8" t="s">
        <v>136</v>
      </c>
      <c r="R1" s="8" t="s">
        <v>2</v>
      </c>
      <c r="S1" s="9" t="s">
        <v>129</v>
      </c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</row>
    <row r="2" spans="1:48" ht="79.8" customHeight="1" x14ac:dyDescent="0.3">
      <c r="H2" s="32" t="s">
        <v>42</v>
      </c>
      <c r="I2" s="33" t="s">
        <v>30</v>
      </c>
      <c r="J2" s="34" t="s">
        <v>438</v>
      </c>
      <c r="K2" s="35" t="s">
        <v>290</v>
      </c>
      <c r="L2" s="33" t="s">
        <v>96</v>
      </c>
      <c r="M2" s="33">
        <v>5678</v>
      </c>
      <c r="N2" s="36"/>
      <c r="O2" s="33">
        <v>3</v>
      </c>
      <c r="P2" s="33">
        <f>IF(Tabela1[[#This Row],[Status]]="✔️",Tabela1[[#This Row],[Peso]],IF(Tabela1[[#This Row],[Status]]="✔️✔️",Tabela1[[#This Row],[Peso]]/2,0))</f>
        <v>0</v>
      </c>
      <c r="Q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" s="33" t="s">
        <v>127</v>
      </c>
      <c r="S2" s="37" t="s">
        <v>128</v>
      </c>
    </row>
    <row r="3" spans="1:48" ht="91.2" customHeight="1" x14ac:dyDescent="0.3">
      <c r="H3" s="32" t="s">
        <v>42</v>
      </c>
      <c r="I3" s="33" t="s">
        <v>10</v>
      </c>
      <c r="J3" s="34" t="s">
        <v>11</v>
      </c>
      <c r="K3" s="35" t="s">
        <v>0</v>
      </c>
      <c r="L3" s="33"/>
      <c r="M3" s="33"/>
      <c r="N3" s="36"/>
      <c r="O3" s="33">
        <v>3</v>
      </c>
      <c r="P3" s="33">
        <f>IF(Tabela1[[#This Row],[Status]]="✔️",Tabela1[[#This Row],[Peso]],IF(Tabela1[[#This Row],[Status]]="✔️✔️",Tabela1[[#This Row],[Peso]]/2,0))</f>
        <v>3</v>
      </c>
      <c r="Q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" s="33" t="s">
        <v>127</v>
      </c>
      <c r="S3" s="37" t="s">
        <v>128</v>
      </c>
    </row>
    <row r="4" spans="1:48" ht="49.95" customHeight="1" x14ac:dyDescent="0.3">
      <c r="H4" s="32" t="s">
        <v>42</v>
      </c>
      <c r="I4" s="33" t="s">
        <v>10</v>
      </c>
      <c r="J4" s="34" t="s">
        <v>439</v>
      </c>
      <c r="K4" s="35" t="s">
        <v>0</v>
      </c>
      <c r="L4" s="33"/>
      <c r="M4" s="33"/>
      <c r="N4" s="36"/>
      <c r="O4" s="33">
        <v>3</v>
      </c>
      <c r="P4" s="33">
        <f>IF(Tabela1[[#This Row],[Status]]="✔️",Tabela1[[#This Row],[Peso]],IF(Tabela1[[#This Row],[Status]]="✔️✔️",Tabela1[[#This Row],[Peso]]/2,0))</f>
        <v>3</v>
      </c>
      <c r="Q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" s="33" t="s">
        <v>127</v>
      </c>
      <c r="S4" s="37" t="s">
        <v>128</v>
      </c>
    </row>
    <row r="5" spans="1:48" ht="49.95" customHeight="1" x14ac:dyDescent="0.3">
      <c r="H5" s="32" t="s">
        <v>42</v>
      </c>
      <c r="I5" s="33" t="s">
        <v>10</v>
      </c>
      <c r="J5" s="34" t="s">
        <v>440</v>
      </c>
      <c r="K5" s="35" t="s">
        <v>290</v>
      </c>
      <c r="L5" s="33" t="s">
        <v>299</v>
      </c>
      <c r="M5" s="33">
        <v>7969</v>
      </c>
      <c r="N5" s="36"/>
      <c r="O5" s="33">
        <v>3</v>
      </c>
      <c r="P5" s="33">
        <f>IF(Tabela1[[#This Row],[Status]]="✔️",Tabela1[[#This Row],[Peso]],IF(Tabela1[[#This Row],[Status]]="✔️✔️",Tabela1[[#This Row],[Peso]]/2,0))</f>
        <v>0</v>
      </c>
      <c r="Q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" s="33" t="s">
        <v>127</v>
      </c>
      <c r="S5" s="37" t="s">
        <v>128</v>
      </c>
    </row>
    <row r="6" spans="1:48" s="14" customFormat="1" ht="65.400000000000006" customHeight="1" x14ac:dyDescent="0.3">
      <c r="A6" s="2"/>
      <c r="B6" s="2"/>
      <c r="C6" s="2"/>
      <c r="D6" s="2"/>
      <c r="E6" s="2"/>
      <c r="F6" s="2"/>
      <c r="G6" s="2"/>
      <c r="H6" s="32" t="s">
        <v>42</v>
      </c>
      <c r="I6" s="33" t="s">
        <v>12</v>
      </c>
      <c r="J6" s="34" t="s">
        <v>13</v>
      </c>
      <c r="K6" s="35" t="s">
        <v>290</v>
      </c>
      <c r="L6" s="33" t="s">
        <v>124</v>
      </c>
      <c r="M6" s="33">
        <v>4183</v>
      </c>
      <c r="N6" s="36"/>
      <c r="O6" s="33">
        <v>2</v>
      </c>
      <c r="P6" s="33">
        <f>IF(Tabela1[[#This Row],[Status]]="✔️",Tabela1[[#This Row],[Peso]],IF(Tabela1[[#This Row],[Status]]="✔️✔️",Tabela1[[#This Row],[Peso]]/2,0))</f>
        <v>0</v>
      </c>
      <c r="Q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6" s="33" t="s">
        <v>127</v>
      </c>
      <c r="S6" s="37" t="s">
        <v>128</v>
      </c>
    </row>
    <row r="7" spans="1:48" ht="49.95" customHeight="1" x14ac:dyDescent="0.3">
      <c r="H7" s="32" t="s">
        <v>42</v>
      </c>
      <c r="I7" s="33" t="s">
        <v>14</v>
      </c>
      <c r="J7" s="34" t="s">
        <v>15</v>
      </c>
      <c r="K7" s="35" t="s">
        <v>0</v>
      </c>
      <c r="L7" s="33"/>
      <c r="M7" s="33"/>
      <c r="N7" s="36"/>
      <c r="O7" s="33">
        <v>3</v>
      </c>
      <c r="P7" s="33">
        <f>IF(Tabela1[[#This Row],[Status]]="✔️",Tabela1[[#This Row],[Peso]],IF(Tabela1[[#This Row],[Status]]="✔️✔️",Tabela1[[#This Row],[Peso]]/2,0))</f>
        <v>3</v>
      </c>
      <c r="Q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" s="33" t="s">
        <v>127</v>
      </c>
      <c r="S7" s="37" t="s">
        <v>128</v>
      </c>
    </row>
    <row r="8" spans="1:48" ht="49.95" customHeight="1" x14ac:dyDescent="0.3">
      <c r="H8" s="32" t="s">
        <v>42</v>
      </c>
      <c r="I8" s="33" t="s">
        <v>14</v>
      </c>
      <c r="J8" s="34" t="s">
        <v>16</v>
      </c>
      <c r="K8" s="35" t="s">
        <v>0</v>
      </c>
      <c r="L8" s="33"/>
      <c r="M8" s="33"/>
      <c r="N8" s="36"/>
      <c r="O8" s="33">
        <v>1</v>
      </c>
      <c r="P8" s="33">
        <f>IF(Tabela1[[#This Row],[Status]]="✔️",Tabela1[[#This Row],[Peso]],IF(Tabela1[[#This Row],[Status]]="✔️✔️",Tabela1[[#This Row],[Peso]]/2,0))</f>
        <v>1</v>
      </c>
      <c r="Q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8" s="33" t="s">
        <v>127</v>
      </c>
      <c r="S8" s="37" t="s">
        <v>128</v>
      </c>
    </row>
    <row r="9" spans="1:48" ht="73.2" customHeight="1" x14ac:dyDescent="0.3">
      <c r="H9" s="32" t="s">
        <v>42</v>
      </c>
      <c r="I9" s="33" t="s">
        <v>17</v>
      </c>
      <c r="J9" s="34" t="s">
        <v>18</v>
      </c>
      <c r="K9" s="35" t="s">
        <v>290</v>
      </c>
      <c r="L9" s="33" t="s">
        <v>123</v>
      </c>
      <c r="M9" s="33">
        <v>3553</v>
      </c>
      <c r="N9" s="36"/>
      <c r="O9" s="33">
        <v>3</v>
      </c>
      <c r="P9" s="33">
        <f>IF(Tabela1[[#This Row],[Status]]="✔️",Tabela1[[#This Row],[Peso]],IF(Tabela1[[#This Row],[Status]]="✔️✔️",Tabela1[[#This Row],[Peso]]/2,0))</f>
        <v>0</v>
      </c>
      <c r="Q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" s="33" t="s">
        <v>127</v>
      </c>
      <c r="S9" s="37" t="s">
        <v>128</v>
      </c>
    </row>
    <row r="10" spans="1:48" ht="49.95" customHeight="1" x14ac:dyDescent="0.3">
      <c r="H10" s="32" t="s">
        <v>42</v>
      </c>
      <c r="I10" s="33" t="s">
        <v>17</v>
      </c>
      <c r="J10" s="34" t="s">
        <v>19</v>
      </c>
      <c r="K10" s="35" t="s">
        <v>290</v>
      </c>
      <c r="L10" s="33" t="s">
        <v>122</v>
      </c>
      <c r="M10" s="33">
        <v>3553</v>
      </c>
      <c r="N10" s="36"/>
      <c r="O10" s="33">
        <v>3</v>
      </c>
      <c r="P10" s="33">
        <f>IF(Tabela1[[#This Row],[Status]]="✔️",Tabela1[[#This Row],[Peso]],IF(Tabela1[[#This Row],[Status]]="✔️✔️",Tabela1[[#This Row],[Peso]]/2,0))</f>
        <v>0</v>
      </c>
      <c r="Q1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" s="33" t="s">
        <v>127</v>
      </c>
      <c r="S10" s="37" t="s">
        <v>128</v>
      </c>
    </row>
    <row r="11" spans="1:48" ht="49.95" customHeight="1" x14ac:dyDescent="0.3">
      <c r="H11" s="32" t="s">
        <v>42</v>
      </c>
      <c r="I11" s="33" t="s">
        <v>20</v>
      </c>
      <c r="J11" s="34" t="s">
        <v>21</v>
      </c>
      <c r="K11" s="35" t="s">
        <v>0</v>
      </c>
      <c r="L11" s="33"/>
      <c r="M11" s="33"/>
      <c r="N11" s="36"/>
      <c r="O11" s="33">
        <v>3</v>
      </c>
      <c r="P11" s="33">
        <f>IF(Tabela1[[#This Row],[Status]]="✔️",Tabela1[[#This Row],[Peso]],IF(Tabela1[[#This Row],[Status]]="✔️✔️",Tabela1[[#This Row],[Peso]]/2,0))</f>
        <v>3</v>
      </c>
      <c r="Q1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" s="33" t="s">
        <v>127</v>
      </c>
      <c r="S11" s="37" t="s">
        <v>128</v>
      </c>
    </row>
    <row r="12" spans="1:48" s="10" customFormat="1" ht="49.95" customHeight="1" x14ac:dyDescent="0.3">
      <c r="A12" s="3"/>
      <c r="B12" s="3"/>
      <c r="C12" s="3"/>
      <c r="D12" s="3"/>
      <c r="E12" s="3"/>
      <c r="F12" s="3"/>
      <c r="G12" s="3"/>
      <c r="H12" s="32" t="s">
        <v>42</v>
      </c>
      <c r="I12" s="33" t="s">
        <v>20</v>
      </c>
      <c r="J12" s="34" t="s">
        <v>441</v>
      </c>
      <c r="K12" s="35" t="s">
        <v>290</v>
      </c>
      <c r="L12" s="33" t="s">
        <v>119</v>
      </c>
      <c r="M12" s="33">
        <v>9087</v>
      </c>
      <c r="N12" s="36"/>
      <c r="O12" s="33">
        <v>1</v>
      </c>
      <c r="P12" s="33">
        <f>IF(Tabela1[[#This Row],[Status]]="✔️",Tabela1[[#This Row],[Peso]],IF(Tabela1[[#This Row],[Status]]="✔️✔️",Tabela1[[#This Row],[Peso]]/2,0))</f>
        <v>0</v>
      </c>
      <c r="Q1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" s="33" t="s">
        <v>127</v>
      </c>
      <c r="S12" s="37" t="s">
        <v>128</v>
      </c>
    </row>
    <row r="13" spans="1:48" s="10" customFormat="1" ht="49.95" customHeight="1" x14ac:dyDescent="0.3">
      <c r="A13" s="3"/>
      <c r="B13" s="3"/>
      <c r="C13" s="3"/>
      <c r="D13" s="3"/>
      <c r="E13" s="3"/>
      <c r="F13" s="3"/>
      <c r="G13" s="3"/>
      <c r="H13" s="32" t="s">
        <v>42</v>
      </c>
      <c r="I13" s="33" t="s">
        <v>43</v>
      </c>
      <c r="J13" s="34" t="s">
        <v>44</v>
      </c>
      <c r="K13" s="35" t="s">
        <v>0</v>
      </c>
      <c r="L13" s="33"/>
      <c r="M13" s="33"/>
      <c r="N13" s="36"/>
      <c r="O13" s="33">
        <v>3</v>
      </c>
      <c r="P13" s="33">
        <f>IF(Tabela1[[#This Row],[Status]]="✔️",Tabela1[[#This Row],[Peso]],IF(Tabela1[[#This Row],[Status]]="✔️✔️",Tabela1[[#This Row],[Peso]]/2,0))</f>
        <v>3</v>
      </c>
      <c r="Q1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" s="33" t="s">
        <v>127</v>
      </c>
      <c r="S13" s="37" t="s">
        <v>128</v>
      </c>
    </row>
    <row r="14" spans="1:48" s="10" customFormat="1" ht="49.95" customHeight="1" x14ac:dyDescent="0.3">
      <c r="A14" s="3"/>
      <c r="B14" s="3"/>
      <c r="C14" s="3"/>
      <c r="D14" s="3"/>
      <c r="E14" s="3"/>
      <c r="F14" s="3"/>
      <c r="G14" s="3"/>
      <c r="H14" s="32" t="s">
        <v>42</v>
      </c>
      <c r="I14" s="33" t="s">
        <v>45</v>
      </c>
      <c r="J14" s="34" t="s">
        <v>46</v>
      </c>
      <c r="K14" s="35" t="s">
        <v>290</v>
      </c>
      <c r="L14" s="33" t="s">
        <v>120</v>
      </c>
      <c r="M14" s="33">
        <v>2335</v>
      </c>
      <c r="N14" s="36"/>
      <c r="O14" s="33">
        <v>3</v>
      </c>
      <c r="P14" s="33">
        <f>IF(Tabela1[[#This Row],[Status]]="✔️",Tabela1[[#This Row],[Peso]],IF(Tabela1[[#This Row],[Status]]="✔️✔️",Tabela1[[#This Row],[Peso]]/2,0))</f>
        <v>0</v>
      </c>
      <c r="Q1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" s="33" t="s">
        <v>127</v>
      </c>
      <c r="S14" s="37" t="s">
        <v>128</v>
      </c>
    </row>
    <row r="15" spans="1:48" s="10" customFormat="1" ht="49.95" customHeight="1" x14ac:dyDescent="0.3">
      <c r="A15" s="3"/>
      <c r="B15" s="3"/>
      <c r="C15" s="3"/>
      <c r="D15" s="3"/>
      <c r="E15" s="3"/>
      <c r="F15" s="3"/>
      <c r="G15" s="3"/>
      <c r="H15" s="32" t="s">
        <v>42</v>
      </c>
      <c r="I15" s="33" t="s">
        <v>25</v>
      </c>
      <c r="J15" s="34" t="s">
        <v>28</v>
      </c>
      <c r="K15" s="35" t="s">
        <v>290</v>
      </c>
      <c r="L15" s="33" t="s">
        <v>121</v>
      </c>
      <c r="M15" s="33">
        <v>6076</v>
      </c>
      <c r="N15" s="36"/>
      <c r="O15" s="33">
        <v>3</v>
      </c>
      <c r="P15" s="33">
        <f>IF(Tabela1[[#This Row],[Status]]="✔️",Tabela1[[#This Row],[Peso]],IF(Tabela1[[#This Row],[Status]]="✔️✔️",Tabela1[[#This Row],[Peso]]/2,0))</f>
        <v>0</v>
      </c>
      <c r="Q1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" s="33" t="s">
        <v>127</v>
      </c>
      <c r="S15" s="37" t="s">
        <v>128</v>
      </c>
    </row>
    <row r="16" spans="1:48" s="10" customFormat="1" ht="49.95" customHeight="1" x14ac:dyDescent="0.3">
      <c r="A16" s="3"/>
      <c r="B16" s="3"/>
      <c r="C16" s="3"/>
      <c r="D16" s="3"/>
      <c r="E16" s="3"/>
      <c r="F16" s="3"/>
      <c r="G16" s="3"/>
      <c r="H16" s="32" t="s">
        <v>42</v>
      </c>
      <c r="I16" s="33" t="s">
        <v>25</v>
      </c>
      <c r="J16" s="34" t="s">
        <v>29</v>
      </c>
      <c r="K16" s="35" t="s">
        <v>0</v>
      </c>
      <c r="L16" s="33"/>
      <c r="M16" s="33"/>
      <c r="N16" s="36"/>
      <c r="O16" s="33">
        <v>3</v>
      </c>
      <c r="P16" s="33">
        <f>IF(Tabela1[[#This Row],[Status]]="✔️",Tabela1[[#This Row],[Peso]],IF(Tabela1[[#This Row],[Status]]="✔️✔️",Tabela1[[#This Row],[Peso]]/2,0))</f>
        <v>3</v>
      </c>
      <c r="Q1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6" s="33" t="s">
        <v>127</v>
      </c>
      <c r="S16" s="37" t="s">
        <v>128</v>
      </c>
    </row>
    <row r="17" spans="1:19" s="10" customFormat="1" ht="49.95" customHeight="1" x14ac:dyDescent="0.3">
      <c r="A17" s="3"/>
      <c r="B17" s="3"/>
      <c r="C17" s="3"/>
      <c r="D17" s="3"/>
      <c r="E17" s="3"/>
      <c r="F17" s="3"/>
      <c r="G17" s="3"/>
      <c r="H17" s="32" t="s">
        <v>42</v>
      </c>
      <c r="I17" s="33" t="s">
        <v>41</v>
      </c>
      <c r="J17" s="34" t="s">
        <v>442</v>
      </c>
      <c r="K17" s="35" t="s">
        <v>290</v>
      </c>
      <c r="L17" s="33" t="s">
        <v>47</v>
      </c>
      <c r="M17" s="33">
        <v>8115</v>
      </c>
      <c r="N17" s="36"/>
      <c r="O17" s="33">
        <v>3</v>
      </c>
      <c r="P17" s="33">
        <f>IF(Tabela1[[#This Row],[Status]]="✔️",Tabela1[[#This Row],[Peso]],IF(Tabela1[[#This Row],[Status]]="✔️✔️",Tabela1[[#This Row],[Peso]]/2,0))</f>
        <v>0</v>
      </c>
      <c r="Q1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" s="33" t="s">
        <v>127</v>
      </c>
      <c r="S17" s="37" t="s">
        <v>128</v>
      </c>
    </row>
    <row r="18" spans="1:19" s="10" customFormat="1" ht="49.95" customHeight="1" x14ac:dyDescent="0.3">
      <c r="A18" s="3"/>
      <c r="B18" s="3"/>
      <c r="C18" s="3"/>
      <c r="D18" s="3"/>
      <c r="E18" s="3"/>
      <c r="F18" s="3"/>
      <c r="G18" s="3"/>
      <c r="H18" s="32" t="s">
        <v>42</v>
      </c>
      <c r="I18" s="33" t="s">
        <v>41</v>
      </c>
      <c r="J18" s="34" t="s">
        <v>443</v>
      </c>
      <c r="K18" s="35" t="s">
        <v>290</v>
      </c>
      <c r="L18" s="33" t="s">
        <v>47</v>
      </c>
      <c r="M18" s="33">
        <v>8115</v>
      </c>
      <c r="N18" s="36"/>
      <c r="O18" s="33">
        <v>2</v>
      </c>
      <c r="P18" s="33">
        <f>IF(Tabela1[[#This Row],[Status]]="✔️",Tabela1[[#This Row],[Peso]],IF(Tabela1[[#This Row],[Status]]="✔️✔️",Tabela1[[#This Row],[Peso]]/2,0))</f>
        <v>0</v>
      </c>
      <c r="Q18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8" s="33" t="s">
        <v>127</v>
      </c>
      <c r="S18" s="37" t="s">
        <v>128</v>
      </c>
    </row>
    <row r="19" spans="1:19" s="10" customFormat="1" ht="49.95" customHeight="1" x14ac:dyDescent="0.3">
      <c r="A19" s="3"/>
      <c r="B19" s="3"/>
      <c r="C19" s="3"/>
      <c r="D19" s="3"/>
      <c r="E19" s="3"/>
      <c r="F19" s="3"/>
      <c r="G19" s="3"/>
      <c r="H19" s="32" t="s">
        <v>42</v>
      </c>
      <c r="I19" s="33" t="s">
        <v>10</v>
      </c>
      <c r="J19" s="34" t="s">
        <v>445</v>
      </c>
      <c r="K19" s="35" t="s">
        <v>0</v>
      </c>
      <c r="L19" s="33"/>
      <c r="M19" s="33"/>
      <c r="N19" s="36"/>
      <c r="O19" s="33">
        <v>3</v>
      </c>
      <c r="P19" s="33">
        <f>IF(Tabela1[[#This Row],[Status]]="✔️",Tabela1[[#This Row],[Peso]],IF(Tabela1[[#This Row],[Status]]="✔️✔️",Tabela1[[#This Row],[Peso]]/2,0))</f>
        <v>3</v>
      </c>
      <c r="Q1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" s="33" t="s">
        <v>127</v>
      </c>
      <c r="S19" s="37" t="s">
        <v>128</v>
      </c>
    </row>
    <row r="20" spans="1:19" s="10" customFormat="1" ht="49.95" customHeight="1" x14ac:dyDescent="0.3">
      <c r="A20" s="3"/>
      <c r="B20" s="3"/>
      <c r="C20" s="3"/>
      <c r="D20" s="3"/>
      <c r="E20" s="3"/>
      <c r="F20" s="3"/>
      <c r="G20" s="3"/>
      <c r="H20" s="32" t="s">
        <v>42</v>
      </c>
      <c r="I20" s="33" t="s">
        <v>30</v>
      </c>
      <c r="J20" s="34" t="s">
        <v>438</v>
      </c>
      <c r="K20" s="35" t="s">
        <v>0</v>
      </c>
      <c r="L20" s="33"/>
      <c r="M20" s="33"/>
      <c r="N20" s="36"/>
      <c r="O20" s="33">
        <v>3</v>
      </c>
      <c r="P20" s="33">
        <f>IF(Tabela1[[#This Row],[Status]]="✔️",Tabela1[[#This Row],[Peso]],IF(Tabela1[[#This Row],[Status]]="✔️✔️",Tabela1[[#This Row],[Peso]]/2,0))</f>
        <v>3</v>
      </c>
      <c r="Q2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0" s="33" t="s">
        <v>130</v>
      </c>
      <c r="S20" s="37" t="s">
        <v>132</v>
      </c>
    </row>
    <row r="21" spans="1:19" s="10" customFormat="1" ht="49.95" customHeight="1" x14ac:dyDescent="0.3">
      <c r="A21" s="3"/>
      <c r="B21" s="3"/>
      <c r="C21" s="3"/>
      <c r="D21" s="3"/>
      <c r="E21" s="3"/>
      <c r="F21" s="3"/>
      <c r="G21" s="3"/>
      <c r="H21" s="32" t="s">
        <v>42</v>
      </c>
      <c r="I21" s="33" t="s">
        <v>10</v>
      </c>
      <c r="J21" s="34" t="s">
        <v>11</v>
      </c>
      <c r="K21" s="35" t="s">
        <v>0</v>
      </c>
      <c r="L21" s="33"/>
      <c r="M21" s="33"/>
      <c r="N21" s="36"/>
      <c r="O21" s="33">
        <v>2</v>
      </c>
      <c r="P21" s="33">
        <f>IF(Tabela1[[#This Row],[Status]]="✔️",Tabela1[[#This Row],[Peso]],IF(Tabela1[[#This Row],[Status]]="✔️✔️",Tabela1[[#This Row],[Peso]]/2,0))</f>
        <v>2</v>
      </c>
      <c r="Q2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21" s="33" t="s">
        <v>130</v>
      </c>
      <c r="S21" s="37" t="s">
        <v>132</v>
      </c>
    </row>
    <row r="22" spans="1:19" s="10" customFormat="1" ht="49.95" customHeight="1" x14ac:dyDescent="0.3">
      <c r="A22" s="3"/>
      <c r="B22" s="3"/>
      <c r="C22" s="3"/>
      <c r="D22" s="3"/>
      <c r="E22" s="3"/>
      <c r="F22" s="3"/>
      <c r="G22" s="3"/>
      <c r="H22" s="32" t="s">
        <v>42</v>
      </c>
      <c r="I22" s="33" t="s">
        <v>10</v>
      </c>
      <c r="J22" s="34" t="s">
        <v>439</v>
      </c>
      <c r="K22" s="35" t="s">
        <v>0</v>
      </c>
      <c r="L22" s="33"/>
      <c r="M22" s="33"/>
      <c r="N22" s="36"/>
      <c r="O22" s="33">
        <v>3</v>
      </c>
      <c r="P22" s="33">
        <f>IF(Tabela1[[#This Row],[Status]]="✔️",Tabela1[[#This Row],[Peso]],IF(Tabela1[[#This Row],[Status]]="✔️✔️",Tabela1[[#This Row],[Peso]]/2,0))</f>
        <v>3</v>
      </c>
      <c r="Q2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2" s="33" t="s">
        <v>130</v>
      </c>
      <c r="S22" s="37" t="s">
        <v>132</v>
      </c>
    </row>
    <row r="23" spans="1:19" ht="49.95" customHeight="1" x14ac:dyDescent="0.3">
      <c r="H23" s="32" t="s">
        <v>42</v>
      </c>
      <c r="I23" s="33" t="s">
        <v>10</v>
      </c>
      <c r="J23" s="34" t="s">
        <v>440</v>
      </c>
      <c r="K23" s="35" t="s">
        <v>0</v>
      </c>
      <c r="L23" s="33"/>
      <c r="M23" s="33"/>
      <c r="N23" s="36"/>
      <c r="O23" s="33">
        <v>3</v>
      </c>
      <c r="P23" s="33">
        <f>IF(Tabela1[[#This Row],[Status]]="✔️",Tabela1[[#This Row],[Peso]],IF(Tabela1[[#This Row],[Status]]="✔️✔️",Tabela1[[#This Row],[Peso]]/2,0))</f>
        <v>3</v>
      </c>
      <c r="Q2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3" s="33" t="s">
        <v>130</v>
      </c>
      <c r="S23" s="37" t="s">
        <v>132</v>
      </c>
    </row>
    <row r="24" spans="1:19" s="10" customFormat="1" ht="49.95" customHeight="1" x14ac:dyDescent="0.3">
      <c r="A24" s="3"/>
      <c r="B24" s="3"/>
      <c r="C24" s="3"/>
      <c r="D24" s="3"/>
      <c r="E24" s="3"/>
      <c r="F24" s="3"/>
      <c r="G24" s="3"/>
      <c r="H24" s="32" t="s">
        <v>42</v>
      </c>
      <c r="I24" s="33" t="s">
        <v>12</v>
      </c>
      <c r="J24" s="34" t="s">
        <v>13</v>
      </c>
      <c r="K24" s="35" t="s">
        <v>290</v>
      </c>
      <c r="L24" s="33" t="s">
        <v>145</v>
      </c>
      <c r="M24" s="33">
        <v>5285</v>
      </c>
      <c r="N24" s="36"/>
      <c r="O24" s="33">
        <v>2</v>
      </c>
      <c r="P24" s="33">
        <f>IF(Tabela1[[#This Row],[Status]]="✔️",Tabela1[[#This Row],[Peso]],IF(Tabela1[[#This Row],[Status]]="✔️✔️",Tabela1[[#This Row],[Peso]]/2,0))</f>
        <v>0</v>
      </c>
      <c r="Q2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24" s="33" t="s">
        <v>130</v>
      </c>
      <c r="S24" s="37" t="s">
        <v>132</v>
      </c>
    </row>
    <row r="25" spans="1:19" s="10" customFormat="1" ht="49.95" customHeight="1" x14ac:dyDescent="0.3">
      <c r="A25" s="3"/>
      <c r="B25" s="3"/>
      <c r="C25" s="3"/>
      <c r="D25" s="3"/>
      <c r="E25" s="3"/>
      <c r="F25" s="3"/>
      <c r="G25" s="3"/>
      <c r="H25" s="32" t="s">
        <v>42</v>
      </c>
      <c r="I25" s="33" t="s">
        <v>14</v>
      </c>
      <c r="J25" s="34" t="s">
        <v>15</v>
      </c>
      <c r="K25" s="35" t="s">
        <v>0</v>
      </c>
      <c r="L25" s="33"/>
      <c r="M25" s="33"/>
      <c r="N25" s="36"/>
      <c r="O25" s="33">
        <v>3</v>
      </c>
      <c r="P25" s="33">
        <f>IF(Tabela1[[#This Row],[Status]]="✔️",Tabela1[[#This Row],[Peso]],IF(Tabela1[[#This Row],[Status]]="✔️✔️",Tabela1[[#This Row],[Peso]]/2,0))</f>
        <v>3</v>
      </c>
      <c r="Q2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5" s="33" t="s">
        <v>130</v>
      </c>
      <c r="S25" s="37" t="s">
        <v>132</v>
      </c>
    </row>
    <row r="26" spans="1:19" ht="49.95" customHeight="1" x14ac:dyDescent="0.3">
      <c r="H26" s="32" t="s">
        <v>42</v>
      </c>
      <c r="I26" s="33" t="s">
        <v>14</v>
      </c>
      <c r="J26" s="34" t="s">
        <v>16</v>
      </c>
      <c r="K26" s="35" t="s">
        <v>290</v>
      </c>
      <c r="L26" s="33" t="s">
        <v>146</v>
      </c>
      <c r="M26" s="33">
        <v>2441</v>
      </c>
      <c r="N26" s="36"/>
      <c r="O26" s="33">
        <v>1</v>
      </c>
      <c r="P26" s="33">
        <f>IF(Tabela1[[#This Row],[Status]]="✔️",Tabela1[[#This Row],[Peso]],IF(Tabela1[[#This Row],[Status]]="✔️✔️",Tabela1[[#This Row],[Peso]]/2,0))</f>
        <v>0</v>
      </c>
      <c r="Q2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26" s="33" t="s">
        <v>130</v>
      </c>
      <c r="S26" s="37" t="s">
        <v>132</v>
      </c>
    </row>
    <row r="27" spans="1:19" ht="49.95" customHeight="1" x14ac:dyDescent="0.3">
      <c r="H27" s="32" t="s">
        <v>42</v>
      </c>
      <c r="I27" s="33" t="s">
        <v>17</v>
      </c>
      <c r="J27" s="34" t="s">
        <v>18</v>
      </c>
      <c r="K27" s="35" t="s">
        <v>0</v>
      </c>
      <c r="L27" s="33"/>
      <c r="M27" s="33"/>
      <c r="N27" s="36"/>
      <c r="O27" s="33">
        <v>3</v>
      </c>
      <c r="P27" s="33">
        <f>IF(Tabela1[[#This Row],[Status]]="✔️",Tabela1[[#This Row],[Peso]],IF(Tabela1[[#This Row],[Status]]="✔️✔️",Tabela1[[#This Row],[Peso]]/2,0))</f>
        <v>3</v>
      </c>
      <c r="Q2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7" s="33" t="s">
        <v>130</v>
      </c>
      <c r="S27" s="37" t="s">
        <v>132</v>
      </c>
    </row>
    <row r="28" spans="1:19" ht="49.95" customHeight="1" x14ac:dyDescent="0.3">
      <c r="H28" s="32" t="s">
        <v>42</v>
      </c>
      <c r="I28" s="33" t="s">
        <v>17</v>
      </c>
      <c r="J28" s="34" t="s">
        <v>19</v>
      </c>
      <c r="K28" s="35" t="s">
        <v>290</v>
      </c>
      <c r="L28" s="33" t="s">
        <v>147</v>
      </c>
      <c r="M28" s="33">
        <v>4771</v>
      </c>
      <c r="N28" s="36"/>
      <c r="O28" s="33">
        <v>3</v>
      </c>
      <c r="P28" s="33">
        <f>IF(Tabela1[[#This Row],[Status]]="✔️",Tabela1[[#This Row],[Peso]],IF(Tabela1[[#This Row],[Status]]="✔️✔️",Tabela1[[#This Row],[Peso]]/2,0))</f>
        <v>0</v>
      </c>
      <c r="Q2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8" s="33" t="s">
        <v>130</v>
      </c>
      <c r="S28" s="37" t="s">
        <v>132</v>
      </c>
    </row>
    <row r="29" spans="1:19" s="10" customFormat="1" ht="49.95" customHeight="1" x14ac:dyDescent="0.3">
      <c r="A29" s="3"/>
      <c r="B29" s="3"/>
      <c r="C29" s="3"/>
      <c r="D29" s="3"/>
      <c r="E29" s="3"/>
      <c r="F29" s="3"/>
      <c r="G29" s="3"/>
      <c r="H29" s="32" t="s">
        <v>42</v>
      </c>
      <c r="I29" s="33" t="s">
        <v>20</v>
      </c>
      <c r="J29" s="34" t="s">
        <v>21</v>
      </c>
      <c r="K29" s="35" t="s">
        <v>290</v>
      </c>
      <c r="L29" s="33" t="s">
        <v>148</v>
      </c>
      <c r="M29" s="33">
        <v>8051</v>
      </c>
      <c r="N29" s="36"/>
      <c r="O29" s="33">
        <v>3</v>
      </c>
      <c r="P29" s="33">
        <f>IF(Tabela1[[#This Row],[Status]]="✔️",Tabela1[[#This Row],[Peso]],IF(Tabela1[[#This Row],[Status]]="✔️✔️",Tabela1[[#This Row],[Peso]]/2,0))</f>
        <v>0</v>
      </c>
      <c r="Q2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9" s="33" t="s">
        <v>130</v>
      </c>
      <c r="S29" s="37" t="s">
        <v>132</v>
      </c>
    </row>
    <row r="30" spans="1:19" s="10" customFormat="1" ht="49.95" customHeight="1" x14ac:dyDescent="0.3">
      <c r="A30" s="3"/>
      <c r="B30" s="3"/>
      <c r="C30" s="3"/>
      <c r="D30" s="3"/>
      <c r="E30" s="3"/>
      <c r="F30" s="3"/>
      <c r="G30" s="3"/>
      <c r="H30" s="32" t="s">
        <v>42</v>
      </c>
      <c r="I30" s="33" t="s">
        <v>20</v>
      </c>
      <c r="J30" s="34" t="s">
        <v>441</v>
      </c>
      <c r="K30" s="35" t="s">
        <v>290</v>
      </c>
      <c r="L30" s="33" t="s">
        <v>149</v>
      </c>
      <c r="M30" s="33">
        <v>2441</v>
      </c>
      <c r="N30" s="36"/>
      <c r="O30" s="33">
        <v>1</v>
      </c>
      <c r="P30" s="33">
        <f>IF(Tabela1[[#This Row],[Status]]="✔️",Tabela1[[#This Row],[Peso]],IF(Tabela1[[#This Row],[Status]]="✔️✔️",Tabela1[[#This Row],[Peso]]/2,0))</f>
        <v>0</v>
      </c>
      <c r="Q3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30" s="33" t="s">
        <v>130</v>
      </c>
      <c r="S30" s="37" t="s">
        <v>132</v>
      </c>
    </row>
    <row r="31" spans="1:19" s="10" customFormat="1" ht="49.95" customHeight="1" x14ac:dyDescent="0.3">
      <c r="A31" s="3"/>
      <c r="B31" s="3"/>
      <c r="C31" s="3"/>
      <c r="D31" s="3"/>
      <c r="E31" s="3"/>
      <c r="F31" s="3"/>
      <c r="G31" s="3"/>
      <c r="H31" s="32" t="s">
        <v>42</v>
      </c>
      <c r="I31" s="33" t="s">
        <v>43</v>
      </c>
      <c r="J31" s="34" t="s">
        <v>44</v>
      </c>
      <c r="K31" s="35" t="s">
        <v>0</v>
      </c>
      <c r="L31" s="33"/>
      <c r="M31" s="33"/>
      <c r="N31" s="36"/>
      <c r="O31" s="33">
        <v>3</v>
      </c>
      <c r="P31" s="33">
        <f>IF(Tabela1[[#This Row],[Status]]="✔️",Tabela1[[#This Row],[Peso]],IF(Tabela1[[#This Row],[Status]]="✔️✔️",Tabela1[[#This Row],[Peso]]/2,0))</f>
        <v>3</v>
      </c>
      <c r="Q3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1" s="33" t="s">
        <v>130</v>
      </c>
      <c r="S31" s="37" t="s">
        <v>132</v>
      </c>
    </row>
    <row r="32" spans="1:19" s="10" customFormat="1" ht="49.95" customHeight="1" x14ac:dyDescent="0.3">
      <c r="A32" s="3"/>
      <c r="B32" s="3"/>
      <c r="C32" s="3"/>
      <c r="D32" s="3"/>
      <c r="E32" s="3"/>
      <c r="F32" s="3"/>
      <c r="G32" s="3"/>
      <c r="H32" s="32" t="s">
        <v>42</v>
      </c>
      <c r="I32" s="33" t="s">
        <v>45</v>
      </c>
      <c r="J32" s="34" t="s">
        <v>46</v>
      </c>
      <c r="K32" s="35" t="s">
        <v>0</v>
      </c>
      <c r="L32" s="33"/>
      <c r="M32" s="33"/>
      <c r="N32" s="36"/>
      <c r="O32" s="33">
        <v>3</v>
      </c>
      <c r="P32" s="33">
        <f>IF(Tabela1[[#This Row],[Status]]="✔️",Tabela1[[#This Row],[Peso]],IF(Tabela1[[#This Row],[Status]]="✔️✔️",Tabela1[[#This Row],[Peso]]/2,0))</f>
        <v>3</v>
      </c>
      <c r="Q3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2" s="33" t="s">
        <v>130</v>
      </c>
      <c r="S32" s="37" t="s">
        <v>132</v>
      </c>
    </row>
    <row r="33" spans="1:19" s="10" customFormat="1" ht="49.95" customHeight="1" x14ac:dyDescent="0.3">
      <c r="A33" s="3"/>
      <c r="B33" s="3"/>
      <c r="C33" s="3"/>
      <c r="D33" s="3"/>
      <c r="E33" s="3"/>
      <c r="F33" s="3"/>
      <c r="G33" s="3"/>
      <c r="H33" s="32" t="s">
        <v>42</v>
      </c>
      <c r="I33" s="33" t="s">
        <v>25</v>
      </c>
      <c r="J33" s="34" t="s">
        <v>28</v>
      </c>
      <c r="K33" s="35" t="s">
        <v>290</v>
      </c>
      <c r="L33" s="33" t="s">
        <v>150</v>
      </c>
      <c r="M33" s="33">
        <v>9884</v>
      </c>
      <c r="N33" s="36"/>
      <c r="O33" s="33">
        <v>3</v>
      </c>
      <c r="P33" s="33">
        <f>IF(Tabela1[[#This Row],[Status]]="✔️",Tabela1[[#This Row],[Peso]],IF(Tabela1[[#This Row],[Status]]="✔️✔️",Tabela1[[#This Row],[Peso]]/2,0))</f>
        <v>0</v>
      </c>
      <c r="Q3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3" s="33" t="s">
        <v>130</v>
      </c>
      <c r="S33" s="37" t="s">
        <v>132</v>
      </c>
    </row>
    <row r="34" spans="1:19" s="10" customFormat="1" ht="49.95" customHeight="1" x14ac:dyDescent="0.3">
      <c r="A34" s="3"/>
      <c r="B34" s="3"/>
      <c r="C34" s="3"/>
      <c r="D34" s="3"/>
      <c r="E34" s="3"/>
      <c r="F34" s="3"/>
      <c r="G34" s="3"/>
      <c r="H34" s="32" t="s">
        <v>42</v>
      </c>
      <c r="I34" s="33" t="s">
        <v>25</v>
      </c>
      <c r="J34" s="34" t="s">
        <v>29</v>
      </c>
      <c r="K34" s="35" t="s">
        <v>0</v>
      </c>
      <c r="L34" s="33"/>
      <c r="M34" s="33"/>
      <c r="N34" s="36"/>
      <c r="O34" s="33">
        <v>3</v>
      </c>
      <c r="P34" s="33">
        <f>IF(Tabela1[[#This Row],[Status]]="✔️",Tabela1[[#This Row],[Peso]],IF(Tabela1[[#This Row],[Status]]="✔️✔️",Tabela1[[#This Row],[Peso]]/2,0))</f>
        <v>3</v>
      </c>
      <c r="Q3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4" s="33" t="s">
        <v>130</v>
      </c>
      <c r="S34" s="37" t="s">
        <v>132</v>
      </c>
    </row>
    <row r="35" spans="1:19" s="10" customFormat="1" ht="49.95" customHeight="1" x14ac:dyDescent="0.3">
      <c r="A35" s="3"/>
      <c r="B35" s="3"/>
      <c r="C35" s="3"/>
      <c r="D35" s="3"/>
      <c r="E35" s="3"/>
      <c r="F35" s="3"/>
      <c r="G35" s="3"/>
      <c r="H35" s="32" t="s">
        <v>42</v>
      </c>
      <c r="I35" s="33" t="s">
        <v>41</v>
      </c>
      <c r="J35" s="34" t="s">
        <v>442</v>
      </c>
      <c r="K35" s="35" t="s">
        <v>290</v>
      </c>
      <c r="L35" s="33" t="s">
        <v>47</v>
      </c>
      <c r="M35" s="33">
        <v>3184</v>
      </c>
      <c r="N35" s="36"/>
      <c r="O35" s="33">
        <v>3</v>
      </c>
      <c r="P35" s="33">
        <f>IF(Tabela1[[#This Row],[Status]]="✔️",Tabela1[[#This Row],[Peso]],IF(Tabela1[[#This Row],[Status]]="✔️✔️",Tabela1[[#This Row],[Peso]]/2,0))</f>
        <v>0</v>
      </c>
      <c r="Q3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5" s="33" t="s">
        <v>130</v>
      </c>
      <c r="S35" s="37" t="s">
        <v>132</v>
      </c>
    </row>
    <row r="36" spans="1:19" s="10" customFormat="1" ht="49.95" customHeight="1" x14ac:dyDescent="0.3">
      <c r="A36" s="3"/>
      <c r="B36" s="3"/>
      <c r="C36" s="3"/>
      <c r="D36" s="3"/>
      <c r="E36" s="3"/>
      <c r="F36" s="3"/>
      <c r="G36" s="3"/>
      <c r="H36" s="32" t="s">
        <v>42</v>
      </c>
      <c r="I36" s="33" t="s">
        <v>41</v>
      </c>
      <c r="J36" s="34" t="s">
        <v>443</v>
      </c>
      <c r="K36" s="35" t="s">
        <v>290</v>
      </c>
      <c r="L36" s="33" t="s">
        <v>47</v>
      </c>
      <c r="M36" s="33">
        <v>3184</v>
      </c>
      <c r="N36" s="36"/>
      <c r="O36" s="33">
        <v>2</v>
      </c>
      <c r="P36" s="33">
        <f>IF(Tabela1[[#This Row],[Status]]="✔️",Tabela1[[#This Row],[Peso]],IF(Tabela1[[#This Row],[Status]]="✔️✔️",Tabela1[[#This Row],[Peso]]/2,0))</f>
        <v>0</v>
      </c>
      <c r="Q3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36" s="33" t="s">
        <v>130</v>
      </c>
      <c r="S36" s="37" t="s">
        <v>132</v>
      </c>
    </row>
    <row r="37" spans="1:19" s="10" customFormat="1" ht="49.95" customHeight="1" x14ac:dyDescent="0.3">
      <c r="A37" s="3"/>
      <c r="B37" s="3"/>
      <c r="C37" s="3"/>
      <c r="D37" s="3"/>
      <c r="E37" s="3"/>
      <c r="F37" s="3"/>
      <c r="G37" s="3"/>
      <c r="H37" s="32" t="s">
        <v>42</v>
      </c>
      <c r="I37" s="33" t="s">
        <v>30</v>
      </c>
      <c r="J37" s="34" t="s">
        <v>438</v>
      </c>
      <c r="K37" s="35" t="s">
        <v>0</v>
      </c>
      <c r="L37" s="33"/>
      <c r="M37" s="33"/>
      <c r="N37" s="36"/>
      <c r="O37" s="33">
        <v>3</v>
      </c>
      <c r="P37" s="33">
        <f>IF(Tabela1[[#This Row],[Status]]="✔️",Tabela1[[#This Row],[Peso]],IF(Tabela1[[#This Row],[Status]]="✔️✔️",Tabela1[[#This Row],[Peso]]/2,0))</f>
        <v>3</v>
      </c>
      <c r="Q3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7" s="33" t="s">
        <v>130</v>
      </c>
      <c r="S37" s="37" t="s">
        <v>128</v>
      </c>
    </row>
    <row r="38" spans="1:19" s="10" customFormat="1" ht="49.95" customHeight="1" x14ac:dyDescent="0.3">
      <c r="A38" s="3"/>
      <c r="B38" s="3"/>
      <c r="C38" s="3"/>
      <c r="D38" s="3"/>
      <c r="E38" s="3"/>
      <c r="F38" s="3"/>
      <c r="G38" s="3"/>
      <c r="H38" s="32" t="s">
        <v>42</v>
      </c>
      <c r="I38" s="33" t="s">
        <v>10</v>
      </c>
      <c r="J38" s="34" t="s">
        <v>444</v>
      </c>
      <c r="K38" s="35" t="s">
        <v>290</v>
      </c>
      <c r="L38" s="33"/>
      <c r="M38" s="33">
        <v>2904</v>
      </c>
      <c r="N38" s="36"/>
      <c r="O38" s="33">
        <v>3</v>
      </c>
      <c r="P38" s="33">
        <f>IF(Tabela1[[#This Row],[Status]]="✔️",Tabela1[[#This Row],[Peso]],IF(Tabela1[[#This Row],[Status]]="✔️✔️",Tabela1[[#This Row],[Peso]]/2,0))</f>
        <v>0</v>
      </c>
      <c r="Q3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8" s="33" t="s">
        <v>130</v>
      </c>
      <c r="S38" s="37" t="s">
        <v>132</v>
      </c>
    </row>
    <row r="39" spans="1:19" s="10" customFormat="1" ht="49.95" customHeight="1" x14ac:dyDescent="0.3">
      <c r="A39" s="3"/>
      <c r="B39" s="3"/>
      <c r="C39" s="3"/>
      <c r="D39" s="3"/>
      <c r="E39" s="3"/>
      <c r="F39" s="3"/>
      <c r="G39" s="3"/>
      <c r="H39" s="32" t="s">
        <v>42</v>
      </c>
      <c r="I39" s="33" t="s">
        <v>10</v>
      </c>
      <c r="J39" s="34" t="s">
        <v>11</v>
      </c>
      <c r="K39" s="35" t="s">
        <v>0</v>
      </c>
      <c r="L39" s="33"/>
      <c r="M39" s="33"/>
      <c r="N39" s="36"/>
      <c r="O39" s="33">
        <v>2</v>
      </c>
      <c r="P39" s="33">
        <f>IF(Tabela1[[#This Row],[Status]]="✔️",Tabela1[[#This Row],[Peso]],IF(Tabela1[[#This Row],[Status]]="✔️✔️",Tabela1[[#This Row],[Peso]]/2,0))</f>
        <v>2</v>
      </c>
      <c r="Q3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39" s="33" t="s">
        <v>130</v>
      </c>
      <c r="S39" s="37" t="s">
        <v>128</v>
      </c>
    </row>
    <row r="40" spans="1:19" s="10" customFormat="1" ht="49.95" customHeight="1" x14ac:dyDescent="0.3">
      <c r="A40" s="3"/>
      <c r="B40" s="3"/>
      <c r="C40" s="3"/>
      <c r="D40" s="3"/>
      <c r="E40" s="3"/>
      <c r="F40" s="3"/>
      <c r="G40" s="3"/>
      <c r="H40" s="32" t="s">
        <v>42</v>
      </c>
      <c r="I40" s="33" t="s">
        <v>10</v>
      </c>
      <c r="J40" s="34" t="s">
        <v>439</v>
      </c>
      <c r="K40" s="35" t="s">
        <v>0</v>
      </c>
      <c r="L40" s="33"/>
      <c r="M40" s="33"/>
      <c r="N40" s="36"/>
      <c r="O40" s="33">
        <v>3</v>
      </c>
      <c r="P40" s="33">
        <f>IF(Tabela1[[#This Row],[Status]]="✔️",Tabela1[[#This Row],[Peso]],IF(Tabela1[[#This Row],[Status]]="✔️✔️",Tabela1[[#This Row],[Peso]]/2,0))</f>
        <v>3</v>
      </c>
      <c r="Q4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0" s="33" t="s">
        <v>130</v>
      </c>
      <c r="S40" s="37" t="s">
        <v>128</v>
      </c>
    </row>
    <row r="41" spans="1:19" s="10" customFormat="1" ht="49.95" customHeight="1" x14ac:dyDescent="0.3">
      <c r="A41" s="3"/>
      <c r="B41" s="3"/>
      <c r="C41" s="3"/>
      <c r="D41" s="3"/>
      <c r="E41" s="3"/>
      <c r="F41" s="3"/>
      <c r="G41" s="3"/>
      <c r="H41" s="32" t="s">
        <v>42</v>
      </c>
      <c r="I41" s="33" t="s">
        <v>10</v>
      </c>
      <c r="J41" s="34" t="s">
        <v>440</v>
      </c>
      <c r="K41" s="35" t="s">
        <v>0</v>
      </c>
      <c r="L41" s="33"/>
      <c r="M41" s="33"/>
      <c r="N41" s="36"/>
      <c r="O41" s="33">
        <v>3</v>
      </c>
      <c r="P41" s="33">
        <f>IF(Tabela1[[#This Row],[Status]]="✔️",Tabela1[[#This Row],[Peso]],IF(Tabela1[[#This Row],[Status]]="✔️✔️",Tabela1[[#This Row],[Peso]]/2,0))</f>
        <v>3</v>
      </c>
      <c r="Q4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1" s="33" t="s">
        <v>130</v>
      </c>
      <c r="S41" s="37" t="s">
        <v>128</v>
      </c>
    </row>
    <row r="42" spans="1:19" s="10" customFormat="1" ht="49.95" customHeight="1" x14ac:dyDescent="0.3">
      <c r="A42" s="3"/>
      <c r="B42" s="3"/>
      <c r="C42" s="3"/>
      <c r="D42" s="3"/>
      <c r="E42" s="3"/>
      <c r="F42" s="3"/>
      <c r="G42" s="3"/>
      <c r="H42" s="32" t="s">
        <v>42</v>
      </c>
      <c r="I42" s="33" t="s">
        <v>12</v>
      </c>
      <c r="J42" s="34" t="s">
        <v>13</v>
      </c>
      <c r="K42" s="35" t="s">
        <v>291</v>
      </c>
      <c r="L42" s="33"/>
      <c r="M42" s="33">
        <v>5285</v>
      </c>
      <c r="N42" s="36"/>
      <c r="O42" s="33">
        <v>2</v>
      </c>
      <c r="P42" s="33">
        <f>IF(Tabela1[[#This Row],[Status]]="✔️",Tabela1[[#This Row],[Peso]],IF(Tabela1[[#This Row],[Status]]="✔️✔️",Tabela1[[#This Row],[Peso]]/2,0))</f>
        <v>1</v>
      </c>
      <c r="Q4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2" s="33" t="s">
        <v>130</v>
      </c>
      <c r="S42" s="37" t="s">
        <v>128</v>
      </c>
    </row>
    <row r="43" spans="1:19" ht="49.95" customHeight="1" x14ac:dyDescent="0.3">
      <c r="H43" s="32" t="s">
        <v>42</v>
      </c>
      <c r="I43" s="33" t="s">
        <v>14</v>
      </c>
      <c r="J43" s="34" t="s">
        <v>15</v>
      </c>
      <c r="K43" s="35" t="s">
        <v>0</v>
      </c>
      <c r="L43" s="33"/>
      <c r="M43" s="33"/>
      <c r="N43" s="36"/>
      <c r="O43" s="33">
        <v>3</v>
      </c>
      <c r="P43" s="33">
        <f>IF(Tabela1[[#This Row],[Status]]="✔️",Tabela1[[#This Row],[Peso]],IF(Tabela1[[#This Row],[Status]]="✔️✔️",Tabela1[[#This Row],[Peso]]/2,0))</f>
        <v>3</v>
      </c>
      <c r="Q4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3" s="33" t="s">
        <v>130</v>
      </c>
      <c r="S43" s="37" t="s">
        <v>128</v>
      </c>
    </row>
    <row r="44" spans="1:19" ht="49.95" customHeight="1" x14ac:dyDescent="0.3">
      <c r="H44" s="32" t="s">
        <v>42</v>
      </c>
      <c r="I44" s="33" t="s">
        <v>14</v>
      </c>
      <c r="J44" s="34" t="s">
        <v>16</v>
      </c>
      <c r="K44" s="35" t="s">
        <v>290</v>
      </c>
      <c r="L44" s="33" t="s">
        <v>146</v>
      </c>
      <c r="M44" s="33">
        <v>2441</v>
      </c>
      <c r="N44" s="36"/>
      <c r="O44" s="33">
        <v>1</v>
      </c>
      <c r="P44" s="33">
        <f>IF(Tabela1[[#This Row],[Status]]="✔️",Tabela1[[#This Row],[Peso]],IF(Tabela1[[#This Row],[Status]]="✔️✔️",Tabela1[[#This Row],[Peso]]/2,0))</f>
        <v>0</v>
      </c>
      <c r="Q4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4" s="33" t="s">
        <v>130</v>
      </c>
      <c r="S44" s="37" t="s">
        <v>128</v>
      </c>
    </row>
    <row r="45" spans="1:19" ht="49.95" customHeight="1" x14ac:dyDescent="0.3">
      <c r="H45" s="32" t="s">
        <v>42</v>
      </c>
      <c r="I45" s="33" t="s">
        <v>17</v>
      </c>
      <c r="J45" s="34" t="s">
        <v>18</v>
      </c>
      <c r="K45" s="35" t="s">
        <v>0</v>
      </c>
      <c r="L45" s="33"/>
      <c r="M45" s="33"/>
      <c r="N45" s="36"/>
      <c r="O45" s="33">
        <v>3</v>
      </c>
      <c r="P45" s="33">
        <f>IF(Tabela1[[#This Row],[Status]]="✔️",Tabela1[[#This Row],[Peso]],IF(Tabela1[[#This Row],[Status]]="✔️✔️",Tabela1[[#This Row],[Peso]]/2,0))</f>
        <v>3</v>
      </c>
      <c r="Q4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5" s="33" t="s">
        <v>130</v>
      </c>
      <c r="S45" s="37" t="s">
        <v>128</v>
      </c>
    </row>
    <row r="46" spans="1:19" s="10" customFormat="1" ht="49.95" customHeight="1" x14ac:dyDescent="0.3">
      <c r="A46" s="3"/>
      <c r="B46" s="3"/>
      <c r="C46" s="3"/>
      <c r="D46" s="3"/>
      <c r="E46" s="3"/>
      <c r="F46" s="3"/>
      <c r="G46" s="3"/>
      <c r="H46" s="32" t="s">
        <v>42</v>
      </c>
      <c r="I46" s="33" t="s">
        <v>17</v>
      </c>
      <c r="J46" s="34" t="s">
        <v>19</v>
      </c>
      <c r="K46" s="35" t="s">
        <v>290</v>
      </c>
      <c r="L46" s="33" t="s">
        <v>147</v>
      </c>
      <c r="M46" s="33">
        <v>4771</v>
      </c>
      <c r="N46" s="36"/>
      <c r="O46" s="33">
        <v>3</v>
      </c>
      <c r="P46" s="33">
        <f>IF(Tabela1[[#This Row],[Status]]="✔️",Tabela1[[#This Row],[Peso]],IF(Tabela1[[#This Row],[Status]]="✔️✔️",Tabela1[[#This Row],[Peso]]/2,0))</f>
        <v>0</v>
      </c>
      <c r="Q4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6" s="33" t="s">
        <v>130</v>
      </c>
      <c r="S46" s="37" t="s">
        <v>128</v>
      </c>
    </row>
    <row r="47" spans="1:19" s="10" customFormat="1" ht="49.95" customHeight="1" x14ac:dyDescent="0.3">
      <c r="A47" s="3"/>
      <c r="B47" s="3"/>
      <c r="C47" s="3"/>
      <c r="D47" s="3"/>
      <c r="E47" s="3"/>
      <c r="F47" s="3"/>
      <c r="G47" s="3"/>
      <c r="H47" s="32" t="s">
        <v>42</v>
      </c>
      <c r="I47" s="33" t="s">
        <v>20</v>
      </c>
      <c r="J47" s="34" t="s">
        <v>21</v>
      </c>
      <c r="K47" s="35" t="s">
        <v>290</v>
      </c>
      <c r="L47" s="33" t="s">
        <v>148</v>
      </c>
      <c r="M47" s="33">
        <v>8051</v>
      </c>
      <c r="N47" s="36"/>
      <c r="O47" s="33">
        <v>3</v>
      </c>
      <c r="P47" s="33">
        <f>IF(Tabela1[[#This Row],[Status]]="✔️",Tabela1[[#This Row],[Peso]],IF(Tabela1[[#This Row],[Status]]="✔️✔️",Tabela1[[#This Row],[Peso]]/2,0))</f>
        <v>0</v>
      </c>
      <c r="Q4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7" s="33" t="s">
        <v>130</v>
      </c>
      <c r="S47" s="37" t="s">
        <v>128</v>
      </c>
    </row>
    <row r="48" spans="1:19" s="10" customFormat="1" ht="49.95" customHeight="1" x14ac:dyDescent="0.3">
      <c r="A48" s="3"/>
      <c r="B48" s="3"/>
      <c r="C48" s="3"/>
      <c r="D48" s="3"/>
      <c r="E48" s="3"/>
      <c r="F48" s="3"/>
      <c r="G48" s="3"/>
      <c r="H48" s="32" t="s">
        <v>42</v>
      </c>
      <c r="I48" s="33" t="s">
        <v>20</v>
      </c>
      <c r="J48" s="34" t="s">
        <v>441</v>
      </c>
      <c r="K48" s="35" t="s">
        <v>290</v>
      </c>
      <c r="L48" s="33" t="s">
        <v>149</v>
      </c>
      <c r="M48" s="33">
        <v>2441</v>
      </c>
      <c r="N48" s="36"/>
      <c r="O48" s="33">
        <v>1</v>
      </c>
      <c r="P48" s="33">
        <f>IF(Tabela1[[#This Row],[Status]]="✔️",Tabela1[[#This Row],[Peso]],IF(Tabela1[[#This Row],[Status]]="✔️✔️",Tabela1[[#This Row],[Peso]]/2,0))</f>
        <v>0</v>
      </c>
      <c r="Q4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8" s="33" t="s">
        <v>130</v>
      </c>
      <c r="S48" s="37" t="s">
        <v>128</v>
      </c>
    </row>
    <row r="49" spans="1:19" s="10" customFormat="1" ht="49.95" customHeight="1" x14ac:dyDescent="0.3">
      <c r="A49" s="3"/>
      <c r="B49" s="3"/>
      <c r="C49" s="3"/>
      <c r="D49" s="3"/>
      <c r="E49" s="3"/>
      <c r="F49" s="3"/>
      <c r="G49" s="3"/>
      <c r="H49" s="32" t="s">
        <v>42</v>
      </c>
      <c r="I49" s="33" t="s">
        <v>43</v>
      </c>
      <c r="J49" s="34" t="s">
        <v>44</v>
      </c>
      <c r="K49" s="35" t="s">
        <v>0</v>
      </c>
      <c r="L49" s="33"/>
      <c r="M49" s="33"/>
      <c r="N49" s="36"/>
      <c r="O49" s="33">
        <v>3</v>
      </c>
      <c r="P49" s="33">
        <f>IF(Tabela1[[#This Row],[Status]]="✔️",Tabela1[[#This Row],[Peso]],IF(Tabela1[[#This Row],[Status]]="✔️✔️",Tabela1[[#This Row],[Peso]]/2,0))</f>
        <v>3</v>
      </c>
      <c r="Q4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9" s="33" t="s">
        <v>130</v>
      </c>
      <c r="S49" s="37" t="s">
        <v>128</v>
      </c>
    </row>
    <row r="50" spans="1:19" s="10" customFormat="1" ht="49.95" customHeight="1" x14ac:dyDescent="0.3">
      <c r="A50" s="3"/>
      <c r="B50" s="3"/>
      <c r="C50" s="3"/>
      <c r="D50" s="3"/>
      <c r="E50" s="3"/>
      <c r="F50" s="3"/>
      <c r="G50" s="3"/>
      <c r="H50" s="32" t="s">
        <v>42</v>
      </c>
      <c r="I50" s="33" t="s">
        <v>45</v>
      </c>
      <c r="J50" s="34" t="s">
        <v>46</v>
      </c>
      <c r="K50" s="35" t="s">
        <v>0</v>
      </c>
      <c r="L50" s="33"/>
      <c r="M50" s="33"/>
      <c r="N50" s="36"/>
      <c r="O50" s="33">
        <v>3</v>
      </c>
      <c r="P50" s="33">
        <f>IF(Tabela1[[#This Row],[Status]]="✔️",Tabela1[[#This Row],[Peso]],IF(Tabela1[[#This Row],[Status]]="✔️✔️",Tabela1[[#This Row],[Peso]]/2,0))</f>
        <v>3</v>
      </c>
      <c r="Q5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0" s="33" t="s">
        <v>130</v>
      </c>
      <c r="S50" s="37" t="s">
        <v>128</v>
      </c>
    </row>
    <row r="51" spans="1:19" s="10" customFormat="1" ht="49.95" customHeight="1" x14ac:dyDescent="0.3">
      <c r="A51" s="3"/>
      <c r="B51" s="3"/>
      <c r="C51" s="3"/>
      <c r="D51" s="3"/>
      <c r="E51" s="3"/>
      <c r="F51" s="3"/>
      <c r="G51" s="3"/>
      <c r="H51" s="32" t="s">
        <v>42</v>
      </c>
      <c r="I51" s="33" t="s">
        <v>25</v>
      </c>
      <c r="J51" s="34" t="s">
        <v>28</v>
      </c>
      <c r="K51" s="35" t="s">
        <v>290</v>
      </c>
      <c r="L51" s="33" t="s">
        <v>150</v>
      </c>
      <c r="M51" s="33">
        <v>9884</v>
      </c>
      <c r="N51" s="36"/>
      <c r="O51" s="33">
        <v>3</v>
      </c>
      <c r="P51" s="33">
        <f>IF(Tabela1[[#This Row],[Status]]="✔️",Tabela1[[#This Row],[Peso]],IF(Tabela1[[#This Row],[Status]]="✔️✔️",Tabela1[[#This Row],[Peso]]/2,0))</f>
        <v>0</v>
      </c>
      <c r="Q5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1" s="33" t="s">
        <v>130</v>
      </c>
      <c r="S51" s="37" t="s">
        <v>128</v>
      </c>
    </row>
    <row r="52" spans="1:19" s="10" customFormat="1" ht="49.95" customHeight="1" x14ac:dyDescent="0.3">
      <c r="A52" s="3"/>
      <c r="B52" s="3"/>
      <c r="C52" s="3"/>
      <c r="D52" s="3"/>
      <c r="E52" s="3"/>
      <c r="F52" s="3"/>
      <c r="G52" s="3"/>
      <c r="H52" s="32" t="s">
        <v>42</v>
      </c>
      <c r="I52" s="33" t="s">
        <v>25</v>
      </c>
      <c r="J52" s="34" t="s">
        <v>29</v>
      </c>
      <c r="K52" s="35" t="s">
        <v>0</v>
      </c>
      <c r="L52" s="33"/>
      <c r="M52" s="33"/>
      <c r="N52" s="36"/>
      <c r="O52" s="33">
        <v>3</v>
      </c>
      <c r="P52" s="33">
        <f>IF(Tabela1[[#This Row],[Status]]="✔️",Tabela1[[#This Row],[Peso]],IF(Tabela1[[#This Row],[Status]]="✔️✔️",Tabela1[[#This Row],[Peso]]/2,0))</f>
        <v>3</v>
      </c>
      <c r="Q5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2" s="33" t="s">
        <v>130</v>
      </c>
      <c r="S52" s="37" t="s">
        <v>128</v>
      </c>
    </row>
    <row r="53" spans="1:19" s="10" customFormat="1" ht="49.95" customHeight="1" x14ac:dyDescent="0.3">
      <c r="A53" s="3"/>
      <c r="B53" s="3"/>
      <c r="C53" s="3"/>
      <c r="D53" s="3"/>
      <c r="E53" s="3"/>
      <c r="F53" s="3"/>
      <c r="G53" s="3"/>
      <c r="H53" s="32" t="s">
        <v>42</v>
      </c>
      <c r="I53" s="33" t="s">
        <v>41</v>
      </c>
      <c r="J53" s="34" t="s">
        <v>442</v>
      </c>
      <c r="K53" s="35" t="s">
        <v>291</v>
      </c>
      <c r="L53" s="33" t="s">
        <v>297</v>
      </c>
      <c r="M53" s="33">
        <v>3184</v>
      </c>
      <c r="N53" s="36"/>
      <c r="O53" s="33">
        <v>3</v>
      </c>
      <c r="P53" s="33">
        <f>IF(Tabela1[[#This Row],[Status]]="✔️",Tabela1[[#This Row],[Peso]],IF(Tabela1[[#This Row],[Status]]="✔️✔️",Tabela1[[#This Row],[Peso]]/2,0))</f>
        <v>1.5</v>
      </c>
      <c r="Q53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53" s="33" t="s">
        <v>130</v>
      </c>
      <c r="S53" s="37" t="s">
        <v>128</v>
      </c>
    </row>
    <row r="54" spans="1:19" s="10" customFormat="1" ht="49.95" customHeight="1" x14ac:dyDescent="0.3">
      <c r="A54" s="3"/>
      <c r="B54" s="3"/>
      <c r="C54" s="3"/>
      <c r="D54" s="3"/>
      <c r="E54" s="3"/>
      <c r="F54" s="3"/>
      <c r="G54" s="3"/>
      <c r="H54" s="32" t="s">
        <v>42</v>
      </c>
      <c r="I54" s="33" t="s">
        <v>41</v>
      </c>
      <c r="J54" s="34" t="s">
        <v>443</v>
      </c>
      <c r="K54" s="35" t="s">
        <v>290</v>
      </c>
      <c r="L54" s="33" t="s">
        <v>297</v>
      </c>
      <c r="M54" s="33">
        <v>3184</v>
      </c>
      <c r="N54" s="36"/>
      <c r="O54" s="33">
        <v>2</v>
      </c>
      <c r="P54" s="33">
        <f>IF(Tabela1[[#This Row],[Status]]="✔️",Tabela1[[#This Row],[Peso]],IF(Tabela1[[#This Row],[Status]]="✔️✔️",Tabela1[[#This Row],[Peso]]/2,0))</f>
        <v>0</v>
      </c>
      <c r="Q5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54" s="33" t="s">
        <v>130</v>
      </c>
      <c r="S54" s="37" t="s">
        <v>128</v>
      </c>
    </row>
    <row r="55" spans="1:19" s="10" customFormat="1" ht="49.95" customHeight="1" x14ac:dyDescent="0.3">
      <c r="A55" s="3"/>
      <c r="B55" s="3"/>
      <c r="C55" s="3"/>
      <c r="D55" s="3"/>
      <c r="E55" s="3"/>
      <c r="F55" s="3"/>
      <c r="G55" s="3"/>
      <c r="H55" s="32" t="s">
        <v>42</v>
      </c>
      <c r="I55" s="33" t="s">
        <v>10</v>
      </c>
      <c r="J55" s="34" t="s">
        <v>444</v>
      </c>
      <c r="K55" s="35" t="s">
        <v>290</v>
      </c>
      <c r="L55" s="33"/>
      <c r="M55" s="33">
        <v>2904</v>
      </c>
      <c r="N55" s="36"/>
      <c r="O55" s="33">
        <v>3</v>
      </c>
      <c r="P55" s="33">
        <f>IF(Tabela1[[#This Row],[Status]]="✔️",Tabela1[[#This Row],[Peso]],IF(Tabela1[[#This Row],[Status]]="✔️✔️",Tabela1[[#This Row],[Peso]]/2,0))</f>
        <v>0</v>
      </c>
      <c r="Q5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5" s="33" t="s">
        <v>130</v>
      </c>
      <c r="S55" s="37" t="s">
        <v>128</v>
      </c>
    </row>
    <row r="56" spans="1:19" s="10" customFormat="1" ht="49.95" customHeight="1" x14ac:dyDescent="0.3">
      <c r="A56" s="3"/>
      <c r="B56" s="3"/>
      <c r="C56" s="3"/>
      <c r="D56" s="3"/>
      <c r="E56" s="3"/>
      <c r="F56" s="3"/>
      <c r="G56" s="3"/>
      <c r="H56" s="32" t="s">
        <v>42</v>
      </c>
      <c r="I56" s="33" t="s">
        <v>30</v>
      </c>
      <c r="J56" s="34" t="s">
        <v>438</v>
      </c>
      <c r="K56" s="35" t="s">
        <v>0</v>
      </c>
      <c r="L56" s="33"/>
      <c r="M56" s="33"/>
      <c r="N56" s="36"/>
      <c r="O56" s="33">
        <v>3</v>
      </c>
      <c r="P56" s="33">
        <f>IF(Tabela1[[#This Row],[Status]]="✔️",Tabela1[[#This Row],[Peso]],IF(Tabela1[[#This Row],[Status]]="✔️✔️",Tabela1[[#This Row],[Peso]]/2,0))</f>
        <v>3</v>
      </c>
      <c r="Q5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6" s="33" t="s">
        <v>187</v>
      </c>
      <c r="S56" s="37" t="s">
        <v>132</v>
      </c>
    </row>
    <row r="57" spans="1:19" s="10" customFormat="1" ht="49.95" customHeight="1" x14ac:dyDescent="0.3">
      <c r="A57" s="3"/>
      <c r="B57" s="3"/>
      <c r="C57" s="3"/>
      <c r="D57" s="3"/>
      <c r="E57" s="3"/>
      <c r="F57" s="3"/>
      <c r="G57" s="3"/>
      <c r="H57" s="32" t="s">
        <v>42</v>
      </c>
      <c r="I57" s="33" t="s">
        <v>10</v>
      </c>
      <c r="J57" s="34" t="s">
        <v>11</v>
      </c>
      <c r="K57" s="35" t="s">
        <v>290</v>
      </c>
      <c r="L57" s="33" t="s">
        <v>200</v>
      </c>
      <c r="M57" s="33">
        <v>3944</v>
      </c>
      <c r="N57" s="36"/>
      <c r="O57" s="33">
        <v>3</v>
      </c>
      <c r="P57" s="33">
        <f>IF(Tabela1[[#This Row],[Status]]="✔️",Tabela1[[#This Row],[Peso]],IF(Tabela1[[#This Row],[Status]]="✔️✔️",Tabela1[[#This Row],[Peso]]/2,0))</f>
        <v>0</v>
      </c>
      <c r="Q5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7" s="33" t="s">
        <v>187</v>
      </c>
      <c r="S57" s="37" t="s">
        <v>132</v>
      </c>
    </row>
    <row r="58" spans="1:19" s="10" customFormat="1" ht="49.95" customHeight="1" x14ac:dyDescent="0.3">
      <c r="A58" s="3"/>
      <c r="B58" s="3"/>
      <c r="C58" s="3"/>
      <c r="D58" s="3"/>
      <c r="E58" s="3"/>
      <c r="F58" s="3"/>
      <c r="G58" s="3"/>
      <c r="H58" s="32" t="s">
        <v>42</v>
      </c>
      <c r="I58" s="33" t="s">
        <v>10</v>
      </c>
      <c r="J58" s="34" t="s">
        <v>439</v>
      </c>
      <c r="K58" s="35" t="s">
        <v>0</v>
      </c>
      <c r="L58" s="33"/>
      <c r="M58" s="33"/>
      <c r="N58" s="36"/>
      <c r="O58" s="33">
        <v>3</v>
      </c>
      <c r="P58" s="33">
        <f>IF(Tabela1[[#This Row],[Status]]="✔️",Tabela1[[#This Row],[Peso]],IF(Tabela1[[#This Row],[Status]]="✔️✔️",Tabela1[[#This Row],[Peso]]/2,0))</f>
        <v>3</v>
      </c>
      <c r="Q5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8" s="33" t="s">
        <v>187</v>
      </c>
      <c r="S58" s="37" t="s">
        <v>132</v>
      </c>
    </row>
    <row r="59" spans="1:19" s="10" customFormat="1" ht="49.95" customHeight="1" x14ac:dyDescent="0.3">
      <c r="A59" s="3"/>
      <c r="B59" s="3"/>
      <c r="C59" s="3"/>
      <c r="D59" s="3"/>
      <c r="E59" s="3"/>
      <c r="F59" s="3"/>
      <c r="G59" s="3"/>
      <c r="H59" s="32" t="s">
        <v>42</v>
      </c>
      <c r="I59" s="33" t="s">
        <v>10</v>
      </c>
      <c r="J59" s="34" t="s">
        <v>440</v>
      </c>
      <c r="K59" s="35" t="s">
        <v>0</v>
      </c>
      <c r="L59" s="33"/>
      <c r="M59" s="33"/>
      <c r="N59" s="36"/>
      <c r="O59" s="33">
        <v>3</v>
      </c>
      <c r="P59" s="33">
        <f>IF(Tabela1[[#This Row],[Status]]="✔️",Tabela1[[#This Row],[Peso]],IF(Tabela1[[#This Row],[Status]]="✔️✔️",Tabela1[[#This Row],[Peso]]/2,0))</f>
        <v>3</v>
      </c>
      <c r="Q5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9" s="33" t="s">
        <v>187</v>
      </c>
      <c r="S59" s="37" t="s">
        <v>132</v>
      </c>
    </row>
    <row r="60" spans="1:19" ht="49.95" customHeight="1" x14ac:dyDescent="0.3">
      <c r="H60" s="32" t="s">
        <v>42</v>
      </c>
      <c r="I60" s="33" t="s">
        <v>12</v>
      </c>
      <c r="J60" s="34" t="s">
        <v>13</v>
      </c>
      <c r="K60" s="35" t="s">
        <v>0</v>
      </c>
      <c r="L60" s="33"/>
      <c r="M60" s="33"/>
      <c r="N60" s="36"/>
      <c r="O60" s="33">
        <v>2</v>
      </c>
      <c r="P60" s="33">
        <f>IF(Tabela1[[#This Row],[Status]]="✔️",Tabela1[[#This Row],[Peso]],IF(Tabela1[[#This Row],[Status]]="✔️✔️",Tabela1[[#This Row],[Peso]]/2,0))</f>
        <v>2</v>
      </c>
      <c r="Q60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60" s="33" t="s">
        <v>187</v>
      </c>
      <c r="S60" s="37" t="s">
        <v>132</v>
      </c>
    </row>
    <row r="61" spans="1:19" ht="49.95" customHeight="1" x14ac:dyDescent="0.3">
      <c r="H61" s="32" t="s">
        <v>42</v>
      </c>
      <c r="I61" s="33" t="s">
        <v>14</v>
      </c>
      <c r="J61" s="34" t="s">
        <v>15</v>
      </c>
      <c r="K61" s="35" t="s">
        <v>0</v>
      </c>
      <c r="L61" s="33"/>
      <c r="M61" s="33"/>
      <c r="N61" s="36"/>
      <c r="O61" s="33">
        <v>3</v>
      </c>
      <c r="P61" s="33">
        <f>IF(Tabela1[[#This Row],[Status]]="✔️",Tabela1[[#This Row],[Peso]],IF(Tabela1[[#This Row],[Status]]="✔️✔️",Tabela1[[#This Row],[Peso]]/2,0))</f>
        <v>3</v>
      </c>
      <c r="Q6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1" s="33" t="s">
        <v>187</v>
      </c>
      <c r="S61" s="37" t="s">
        <v>132</v>
      </c>
    </row>
    <row r="62" spans="1:19" ht="49.95" customHeight="1" x14ac:dyDescent="0.3">
      <c r="H62" s="32" t="s">
        <v>42</v>
      </c>
      <c r="I62" s="33" t="s">
        <v>14</v>
      </c>
      <c r="J62" s="34" t="s">
        <v>16</v>
      </c>
      <c r="K62" s="35" t="s">
        <v>290</v>
      </c>
      <c r="L62" s="33" t="s">
        <v>201</v>
      </c>
      <c r="M62" s="33">
        <v>2780</v>
      </c>
      <c r="N62" s="36"/>
      <c r="O62" s="33">
        <v>1</v>
      </c>
      <c r="P62" s="33">
        <f>IF(Tabela1[[#This Row],[Status]]="✔️",Tabela1[[#This Row],[Peso]],IF(Tabela1[[#This Row],[Status]]="✔️✔️",Tabela1[[#This Row],[Peso]]/2,0))</f>
        <v>0</v>
      </c>
      <c r="Q6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62" s="33" t="s">
        <v>187</v>
      </c>
      <c r="S62" s="37" t="s">
        <v>132</v>
      </c>
    </row>
    <row r="63" spans="1:19" s="10" customFormat="1" ht="49.95" customHeight="1" x14ac:dyDescent="0.3">
      <c r="A63" s="3"/>
      <c r="B63" s="3"/>
      <c r="C63" s="3"/>
      <c r="D63" s="3"/>
      <c r="E63" s="3"/>
      <c r="F63" s="3"/>
      <c r="G63" s="3"/>
      <c r="H63" s="32" t="s">
        <v>42</v>
      </c>
      <c r="I63" s="33" t="s">
        <v>17</v>
      </c>
      <c r="J63" s="34" t="s">
        <v>18</v>
      </c>
      <c r="K63" s="35" t="s">
        <v>0</v>
      </c>
      <c r="L63" s="33"/>
      <c r="M63" s="33"/>
      <c r="N63" s="36"/>
      <c r="O63" s="33">
        <v>3</v>
      </c>
      <c r="P63" s="33">
        <f>IF(Tabela1[[#This Row],[Status]]="✔️",Tabela1[[#This Row],[Peso]],IF(Tabela1[[#This Row],[Status]]="✔️✔️",Tabela1[[#This Row],[Peso]]/2,0))</f>
        <v>3</v>
      </c>
      <c r="Q6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3" s="33" t="s">
        <v>187</v>
      </c>
      <c r="S63" s="37" t="s">
        <v>132</v>
      </c>
    </row>
    <row r="64" spans="1:19" s="10" customFormat="1" ht="49.95" customHeight="1" x14ac:dyDescent="0.3">
      <c r="A64" s="3"/>
      <c r="B64" s="3"/>
      <c r="C64" s="3"/>
      <c r="D64" s="3"/>
      <c r="E64" s="3"/>
      <c r="F64" s="3"/>
      <c r="G64" s="3"/>
      <c r="H64" s="32" t="s">
        <v>42</v>
      </c>
      <c r="I64" s="33" t="s">
        <v>17</v>
      </c>
      <c r="J64" s="34" t="s">
        <v>19</v>
      </c>
      <c r="K64" s="35" t="s">
        <v>0</v>
      </c>
      <c r="L64" s="33"/>
      <c r="M64" s="33"/>
      <c r="N64" s="36"/>
      <c r="O64" s="33">
        <v>3</v>
      </c>
      <c r="P64" s="33">
        <f>IF(Tabela1[[#This Row],[Status]]="✔️",Tabela1[[#This Row],[Peso]],IF(Tabela1[[#This Row],[Status]]="✔️✔️",Tabela1[[#This Row],[Peso]]/2,0))</f>
        <v>3</v>
      </c>
      <c r="Q6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4" s="33" t="s">
        <v>187</v>
      </c>
      <c r="S64" s="37" t="s">
        <v>132</v>
      </c>
    </row>
    <row r="65" spans="1:19" s="10" customFormat="1" ht="49.95" customHeight="1" x14ac:dyDescent="0.3">
      <c r="A65" s="3"/>
      <c r="B65" s="3"/>
      <c r="C65" s="3"/>
      <c r="D65" s="3"/>
      <c r="E65" s="3"/>
      <c r="F65" s="3"/>
      <c r="G65" s="3"/>
      <c r="H65" s="32" t="s">
        <v>42</v>
      </c>
      <c r="I65" s="33" t="s">
        <v>20</v>
      </c>
      <c r="J65" s="34" t="s">
        <v>21</v>
      </c>
      <c r="K65" s="35" t="s">
        <v>290</v>
      </c>
      <c r="L65" s="33" t="s">
        <v>202</v>
      </c>
      <c r="M65" s="33">
        <v>8965</v>
      </c>
      <c r="N65" s="36"/>
      <c r="O65" s="33">
        <v>3</v>
      </c>
      <c r="P65" s="33">
        <f>IF(Tabela1[[#This Row],[Status]]="✔️",Tabela1[[#This Row],[Peso]],IF(Tabela1[[#This Row],[Status]]="✔️✔️",Tabela1[[#This Row],[Peso]]/2,0))</f>
        <v>0</v>
      </c>
      <c r="Q6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5" s="33" t="s">
        <v>187</v>
      </c>
      <c r="S65" s="37" t="s">
        <v>132</v>
      </c>
    </row>
    <row r="66" spans="1:19" s="10" customFormat="1" ht="49.95" customHeight="1" x14ac:dyDescent="0.3">
      <c r="A66" s="3"/>
      <c r="B66" s="3"/>
      <c r="C66" s="3"/>
      <c r="D66" s="3"/>
      <c r="E66" s="3"/>
      <c r="F66" s="3"/>
      <c r="G66" s="3"/>
      <c r="H66" s="32" t="s">
        <v>42</v>
      </c>
      <c r="I66" s="33" t="s">
        <v>20</v>
      </c>
      <c r="J66" s="34" t="s">
        <v>441</v>
      </c>
      <c r="K66" s="35" t="s">
        <v>290</v>
      </c>
      <c r="L66" s="33" t="s">
        <v>149</v>
      </c>
      <c r="M66" s="33">
        <v>2456</v>
      </c>
      <c r="N66" s="36"/>
      <c r="O66" s="33">
        <v>1</v>
      </c>
      <c r="P66" s="33">
        <f>IF(Tabela1[[#This Row],[Status]]="✔️",Tabela1[[#This Row],[Peso]],IF(Tabela1[[#This Row],[Status]]="✔️✔️",Tabela1[[#This Row],[Peso]]/2,0))</f>
        <v>0</v>
      </c>
      <c r="Q6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66" s="33" t="s">
        <v>187</v>
      </c>
      <c r="S66" s="37" t="s">
        <v>132</v>
      </c>
    </row>
    <row r="67" spans="1:19" s="10" customFormat="1" ht="49.95" customHeight="1" x14ac:dyDescent="0.3">
      <c r="A67" s="3"/>
      <c r="B67" s="3"/>
      <c r="C67" s="3"/>
      <c r="D67" s="3"/>
      <c r="E67" s="3"/>
      <c r="F67" s="3"/>
      <c r="G67" s="3"/>
      <c r="H67" s="32" t="s">
        <v>42</v>
      </c>
      <c r="I67" s="33" t="s">
        <v>43</v>
      </c>
      <c r="J67" s="34" t="s">
        <v>44</v>
      </c>
      <c r="K67" s="35" t="s">
        <v>0</v>
      </c>
      <c r="L67" s="33"/>
      <c r="M67" s="33"/>
      <c r="N67" s="36"/>
      <c r="O67" s="33">
        <v>3</v>
      </c>
      <c r="P67" s="33">
        <f>IF(Tabela1[[#This Row],[Status]]="✔️",Tabela1[[#This Row],[Peso]],IF(Tabela1[[#This Row],[Status]]="✔️✔️",Tabela1[[#This Row],[Peso]]/2,0))</f>
        <v>3</v>
      </c>
      <c r="Q6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7" s="33" t="s">
        <v>187</v>
      </c>
      <c r="S67" s="37" t="s">
        <v>132</v>
      </c>
    </row>
    <row r="68" spans="1:19" s="10" customFormat="1" ht="49.95" customHeight="1" x14ac:dyDescent="0.3">
      <c r="A68" s="3"/>
      <c r="B68" s="3"/>
      <c r="C68" s="3"/>
      <c r="D68" s="3"/>
      <c r="E68" s="3"/>
      <c r="F68" s="3"/>
      <c r="G68" s="3"/>
      <c r="H68" s="32" t="s">
        <v>42</v>
      </c>
      <c r="I68" s="33" t="s">
        <v>45</v>
      </c>
      <c r="J68" s="34" t="s">
        <v>46</v>
      </c>
      <c r="K68" s="35" t="s">
        <v>290</v>
      </c>
      <c r="L68" s="33" t="s">
        <v>203</v>
      </c>
      <c r="M68" s="33">
        <v>5446</v>
      </c>
      <c r="N68" s="36"/>
      <c r="O68" s="33">
        <v>3</v>
      </c>
      <c r="P68" s="33">
        <f>IF(Tabela1[[#This Row],[Status]]="✔️",Tabela1[[#This Row],[Peso]],IF(Tabela1[[#This Row],[Status]]="✔️✔️",Tabela1[[#This Row],[Peso]]/2,0))</f>
        <v>0</v>
      </c>
      <c r="Q6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8" s="33" t="s">
        <v>187</v>
      </c>
      <c r="S68" s="37" t="s">
        <v>132</v>
      </c>
    </row>
    <row r="69" spans="1:19" s="10" customFormat="1" ht="49.95" customHeight="1" x14ac:dyDescent="0.3">
      <c r="A69" s="3"/>
      <c r="B69" s="3"/>
      <c r="C69" s="3"/>
      <c r="D69" s="3"/>
      <c r="E69" s="3"/>
      <c r="F69" s="3"/>
      <c r="G69" s="3"/>
      <c r="H69" s="32" t="s">
        <v>42</v>
      </c>
      <c r="I69" s="33" t="s">
        <v>25</v>
      </c>
      <c r="J69" s="34" t="s">
        <v>28</v>
      </c>
      <c r="K69" s="35" t="s">
        <v>290</v>
      </c>
      <c r="L69" s="33" t="s">
        <v>204</v>
      </c>
      <c r="M69" s="33">
        <v>5686</v>
      </c>
      <c r="N69" s="36"/>
      <c r="O69" s="33">
        <v>3</v>
      </c>
      <c r="P69" s="33">
        <f>IF(Tabela1[[#This Row],[Status]]="✔️",Tabela1[[#This Row],[Peso]],IF(Tabela1[[#This Row],[Status]]="✔️✔️",Tabela1[[#This Row],[Peso]]/2,0))</f>
        <v>0</v>
      </c>
      <c r="Q6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9" s="33" t="s">
        <v>187</v>
      </c>
      <c r="S69" s="37" t="s">
        <v>132</v>
      </c>
    </row>
    <row r="70" spans="1:19" s="10" customFormat="1" ht="49.95" customHeight="1" x14ac:dyDescent="0.3">
      <c r="A70" s="3"/>
      <c r="B70" s="3"/>
      <c r="C70" s="3"/>
      <c r="D70" s="3"/>
      <c r="E70" s="3"/>
      <c r="F70" s="3"/>
      <c r="G70" s="3"/>
      <c r="H70" s="32" t="s">
        <v>42</v>
      </c>
      <c r="I70" s="33" t="s">
        <v>25</v>
      </c>
      <c r="J70" s="34" t="s">
        <v>29</v>
      </c>
      <c r="K70" s="35" t="s">
        <v>290</v>
      </c>
      <c r="L70" s="33" t="s">
        <v>205</v>
      </c>
      <c r="M70" s="33">
        <v>5446</v>
      </c>
      <c r="N70" s="36"/>
      <c r="O70" s="33">
        <v>3</v>
      </c>
      <c r="P70" s="33">
        <f>IF(Tabela1[[#This Row],[Status]]="✔️",Tabela1[[#This Row],[Peso]],IF(Tabela1[[#This Row],[Status]]="✔️✔️",Tabela1[[#This Row],[Peso]]/2,0))</f>
        <v>0</v>
      </c>
      <c r="Q7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0" s="33" t="s">
        <v>187</v>
      </c>
      <c r="S70" s="37" t="s">
        <v>132</v>
      </c>
    </row>
    <row r="71" spans="1:19" s="10" customFormat="1" ht="49.95" customHeight="1" x14ac:dyDescent="0.3">
      <c r="A71" s="3"/>
      <c r="B71" s="3"/>
      <c r="C71" s="3"/>
      <c r="D71" s="3"/>
      <c r="E71" s="3"/>
      <c r="F71" s="3"/>
      <c r="G71" s="3"/>
      <c r="H71" s="32" t="s">
        <v>42</v>
      </c>
      <c r="I71" s="33" t="s">
        <v>41</v>
      </c>
      <c r="J71" s="34" t="s">
        <v>442</v>
      </c>
      <c r="K71" s="35" t="s">
        <v>290</v>
      </c>
      <c r="L71" s="33" t="s">
        <v>47</v>
      </c>
      <c r="M71" s="33">
        <v>9106</v>
      </c>
      <c r="N71" s="36"/>
      <c r="O71" s="33">
        <v>3</v>
      </c>
      <c r="P71" s="33">
        <f>IF(Tabela1[[#This Row],[Status]]="✔️",Tabela1[[#This Row],[Peso]],IF(Tabela1[[#This Row],[Status]]="✔️✔️",Tabela1[[#This Row],[Peso]]/2,0))</f>
        <v>0</v>
      </c>
      <c r="Q7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1" s="33" t="s">
        <v>187</v>
      </c>
      <c r="S71" s="37" t="s">
        <v>132</v>
      </c>
    </row>
    <row r="72" spans="1:19" s="10" customFormat="1" ht="49.95" customHeight="1" x14ac:dyDescent="0.3">
      <c r="A72" s="3"/>
      <c r="B72" s="3"/>
      <c r="C72" s="3"/>
      <c r="D72" s="3"/>
      <c r="E72" s="3"/>
      <c r="F72" s="3"/>
      <c r="G72" s="3"/>
      <c r="H72" s="32" t="s">
        <v>42</v>
      </c>
      <c r="I72" s="33" t="s">
        <v>41</v>
      </c>
      <c r="J72" s="34" t="s">
        <v>443</v>
      </c>
      <c r="K72" s="35" t="s">
        <v>290</v>
      </c>
      <c r="L72" s="33" t="s">
        <v>47</v>
      </c>
      <c r="M72" s="33">
        <v>9106</v>
      </c>
      <c r="N72" s="36"/>
      <c r="O72" s="33">
        <v>2</v>
      </c>
      <c r="P72" s="33">
        <f>IF(Tabela1[[#This Row],[Status]]="✔️",Tabela1[[#This Row],[Peso]],IF(Tabela1[[#This Row],[Status]]="✔️✔️",Tabela1[[#This Row],[Peso]]/2,0))</f>
        <v>0</v>
      </c>
      <c r="Q72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72" s="33" t="s">
        <v>187</v>
      </c>
      <c r="S72" s="37" t="s">
        <v>132</v>
      </c>
    </row>
    <row r="73" spans="1:19" s="10" customFormat="1" ht="49.95" customHeight="1" x14ac:dyDescent="0.3">
      <c r="A73" s="3"/>
      <c r="B73" s="3"/>
      <c r="C73" s="3"/>
      <c r="D73" s="3"/>
      <c r="E73" s="3"/>
      <c r="F73" s="3"/>
      <c r="G73" s="3"/>
      <c r="H73" s="32" t="s">
        <v>42</v>
      </c>
      <c r="I73" s="33" t="s">
        <v>10</v>
      </c>
      <c r="J73" s="34" t="s">
        <v>444</v>
      </c>
      <c r="K73" s="35" t="s">
        <v>290</v>
      </c>
      <c r="L73" s="33" t="s">
        <v>200</v>
      </c>
      <c r="M73" s="33">
        <v>3944</v>
      </c>
      <c r="N73" s="36"/>
      <c r="O73" s="33">
        <v>3</v>
      </c>
      <c r="P73" s="33">
        <f>IF(Tabela1[[#This Row],[Status]]="✔️",Tabela1[[#This Row],[Peso]],IF(Tabela1[[#This Row],[Status]]="✔️✔️",Tabela1[[#This Row],[Peso]]/2,0))</f>
        <v>0</v>
      </c>
      <c r="Q7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3" s="33" t="s">
        <v>187</v>
      </c>
      <c r="S73" s="37" t="s">
        <v>132</v>
      </c>
    </row>
    <row r="74" spans="1:19" s="10" customFormat="1" ht="49.95" customHeight="1" x14ac:dyDescent="0.3">
      <c r="A74" s="3"/>
      <c r="B74" s="3"/>
      <c r="C74" s="3"/>
      <c r="D74" s="3"/>
      <c r="E74" s="3"/>
      <c r="F74" s="3"/>
      <c r="G74" s="3"/>
      <c r="H74" s="32" t="s">
        <v>48</v>
      </c>
      <c r="I74" s="33" t="s">
        <v>30</v>
      </c>
      <c r="J74" s="34" t="s">
        <v>438</v>
      </c>
      <c r="K74" s="35" t="s">
        <v>290</v>
      </c>
      <c r="L74" s="33" t="s">
        <v>72</v>
      </c>
      <c r="M74" s="33">
        <v>5986</v>
      </c>
      <c r="N74" s="36"/>
      <c r="O74" s="33">
        <v>3</v>
      </c>
      <c r="P74" s="33">
        <f>IF(Tabela1[[#This Row],[Status]]="✔️",Tabela1[[#This Row],[Peso]],IF(Tabela1[[#This Row],[Status]]="✔️✔️",Tabela1[[#This Row],[Peso]]/2,0))</f>
        <v>0</v>
      </c>
      <c r="Q7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4" s="33" t="s">
        <v>127</v>
      </c>
      <c r="S74" s="37" t="s">
        <v>128</v>
      </c>
    </row>
    <row r="75" spans="1:19" s="10" customFormat="1" ht="49.95" customHeight="1" x14ac:dyDescent="0.3">
      <c r="A75" s="3"/>
      <c r="B75" s="3"/>
      <c r="C75" s="3"/>
      <c r="D75" s="3"/>
      <c r="E75" s="3"/>
      <c r="F75" s="3"/>
      <c r="G75" s="3"/>
      <c r="H75" s="32" t="s">
        <v>48</v>
      </c>
      <c r="I75" s="33" t="s">
        <v>10</v>
      </c>
      <c r="J75" s="34" t="s">
        <v>11</v>
      </c>
      <c r="K75" s="35" t="s">
        <v>290</v>
      </c>
      <c r="L75" s="33" t="s">
        <v>67</v>
      </c>
      <c r="M75" s="33">
        <v>9313</v>
      </c>
      <c r="N75" s="36"/>
      <c r="O75" s="33">
        <v>3</v>
      </c>
      <c r="P75" s="33">
        <f>IF(Tabela1[[#This Row],[Status]]="✔️",Tabela1[[#This Row],[Peso]],IF(Tabela1[[#This Row],[Status]]="✔️✔️",Tabela1[[#This Row],[Peso]]/2,0))</f>
        <v>0</v>
      </c>
      <c r="Q7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5" s="33" t="s">
        <v>127</v>
      </c>
      <c r="S75" s="37" t="s">
        <v>128</v>
      </c>
    </row>
    <row r="76" spans="1:19" s="10" customFormat="1" ht="49.95" customHeight="1" x14ac:dyDescent="0.3">
      <c r="A76" s="3"/>
      <c r="B76" s="3"/>
      <c r="C76" s="3"/>
      <c r="D76" s="3"/>
      <c r="E76" s="3"/>
      <c r="F76" s="3"/>
      <c r="G76" s="3"/>
      <c r="H76" s="32" t="s">
        <v>48</v>
      </c>
      <c r="I76" s="33" t="s">
        <v>10</v>
      </c>
      <c r="J76" s="34" t="s">
        <v>439</v>
      </c>
      <c r="K76" s="35" t="s">
        <v>1</v>
      </c>
      <c r="L76" s="33"/>
      <c r="M76" s="33"/>
      <c r="N76" s="36"/>
      <c r="O76" s="33">
        <v>3</v>
      </c>
      <c r="P76" s="33">
        <f>IF(Tabela1[[#This Row],[Status]]="✔️",Tabela1[[#This Row],[Peso]],IF(Tabela1[[#This Row],[Status]]="✔️✔️",Tabela1[[#This Row],[Peso]]/2,0))</f>
        <v>0</v>
      </c>
      <c r="Q7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6" s="33" t="s">
        <v>127</v>
      </c>
      <c r="S76" s="37" t="s">
        <v>128</v>
      </c>
    </row>
    <row r="77" spans="1:19" ht="49.95" customHeight="1" x14ac:dyDescent="0.3">
      <c r="H77" s="32" t="s">
        <v>48</v>
      </c>
      <c r="I77" s="33" t="s">
        <v>10</v>
      </c>
      <c r="J77" s="34" t="s">
        <v>440</v>
      </c>
      <c r="K77" s="35" t="s">
        <v>1</v>
      </c>
      <c r="L77" s="33"/>
      <c r="M77" s="33"/>
      <c r="N77" s="36"/>
      <c r="O77" s="33">
        <v>3</v>
      </c>
      <c r="P77" s="33">
        <f>IF(Tabela1[[#This Row],[Status]]="✔️",Tabela1[[#This Row],[Peso]],IF(Tabela1[[#This Row],[Status]]="✔️✔️",Tabela1[[#This Row],[Peso]]/2,0))</f>
        <v>0</v>
      </c>
      <c r="Q7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7" s="33" t="s">
        <v>127</v>
      </c>
      <c r="S77" s="37" t="s">
        <v>128</v>
      </c>
    </row>
    <row r="78" spans="1:19" ht="49.95" customHeight="1" x14ac:dyDescent="0.3">
      <c r="H78" s="32" t="s">
        <v>48</v>
      </c>
      <c r="I78" s="33" t="s">
        <v>12</v>
      </c>
      <c r="J78" s="34" t="s">
        <v>13</v>
      </c>
      <c r="K78" s="35" t="s">
        <v>1</v>
      </c>
      <c r="L78" s="33"/>
      <c r="M78" s="33"/>
      <c r="N78" s="36"/>
      <c r="O78" s="33">
        <v>2</v>
      </c>
      <c r="P78" s="33">
        <f>IF(Tabela1[[#This Row],[Status]]="✔️",Tabela1[[#This Row],[Peso]],IF(Tabela1[[#This Row],[Status]]="✔️✔️",Tabela1[[#This Row],[Peso]]/2,0))</f>
        <v>0</v>
      </c>
      <c r="Q7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8" s="33" t="s">
        <v>127</v>
      </c>
      <c r="S78" s="37" t="s">
        <v>128</v>
      </c>
    </row>
    <row r="79" spans="1:19" ht="49.95" customHeight="1" x14ac:dyDescent="0.3">
      <c r="H79" s="32" t="s">
        <v>48</v>
      </c>
      <c r="I79" s="33" t="s">
        <v>14</v>
      </c>
      <c r="J79" s="34" t="s">
        <v>15</v>
      </c>
      <c r="K79" s="35" t="s">
        <v>1</v>
      </c>
      <c r="L79" s="33"/>
      <c r="M79" s="33"/>
      <c r="N79" s="36"/>
      <c r="O79" s="33">
        <v>3</v>
      </c>
      <c r="P79" s="33">
        <f>IF(Tabela1[[#This Row],[Status]]="✔️",Tabela1[[#This Row],[Peso]],IF(Tabela1[[#This Row],[Status]]="✔️✔️",Tabela1[[#This Row],[Peso]]/2,0))</f>
        <v>0</v>
      </c>
      <c r="Q7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9" s="33" t="s">
        <v>127</v>
      </c>
      <c r="S79" s="37" t="s">
        <v>128</v>
      </c>
    </row>
    <row r="80" spans="1:19" ht="49.95" customHeight="1" x14ac:dyDescent="0.3">
      <c r="H80" s="32" t="s">
        <v>48</v>
      </c>
      <c r="I80" s="33" t="s">
        <v>10</v>
      </c>
      <c r="J80" s="34" t="s">
        <v>444</v>
      </c>
      <c r="K80" s="35" t="s">
        <v>1</v>
      </c>
      <c r="L80" s="33"/>
      <c r="M80" s="33"/>
      <c r="N80" s="36"/>
      <c r="O80" s="33">
        <v>3</v>
      </c>
      <c r="P80" s="33">
        <f>IF(Tabela1[[#This Row],[Status]]="✔️",Tabela1[[#This Row],[Peso]],IF(Tabela1[[#This Row],[Status]]="✔️✔️",Tabela1[[#This Row],[Peso]]/2,0))</f>
        <v>0</v>
      </c>
      <c r="Q8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80" s="33" t="s">
        <v>127</v>
      </c>
      <c r="S80" s="37" t="s">
        <v>128</v>
      </c>
    </row>
    <row r="81" spans="1:19" s="10" customFormat="1" ht="49.95" customHeight="1" x14ac:dyDescent="0.3">
      <c r="A81" s="3"/>
      <c r="B81" s="3"/>
      <c r="C81" s="3"/>
      <c r="D81" s="3"/>
      <c r="E81" s="3"/>
      <c r="F81" s="3"/>
      <c r="G81" s="3"/>
      <c r="H81" s="32" t="s">
        <v>48</v>
      </c>
      <c r="I81" s="33" t="s">
        <v>14</v>
      </c>
      <c r="J81" s="34" t="s">
        <v>16</v>
      </c>
      <c r="K81" s="35" t="s">
        <v>1</v>
      </c>
      <c r="L81" s="33"/>
      <c r="M81" s="33"/>
      <c r="N81" s="36"/>
      <c r="O81" s="33">
        <v>1</v>
      </c>
      <c r="P81" s="33">
        <f>IF(Tabela1[[#This Row],[Status]]="✔️",Tabela1[[#This Row],[Peso]],IF(Tabela1[[#This Row],[Status]]="✔️✔️",Tabela1[[#This Row],[Peso]]/2,0))</f>
        <v>0</v>
      </c>
      <c r="Q8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81" s="33" t="s">
        <v>127</v>
      </c>
      <c r="S81" s="37" t="s">
        <v>128</v>
      </c>
    </row>
    <row r="82" spans="1:19" s="10" customFormat="1" ht="49.95" customHeight="1" x14ac:dyDescent="0.3">
      <c r="A82" s="3"/>
      <c r="B82" s="3"/>
      <c r="C82" s="3"/>
      <c r="D82" s="3"/>
      <c r="E82" s="3"/>
      <c r="F82" s="3"/>
      <c r="G82" s="3"/>
      <c r="H82" s="32" t="s">
        <v>48</v>
      </c>
      <c r="I82" s="33" t="s">
        <v>17</v>
      </c>
      <c r="J82" s="34" t="s">
        <v>18</v>
      </c>
      <c r="K82" s="35" t="s">
        <v>1</v>
      </c>
      <c r="L82" s="33"/>
      <c r="M82" s="33"/>
      <c r="N82" s="36"/>
      <c r="O82" s="33">
        <v>3</v>
      </c>
      <c r="P82" s="33">
        <f>IF(Tabela1[[#This Row],[Status]]="✔️",Tabela1[[#This Row],[Peso]],IF(Tabela1[[#This Row],[Status]]="✔️✔️",Tabela1[[#This Row],[Peso]]/2,0))</f>
        <v>0</v>
      </c>
      <c r="Q8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82" s="33" t="s">
        <v>127</v>
      </c>
      <c r="S82" s="37" t="s">
        <v>128</v>
      </c>
    </row>
    <row r="83" spans="1:19" s="10" customFormat="1" ht="49.95" customHeight="1" x14ac:dyDescent="0.3">
      <c r="A83" s="3"/>
      <c r="B83" s="3"/>
      <c r="C83" s="3"/>
      <c r="D83" s="3"/>
      <c r="E83" s="3"/>
      <c r="F83" s="3"/>
      <c r="G83" s="3"/>
      <c r="H83" s="32" t="s">
        <v>48</v>
      </c>
      <c r="I83" s="33" t="s">
        <v>17</v>
      </c>
      <c r="J83" s="34" t="s">
        <v>19</v>
      </c>
      <c r="K83" s="35" t="s">
        <v>1</v>
      </c>
      <c r="L83" s="33"/>
      <c r="M83" s="33"/>
      <c r="N83" s="36"/>
      <c r="O83" s="33">
        <v>3</v>
      </c>
      <c r="P83" s="33">
        <f>IF(Tabela1[[#This Row],[Status]]="✔️",Tabela1[[#This Row],[Peso]],IF(Tabela1[[#This Row],[Status]]="✔️✔️",Tabela1[[#This Row],[Peso]]/2,0))</f>
        <v>0</v>
      </c>
      <c r="Q8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83" s="33" t="s">
        <v>127</v>
      </c>
      <c r="S83" s="37" t="s">
        <v>128</v>
      </c>
    </row>
    <row r="84" spans="1:19" s="10" customFormat="1" ht="49.95" customHeight="1" x14ac:dyDescent="0.3">
      <c r="A84" s="3"/>
      <c r="B84" s="3"/>
      <c r="C84" s="3"/>
      <c r="D84" s="3"/>
      <c r="E84" s="3"/>
      <c r="F84" s="3"/>
      <c r="G84" s="3"/>
      <c r="H84" s="32" t="s">
        <v>48</v>
      </c>
      <c r="I84" s="33" t="s">
        <v>20</v>
      </c>
      <c r="J84" s="34" t="s">
        <v>21</v>
      </c>
      <c r="K84" s="35" t="s">
        <v>1</v>
      </c>
      <c r="L84" s="33"/>
      <c r="M84" s="33"/>
      <c r="N84" s="36"/>
      <c r="O84" s="33">
        <v>3</v>
      </c>
      <c r="P84" s="33">
        <f>IF(Tabela1[[#This Row],[Status]]="✔️",Tabela1[[#This Row],[Peso]],IF(Tabela1[[#This Row],[Status]]="✔️✔️",Tabela1[[#This Row],[Peso]]/2,0))</f>
        <v>0</v>
      </c>
      <c r="Q8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84" s="33" t="s">
        <v>127</v>
      </c>
      <c r="S84" s="37" t="s">
        <v>128</v>
      </c>
    </row>
    <row r="85" spans="1:19" s="10" customFormat="1" ht="49.95" customHeight="1" x14ac:dyDescent="0.3">
      <c r="A85" s="3"/>
      <c r="B85" s="3"/>
      <c r="C85" s="3"/>
      <c r="D85" s="3"/>
      <c r="E85" s="3"/>
      <c r="F85" s="3"/>
      <c r="G85" s="3"/>
      <c r="H85" s="32" t="s">
        <v>48</v>
      </c>
      <c r="I85" s="33" t="s">
        <v>20</v>
      </c>
      <c r="J85" s="34" t="s">
        <v>441</v>
      </c>
      <c r="K85" s="35" t="s">
        <v>1</v>
      </c>
      <c r="L85" s="33"/>
      <c r="M85" s="33"/>
      <c r="N85" s="36"/>
      <c r="O85" s="33">
        <v>1</v>
      </c>
      <c r="P85" s="33">
        <f>IF(Tabela1[[#This Row],[Status]]="✔️",Tabela1[[#This Row],[Peso]],IF(Tabela1[[#This Row],[Status]]="✔️✔️",Tabela1[[#This Row],[Peso]]/2,0))</f>
        <v>0</v>
      </c>
      <c r="Q8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85" s="33" t="s">
        <v>127</v>
      </c>
      <c r="S85" s="37" t="s">
        <v>128</v>
      </c>
    </row>
    <row r="86" spans="1:19" s="10" customFormat="1" ht="49.95" customHeight="1" x14ac:dyDescent="0.3">
      <c r="A86" s="3"/>
      <c r="B86" s="3"/>
      <c r="C86" s="3"/>
      <c r="D86" s="3"/>
      <c r="E86" s="3"/>
      <c r="F86" s="3"/>
      <c r="G86" s="3"/>
      <c r="H86" s="32" t="s">
        <v>48</v>
      </c>
      <c r="I86" s="33" t="s">
        <v>43</v>
      </c>
      <c r="J86" s="34" t="s">
        <v>44</v>
      </c>
      <c r="K86" s="35" t="s">
        <v>1</v>
      </c>
      <c r="L86" s="33"/>
      <c r="M86" s="33"/>
      <c r="N86" s="36"/>
      <c r="O86" s="33">
        <v>3</v>
      </c>
      <c r="P86" s="33">
        <f>IF(Tabela1[[#This Row],[Status]]="✔️",Tabela1[[#This Row],[Peso]],IF(Tabela1[[#This Row],[Status]]="✔️✔️",Tabela1[[#This Row],[Peso]]/2,0))</f>
        <v>0</v>
      </c>
      <c r="Q8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86" s="33" t="s">
        <v>127</v>
      </c>
      <c r="S86" s="37" t="s">
        <v>128</v>
      </c>
    </row>
    <row r="87" spans="1:19" s="10" customFormat="1" ht="49.95" customHeight="1" x14ac:dyDescent="0.3">
      <c r="A87" s="3"/>
      <c r="B87" s="3"/>
      <c r="C87" s="3"/>
      <c r="D87" s="3"/>
      <c r="E87" s="3"/>
      <c r="F87" s="3"/>
      <c r="G87" s="3"/>
      <c r="H87" s="32" t="s">
        <v>48</v>
      </c>
      <c r="I87" s="33" t="s">
        <v>25</v>
      </c>
      <c r="J87" s="34" t="s">
        <v>28</v>
      </c>
      <c r="K87" s="35" t="s">
        <v>1</v>
      </c>
      <c r="L87" s="33"/>
      <c r="M87" s="33"/>
      <c r="N87" s="36"/>
      <c r="O87" s="33">
        <v>3</v>
      </c>
      <c r="P87" s="33">
        <f>IF(Tabela1[[#This Row],[Status]]="✔️",Tabela1[[#This Row],[Peso]],IF(Tabela1[[#This Row],[Status]]="✔️✔️",Tabela1[[#This Row],[Peso]]/2,0))</f>
        <v>0</v>
      </c>
      <c r="Q8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87" s="33" t="s">
        <v>127</v>
      </c>
      <c r="S87" s="37" t="s">
        <v>128</v>
      </c>
    </row>
    <row r="88" spans="1:19" s="10" customFormat="1" ht="49.95" customHeight="1" x14ac:dyDescent="0.3">
      <c r="A88" s="3"/>
      <c r="B88" s="3"/>
      <c r="C88" s="3"/>
      <c r="D88" s="3"/>
      <c r="E88" s="3"/>
      <c r="F88" s="3"/>
      <c r="G88" s="3"/>
      <c r="H88" s="32" t="s">
        <v>48</v>
      </c>
      <c r="I88" s="33" t="s">
        <v>25</v>
      </c>
      <c r="J88" s="34" t="s">
        <v>29</v>
      </c>
      <c r="K88" s="35" t="s">
        <v>1</v>
      </c>
      <c r="L88" s="33"/>
      <c r="M88" s="33"/>
      <c r="N88" s="36"/>
      <c r="O88" s="33">
        <v>3</v>
      </c>
      <c r="P88" s="33">
        <f>IF(Tabela1[[#This Row],[Status]]="✔️",Tabela1[[#This Row],[Peso]],IF(Tabela1[[#This Row],[Status]]="✔️✔️",Tabela1[[#This Row],[Peso]]/2,0))</f>
        <v>0</v>
      </c>
      <c r="Q8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88" s="33" t="s">
        <v>127</v>
      </c>
      <c r="S88" s="37" t="s">
        <v>128</v>
      </c>
    </row>
    <row r="89" spans="1:19" s="10" customFormat="1" ht="49.95" customHeight="1" x14ac:dyDescent="0.3">
      <c r="A89" s="3"/>
      <c r="B89" s="3"/>
      <c r="C89" s="3"/>
      <c r="D89" s="3"/>
      <c r="E89" s="3"/>
      <c r="F89" s="3"/>
      <c r="G89" s="3"/>
      <c r="H89" s="32" t="s">
        <v>48</v>
      </c>
      <c r="I89" s="33" t="s">
        <v>41</v>
      </c>
      <c r="J89" s="34" t="s">
        <v>442</v>
      </c>
      <c r="K89" s="35" t="s">
        <v>290</v>
      </c>
      <c r="L89" s="33"/>
      <c r="M89" s="33">
        <v>8115</v>
      </c>
      <c r="N89" s="36"/>
      <c r="O89" s="33">
        <v>3</v>
      </c>
      <c r="P89" s="33">
        <f>IF(Tabela1[[#This Row],[Status]]="✔️",Tabela1[[#This Row],[Peso]],IF(Tabela1[[#This Row],[Status]]="✔️✔️",Tabela1[[#This Row],[Peso]]/2,0))</f>
        <v>0</v>
      </c>
      <c r="Q8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9" s="33" t="s">
        <v>127</v>
      </c>
      <c r="S89" s="37" t="s">
        <v>128</v>
      </c>
    </row>
    <row r="90" spans="1:19" s="10" customFormat="1" ht="60.6" customHeight="1" x14ac:dyDescent="0.3">
      <c r="A90" s="3"/>
      <c r="B90" s="3"/>
      <c r="C90" s="3"/>
      <c r="D90" s="3"/>
      <c r="E90" s="3"/>
      <c r="F90" s="3"/>
      <c r="G90" s="3"/>
      <c r="H90" s="32" t="s">
        <v>48</v>
      </c>
      <c r="I90" s="33" t="s">
        <v>41</v>
      </c>
      <c r="J90" s="34" t="s">
        <v>443</v>
      </c>
      <c r="K90" s="35" t="s">
        <v>290</v>
      </c>
      <c r="L90" s="33"/>
      <c r="M90" s="33">
        <v>8115</v>
      </c>
      <c r="N90" s="36"/>
      <c r="O90" s="33">
        <v>2</v>
      </c>
      <c r="P90" s="33">
        <f>IF(Tabela1[[#This Row],[Status]]="✔️",Tabela1[[#This Row],[Peso]],IF(Tabela1[[#This Row],[Status]]="✔️✔️",Tabela1[[#This Row],[Peso]]/2,0))</f>
        <v>0</v>
      </c>
      <c r="Q90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90" s="33" t="s">
        <v>127</v>
      </c>
      <c r="S90" s="37" t="s">
        <v>128</v>
      </c>
    </row>
    <row r="91" spans="1:19" s="10" customFormat="1" ht="49.95" customHeight="1" x14ac:dyDescent="0.3">
      <c r="A91" s="3"/>
      <c r="B91" s="3"/>
      <c r="C91" s="3"/>
      <c r="D91" s="3"/>
      <c r="E91" s="3"/>
      <c r="F91" s="3"/>
      <c r="G91" s="3"/>
      <c r="H91" s="32" t="s">
        <v>48</v>
      </c>
      <c r="I91" s="33" t="s">
        <v>30</v>
      </c>
      <c r="J91" s="34" t="s">
        <v>438</v>
      </c>
      <c r="K91" s="35" t="s">
        <v>0</v>
      </c>
      <c r="L91" s="33"/>
      <c r="M91" s="33"/>
      <c r="N91" s="36"/>
      <c r="O91" s="33">
        <v>3</v>
      </c>
      <c r="P91" s="33">
        <f>IF(Tabela1[[#This Row],[Status]]="✔️",Tabela1[[#This Row],[Peso]],IF(Tabela1[[#This Row],[Status]]="✔️✔️",Tabela1[[#This Row],[Peso]]/2,0))</f>
        <v>3</v>
      </c>
      <c r="Q9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1" s="33" t="s">
        <v>130</v>
      </c>
      <c r="S91" s="37" t="s">
        <v>132</v>
      </c>
    </row>
    <row r="92" spans="1:19" s="10" customFormat="1" ht="49.95" customHeight="1" x14ac:dyDescent="0.3">
      <c r="A92" s="3"/>
      <c r="B92" s="3"/>
      <c r="C92" s="3"/>
      <c r="D92" s="3"/>
      <c r="E92" s="3"/>
      <c r="F92" s="3"/>
      <c r="G92" s="3"/>
      <c r="H92" s="32" t="s">
        <v>48</v>
      </c>
      <c r="I92" s="33" t="s">
        <v>10</v>
      </c>
      <c r="J92" s="34" t="s">
        <v>11</v>
      </c>
      <c r="K92" s="35" t="s">
        <v>290</v>
      </c>
      <c r="L92" s="33"/>
      <c r="M92" s="33">
        <v>2663</v>
      </c>
      <c r="N92" s="36"/>
      <c r="O92" s="33">
        <v>3</v>
      </c>
      <c r="P92" s="33">
        <f>IF(Tabela1[[#This Row],[Status]]="✔️",Tabela1[[#This Row],[Peso]],IF(Tabela1[[#This Row],[Status]]="✔️✔️",Tabela1[[#This Row],[Peso]]/2,0))</f>
        <v>0</v>
      </c>
      <c r="Q9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2" s="33" t="s">
        <v>130</v>
      </c>
      <c r="S92" s="37" t="s">
        <v>132</v>
      </c>
    </row>
    <row r="93" spans="1:19" s="10" customFormat="1" ht="49.95" customHeight="1" x14ac:dyDescent="0.3">
      <c r="A93" s="3"/>
      <c r="B93" s="3"/>
      <c r="C93" s="3"/>
      <c r="D93" s="3"/>
      <c r="E93" s="3"/>
      <c r="F93" s="3"/>
      <c r="G93" s="3"/>
      <c r="H93" s="32" t="s">
        <v>48</v>
      </c>
      <c r="I93" s="33" t="s">
        <v>10</v>
      </c>
      <c r="J93" s="34" t="s">
        <v>439</v>
      </c>
      <c r="K93" s="35" t="s">
        <v>0</v>
      </c>
      <c r="L93" s="33"/>
      <c r="M93" s="33"/>
      <c r="N93" s="36"/>
      <c r="O93" s="33">
        <v>3</v>
      </c>
      <c r="P93" s="33">
        <f>IF(Tabela1[[#This Row],[Status]]="✔️",Tabela1[[#This Row],[Peso]],IF(Tabela1[[#This Row],[Status]]="✔️✔️",Tabela1[[#This Row],[Peso]]/2,0))</f>
        <v>3</v>
      </c>
      <c r="Q9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3" s="33" t="s">
        <v>130</v>
      </c>
      <c r="S93" s="37" t="s">
        <v>132</v>
      </c>
    </row>
    <row r="94" spans="1:19" s="10" customFormat="1" ht="49.95" customHeight="1" x14ac:dyDescent="0.3">
      <c r="A94" s="3"/>
      <c r="B94" s="3"/>
      <c r="C94" s="3"/>
      <c r="D94" s="3"/>
      <c r="E94" s="3"/>
      <c r="F94" s="3"/>
      <c r="G94" s="3"/>
      <c r="H94" s="32" t="s">
        <v>48</v>
      </c>
      <c r="I94" s="33" t="s">
        <v>10</v>
      </c>
      <c r="J94" s="34" t="s">
        <v>440</v>
      </c>
      <c r="K94" s="35" t="s">
        <v>0</v>
      </c>
      <c r="L94" s="33"/>
      <c r="M94" s="33"/>
      <c r="N94" s="36"/>
      <c r="O94" s="33">
        <v>3</v>
      </c>
      <c r="P94" s="33">
        <f>IF(Tabela1[[#This Row],[Status]]="✔️",Tabela1[[#This Row],[Peso]],IF(Tabela1[[#This Row],[Status]]="✔️✔️",Tabela1[[#This Row],[Peso]]/2,0))</f>
        <v>3</v>
      </c>
      <c r="Q9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4" s="33" t="s">
        <v>130</v>
      </c>
      <c r="S94" s="37" t="s">
        <v>132</v>
      </c>
    </row>
    <row r="95" spans="1:19" s="10" customFormat="1" ht="49.95" customHeight="1" x14ac:dyDescent="0.3">
      <c r="A95" s="3"/>
      <c r="B95" s="3"/>
      <c r="C95" s="3"/>
      <c r="D95" s="3"/>
      <c r="E95" s="3"/>
      <c r="F95" s="3"/>
      <c r="G95" s="3"/>
      <c r="H95" s="32" t="s">
        <v>48</v>
      </c>
      <c r="I95" s="33" t="s">
        <v>12</v>
      </c>
      <c r="J95" s="34" t="s">
        <v>13</v>
      </c>
      <c r="K95" s="35" t="s">
        <v>0</v>
      </c>
      <c r="L95" s="33"/>
      <c r="M95" s="33"/>
      <c r="N95" s="36"/>
      <c r="O95" s="33">
        <v>2</v>
      </c>
      <c r="P95" s="33">
        <f>IF(Tabela1[[#This Row],[Status]]="✔️",Tabela1[[#This Row],[Peso]],IF(Tabela1[[#This Row],[Status]]="✔️✔️",Tabela1[[#This Row],[Peso]]/2,0))</f>
        <v>2</v>
      </c>
      <c r="Q95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95" s="33" t="s">
        <v>130</v>
      </c>
      <c r="S95" s="37" t="s">
        <v>132</v>
      </c>
    </row>
    <row r="96" spans="1:19" s="10" customFormat="1" ht="49.95" customHeight="1" x14ac:dyDescent="0.3">
      <c r="A96" s="3"/>
      <c r="B96" s="3"/>
      <c r="C96" s="3"/>
      <c r="D96" s="3"/>
      <c r="E96" s="3"/>
      <c r="F96" s="3"/>
      <c r="G96" s="3"/>
      <c r="H96" s="32" t="s">
        <v>48</v>
      </c>
      <c r="I96" s="33" t="s">
        <v>14</v>
      </c>
      <c r="J96" s="34" t="s">
        <v>15</v>
      </c>
      <c r="K96" s="35" t="s">
        <v>0</v>
      </c>
      <c r="L96" s="33"/>
      <c r="M96" s="33"/>
      <c r="N96" s="36"/>
      <c r="O96" s="33">
        <v>3</v>
      </c>
      <c r="P96" s="33">
        <f>IF(Tabela1[[#This Row],[Status]]="✔️",Tabela1[[#This Row],[Peso]],IF(Tabela1[[#This Row],[Status]]="✔️✔️",Tabela1[[#This Row],[Peso]]/2,0))</f>
        <v>3</v>
      </c>
      <c r="Q9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6" s="33" t="s">
        <v>130</v>
      </c>
      <c r="S96" s="37" t="s">
        <v>132</v>
      </c>
    </row>
    <row r="97" spans="1:19" s="10" customFormat="1" ht="49.95" customHeight="1" x14ac:dyDescent="0.3">
      <c r="A97" s="3"/>
      <c r="B97" s="3"/>
      <c r="C97" s="3"/>
      <c r="D97" s="3"/>
      <c r="E97" s="3"/>
      <c r="F97" s="3"/>
      <c r="G97" s="3"/>
      <c r="H97" s="32" t="s">
        <v>48</v>
      </c>
      <c r="I97" s="33" t="s">
        <v>14</v>
      </c>
      <c r="J97" s="34" t="s">
        <v>16</v>
      </c>
      <c r="K97" s="35" t="s">
        <v>0</v>
      </c>
      <c r="L97" s="33"/>
      <c r="M97" s="33"/>
      <c r="N97" s="36"/>
      <c r="O97" s="33">
        <v>1</v>
      </c>
      <c r="P97" s="33">
        <f>IF(Tabela1[[#This Row],[Status]]="✔️",Tabela1[[#This Row],[Peso]],IF(Tabela1[[#This Row],[Status]]="✔️✔️",Tabela1[[#This Row],[Peso]]/2,0))</f>
        <v>1</v>
      </c>
      <c r="Q9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97" s="33" t="s">
        <v>130</v>
      </c>
      <c r="S97" s="37" t="s">
        <v>132</v>
      </c>
    </row>
    <row r="98" spans="1:19" s="10" customFormat="1" ht="49.95" customHeight="1" x14ac:dyDescent="0.3">
      <c r="A98" s="3"/>
      <c r="B98" s="3"/>
      <c r="C98" s="3"/>
      <c r="D98" s="3"/>
      <c r="E98" s="3"/>
      <c r="F98" s="3"/>
      <c r="G98" s="3"/>
      <c r="H98" s="32" t="s">
        <v>48</v>
      </c>
      <c r="I98" s="33" t="s">
        <v>17</v>
      </c>
      <c r="J98" s="34" t="s">
        <v>18</v>
      </c>
      <c r="K98" s="35" t="s">
        <v>0</v>
      </c>
      <c r="L98" s="33"/>
      <c r="M98" s="33"/>
      <c r="N98" s="36"/>
      <c r="O98" s="33">
        <v>3</v>
      </c>
      <c r="P98" s="33">
        <f>IF(Tabela1[[#This Row],[Status]]="✔️",Tabela1[[#This Row],[Peso]],IF(Tabela1[[#This Row],[Status]]="✔️✔️",Tabela1[[#This Row],[Peso]]/2,0))</f>
        <v>3</v>
      </c>
      <c r="Q9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8" s="33" t="s">
        <v>130</v>
      </c>
      <c r="S98" s="37" t="s">
        <v>132</v>
      </c>
    </row>
    <row r="99" spans="1:19" s="10" customFormat="1" ht="49.95" customHeight="1" x14ac:dyDescent="0.3">
      <c r="A99" s="3"/>
      <c r="B99" s="3"/>
      <c r="C99" s="3"/>
      <c r="D99" s="3"/>
      <c r="E99" s="3"/>
      <c r="F99" s="3"/>
      <c r="G99" s="3"/>
      <c r="H99" s="32" t="s">
        <v>48</v>
      </c>
      <c r="I99" s="33" t="s">
        <v>17</v>
      </c>
      <c r="J99" s="34" t="s">
        <v>19</v>
      </c>
      <c r="K99" s="35" t="s">
        <v>290</v>
      </c>
      <c r="L99" s="33" t="s">
        <v>151</v>
      </c>
      <c r="M99" s="33">
        <v>5381</v>
      </c>
      <c r="N99" s="36"/>
      <c r="O99" s="33">
        <v>3</v>
      </c>
      <c r="P99" s="33">
        <f>IF(Tabela1[[#This Row],[Status]]="✔️",Tabela1[[#This Row],[Peso]],IF(Tabela1[[#This Row],[Status]]="✔️✔️",Tabela1[[#This Row],[Peso]]/2,0))</f>
        <v>0</v>
      </c>
      <c r="Q9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9" s="33" t="s">
        <v>130</v>
      </c>
      <c r="S99" s="37" t="s">
        <v>132</v>
      </c>
    </row>
    <row r="100" spans="1:19" s="10" customFormat="1" ht="49.95" customHeight="1" x14ac:dyDescent="0.3">
      <c r="A100" s="3"/>
      <c r="B100" s="3"/>
      <c r="C100" s="3"/>
      <c r="D100" s="3"/>
      <c r="E100" s="3"/>
      <c r="F100" s="3"/>
      <c r="G100" s="3"/>
      <c r="H100" s="32" t="s">
        <v>48</v>
      </c>
      <c r="I100" s="33" t="s">
        <v>20</v>
      </c>
      <c r="J100" s="34" t="s">
        <v>21</v>
      </c>
      <c r="K100" s="35" t="s">
        <v>0</v>
      </c>
      <c r="L100" s="33"/>
      <c r="M100" s="33"/>
      <c r="N100" s="36"/>
      <c r="O100" s="33">
        <v>3</v>
      </c>
      <c r="P100" s="33">
        <f>IF(Tabela1[[#This Row],[Status]]="✔️",Tabela1[[#This Row],[Peso]],IF(Tabela1[[#This Row],[Status]]="✔️✔️",Tabela1[[#This Row],[Peso]]/2,0))</f>
        <v>3</v>
      </c>
      <c r="Q10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0" s="33" t="s">
        <v>130</v>
      </c>
      <c r="S100" s="37" t="s">
        <v>132</v>
      </c>
    </row>
    <row r="101" spans="1:19" s="10" customFormat="1" ht="49.95" customHeight="1" x14ac:dyDescent="0.3">
      <c r="A101" s="3"/>
      <c r="B101" s="3"/>
      <c r="C101" s="3"/>
      <c r="D101" s="3"/>
      <c r="E101" s="3"/>
      <c r="F101" s="3"/>
      <c r="G101" s="3"/>
      <c r="H101" s="32" t="s">
        <v>48</v>
      </c>
      <c r="I101" s="33" t="s">
        <v>20</v>
      </c>
      <c r="J101" s="34" t="s">
        <v>441</v>
      </c>
      <c r="K101" s="35" t="s">
        <v>290</v>
      </c>
      <c r="L101" s="33" t="s">
        <v>152</v>
      </c>
      <c r="M101" s="33">
        <v>4665</v>
      </c>
      <c r="N101" s="36"/>
      <c r="O101" s="33">
        <v>1</v>
      </c>
      <c r="P101" s="33">
        <f>IF(Tabela1[[#This Row],[Status]]="✔️",Tabela1[[#This Row],[Peso]],IF(Tabela1[[#This Row],[Status]]="✔️✔️",Tabela1[[#This Row],[Peso]]/2,0))</f>
        <v>0</v>
      </c>
      <c r="Q10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01" s="33" t="s">
        <v>130</v>
      </c>
      <c r="S101" s="37" t="s">
        <v>132</v>
      </c>
    </row>
    <row r="102" spans="1:19" ht="49.95" customHeight="1" x14ac:dyDescent="0.3">
      <c r="H102" s="32" t="s">
        <v>48</v>
      </c>
      <c r="I102" s="33" t="s">
        <v>25</v>
      </c>
      <c r="J102" s="34" t="s">
        <v>28</v>
      </c>
      <c r="K102" s="35" t="s">
        <v>0</v>
      </c>
      <c r="L102" s="33"/>
      <c r="M102" s="33"/>
      <c r="N102" s="36"/>
      <c r="O102" s="33">
        <v>3</v>
      </c>
      <c r="P102" s="33">
        <f>IF(Tabela1[[#This Row],[Status]]="✔️",Tabela1[[#This Row],[Peso]],IF(Tabela1[[#This Row],[Status]]="✔️✔️",Tabela1[[#This Row],[Peso]]/2,0))</f>
        <v>3</v>
      </c>
      <c r="Q10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2" s="33" t="s">
        <v>130</v>
      </c>
      <c r="S102" s="37" t="s">
        <v>132</v>
      </c>
    </row>
    <row r="103" spans="1:19" ht="49.95" customHeight="1" x14ac:dyDescent="0.3">
      <c r="H103" s="32" t="s">
        <v>48</v>
      </c>
      <c r="I103" s="33" t="s">
        <v>25</v>
      </c>
      <c r="J103" s="34" t="s">
        <v>29</v>
      </c>
      <c r="K103" s="35" t="s">
        <v>0</v>
      </c>
      <c r="L103" s="33"/>
      <c r="M103" s="33"/>
      <c r="N103" s="36"/>
      <c r="O103" s="33">
        <v>3</v>
      </c>
      <c r="P103" s="33">
        <f>IF(Tabela1[[#This Row],[Status]]="✔️",Tabela1[[#This Row],[Peso]],IF(Tabela1[[#This Row],[Status]]="✔️✔️",Tabela1[[#This Row],[Peso]]/2,0))</f>
        <v>3</v>
      </c>
      <c r="Q10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3" s="33" t="s">
        <v>130</v>
      </c>
      <c r="S103" s="37" t="s">
        <v>132</v>
      </c>
    </row>
    <row r="104" spans="1:19" ht="49.95" customHeight="1" x14ac:dyDescent="0.3">
      <c r="H104" s="32" t="s">
        <v>48</v>
      </c>
      <c r="I104" s="33" t="s">
        <v>41</v>
      </c>
      <c r="J104" s="34" t="s">
        <v>442</v>
      </c>
      <c r="K104" s="35" t="s">
        <v>290</v>
      </c>
      <c r="L104" s="33" t="s">
        <v>153</v>
      </c>
      <c r="M104" s="33">
        <v>3184</v>
      </c>
      <c r="N104" s="36"/>
      <c r="O104" s="33">
        <v>3</v>
      </c>
      <c r="P104" s="33">
        <f>IF(Tabela1[[#This Row],[Status]]="✔️",Tabela1[[#This Row],[Peso]],IF(Tabela1[[#This Row],[Status]]="✔️✔️",Tabela1[[#This Row],[Peso]]/2,0))</f>
        <v>0</v>
      </c>
      <c r="Q10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4" s="33" t="s">
        <v>130</v>
      </c>
      <c r="S104" s="37" t="s">
        <v>132</v>
      </c>
    </row>
    <row r="105" spans="1:19" s="10" customFormat="1" ht="49.95" customHeight="1" x14ac:dyDescent="0.3">
      <c r="A105" s="3"/>
      <c r="B105" s="3"/>
      <c r="C105" s="3"/>
      <c r="D105" s="3"/>
      <c r="E105" s="3"/>
      <c r="F105" s="3"/>
      <c r="G105" s="3"/>
      <c r="H105" s="32" t="s">
        <v>48</v>
      </c>
      <c r="I105" s="33" t="s">
        <v>41</v>
      </c>
      <c r="J105" s="34" t="s">
        <v>443</v>
      </c>
      <c r="K105" s="35" t="s">
        <v>290</v>
      </c>
      <c r="L105" s="33" t="s">
        <v>153</v>
      </c>
      <c r="M105" s="33">
        <v>3184</v>
      </c>
      <c r="N105" s="36"/>
      <c r="O105" s="33">
        <v>2</v>
      </c>
      <c r="P105" s="33">
        <f>IF(Tabela1[[#This Row],[Status]]="✔️",Tabela1[[#This Row],[Peso]],IF(Tabela1[[#This Row],[Status]]="✔️✔️",Tabela1[[#This Row],[Peso]]/2,0))</f>
        <v>0</v>
      </c>
      <c r="Q105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05" s="33" t="s">
        <v>130</v>
      </c>
      <c r="S105" s="37" t="s">
        <v>132</v>
      </c>
    </row>
    <row r="106" spans="1:19" s="10" customFormat="1" ht="49.95" customHeight="1" x14ac:dyDescent="0.3">
      <c r="A106" s="3"/>
      <c r="B106" s="3"/>
      <c r="C106" s="3"/>
      <c r="D106" s="3"/>
      <c r="E106" s="3"/>
      <c r="F106" s="3"/>
      <c r="G106" s="3"/>
      <c r="H106" s="32" t="s">
        <v>48</v>
      </c>
      <c r="I106" s="33" t="s">
        <v>30</v>
      </c>
      <c r="J106" s="34" t="s">
        <v>438</v>
      </c>
      <c r="K106" s="35" t="s">
        <v>0</v>
      </c>
      <c r="L106" s="33"/>
      <c r="M106" s="33"/>
      <c r="N106" s="36"/>
      <c r="O106" s="33">
        <v>3</v>
      </c>
      <c r="P106" s="33">
        <f>IF(Tabela1[[#This Row],[Status]]="✔️",Tabela1[[#This Row],[Peso]],IF(Tabela1[[#This Row],[Status]]="✔️✔️",Tabela1[[#This Row],[Peso]]/2,0))</f>
        <v>3</v>
      </c>
      <c r="Q10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6" s="33" t="s">
        <v>130</v>
      </c>
      <c r="S106" s="37" t="s">
        <v>128</v>
      </c>
    </row>
    <row r="107" spans="1:19" s="10" customFormat="1" ht="49.95" customHeight="1" x14ac:dyDescent="0.3">
      <c r="A107" s="3"/>
      <c r="B107" s="3"/>
      <c r="C107" s="3"/>
      <c r="D107" s="3"/>
      <c r="E107" s="3"/>
      <c r="F107" s="3"/>
      <c r="G107" s="3"/>
      <c r="H107" s="32" t="s">
        <v>48</v>
      </c>
      <c r="I107" s="33" t="s">
        <v>10</v>
      </c>
      <c r="J107" s="34" t="s">
        <v>444</v>
      </c>
      <c r="K107" s="35" t="s">
        <v>290</v>
      </c>
      <c r="L107" s="33"/>
      <c r="M107" s="33">
        <v>2663</v>
      </c>
      <c r="N107" s="36"/>
      <c r="O107" s="33">
        <v>3</v>
      </c>
      <c r="P107" s="33">
        <f>IF(Tabela1[[#This Row],[Status]]="✔️",Tabela1[[#This Row],[Peso]],IF(Tabela1[[#This Row],[Status]]="✔️✔️",Tabela1[[#This Row],[Peso]]/2,0))</f>
        <v>0</v>
      </c>
      <c r="Q10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7" s="33" t="s">
        <v>130</v>
      </c>
      <c r="S107" s="37" t="s">
        <v>132</v>
      </c>
    </row>
    <row r="108" spans="1:19" s="10" customFormat="1" ht="49.95" customHeight="1" x14ac:dyDescent="0.3">
      <c r="A108" s="3"/>
      <c r="B108" s="3"/>
      <c r="C108" s="3"/>
      <c r="D108" s="3"/>
      <c r="E108" s="3"/>
      <c r="F108" s="3"/>
      <c r="G108" s="3"/>
      <c r="H108" s="32" t="s">
        <v>48</v>
      </c>
      <c r="I108" s="33" t="s">
        <v>10</v>
      </c>
      <c r="J108" s="34" t="s">
        <v>11</v>
      </c>
      <c r="K108" s="35" t="s">
        <v>290</v>
      </c>
      <c r="L108" s="33" t="s">
        <v>296</v>
      </c>
      <c r="M108" s="33">
        <v>2663</v>
      </c>
      <c r="N108" s="36"/>
      <c r="O108" s="33">
        <v>3</v>
      </c>
      <c r="P108" s="33">
        <f>IF(Tabela1[[#This Row],[Status]]="✔️",Tabela1[[#This Row],[Peso]],IF(Tabela1[[#This Row],[Status]]="✔️✔️",Tabela1[[#This Row],[Peso]]/2,0))</f>
        <v>0</v>
      </c>
      <c r="Q10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8" s="33" t="s">
        <v>130</v>
      </c>
      <c r="S108" s="37" t="s">
        <v>128</v>
      </c>
    </row>
    <row r="109" spans="1:19" s="10" customFormat="1" ht="49.95" customHeight="1" x14ac:dyDescent="0.3">
      <c r="A109" s="3"/>
      <c r="B109" s="3"/>
      <c r="C109" s="3"/>
      <c r="D109" s="3"/>
      <c r="E109" s="3"/>
      <c r="F109" s="3"/>
      <c r="G109" s="3"/>
      <c r="H109" s="32" t="s">
        <v>48</v>
      </c>
      <c r="I109" s="33" t="s">
        <v>10</v>
      </c>
      <c r="J109" s="34" t="s">
        <v>439</v>
      </c>
      <c r="K109" s="35" t="s">
        <v>0</v>
      </c>
      <c r="L109" s="33"/>
      <c r="M109" s="33"/>
      <c r="N109" s="36"/>
      <c r="O109" s="33">
        <v>3</v>
      </c>
      <c r="P109" s="33">
        <f>IF(Tabela1[[#This Row],[Status]]="✔️",Tabela1[[#This Row],[Peso]],IF(Tabela1[[#This Row],[Status]]="✔️✔️",Tabela1[[#This Row],[Peso]]/2,0))</f>
        <v>3</v>
      </c>
      <c r="Q10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9" s="33" t="s">
        <v>130</v>
      </c>
      <c r="S109" s="37" t="s">
        <v>128</v>
      </c>
    </row>
    <row r="110" spans="1:19" s="10" customFormat="1" ht="49.95" customHeight="1" x14ac:dyDescent="0.3">
      <c r="A110" s="3"/>
      <c r="B110" s="3"/>
      <c r="C110" s="3"/>
      <c r="D110" s="3"/>
      <c r="E110" s="3"/>
      <c r="F110" s="3"/>
      <c r="G110" s="3"/>
      <c r="H110" s="32" t="s">
        <v>48</v>
      </c>
      <c r="I110" s="33" t="s">
        <v>10</v>
      </c>
      <c r="J110" s="34" t="s">
        <v>440</v>
      </c>
      <c r="K110" s="35" t="s">
        <v>0</v>
      </c>
      <c r="L110" s="33"/>
      <c r="M110" s="33"/>
      <c r="N110" s="36"/>
      <c r="O110" s="33">
        <v>3</v>
      </c>
      <c r="P110" s="33">
        <f>IF(Tabela1[[#This Row],[Status]]="✔️",Tabela1[[#This Row],[Peso]],IF(Tabela1[[#This Row],[Status]]="✔️✔️",Tabela1[[#This Row],[Peso]]/2,0))</f>
        <v>3</v>
      </c>
      <c r="Q11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0" s="33" t="s">
        <v>130</v>
      </c>
      <c r="S110" s="37" t="s">
        <v>128</v>
      </c>
    </row>
    <row r="111" spans="1:19" s="10" customFormat="1" ht="49.95" customHeight="1" x14ac:dyDescent="0.3">
      <c r="A111" s="3"/>
      <c r="B111" s="3"/>
      <c r="C111" s="3"/>
      <c r="D111" s="3"/>
      <c r="E111" s="3"/>
      <c r="F111" s="3"/>
      <c r="G111" s="3"/>
      <c r="H111" s="32" t="s">
        <v>48</v>
      </c>
      <c r="I111" s="33" t="s">
        <v>12</v>
      </c>
      <c r="J111" s="34" t="s">
        <v>13</v>
      </c>
      <c r="K111" s="35" t="s">
        <v>0</v>
      </c>
      <c r="L111" s="33"/>
      <c r="M111" s="33"/>
      <c r="N111" s="36"/>
      <c r="O111" s="33">
        <v>2</v>
      </c>
      <c r="P111" s="33">
        <f>IF(Tabela1[[#This Row],[Status]]="✔️",Tabela1[[#This Row],[Peso]],IF(Tabela1[[#This Row],[Status]]="✔️✔️",Tabela1[[#This Row],[Peso]]/2,0))</f>
        <v>2</v>
      </c>
      <c r="Q11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11" s="33" t="s">
        <v>130</v>
      </c>
      <c r="S111" s="37" t="s">
        <v>128</v>
      </c>
    </row>
    <row r="112" spans="1:19" s="10" customFormat="1" ht="49.95" customHeight="1" x14ac:dyDescent="0.3">
      <c r="A112" s="3"/>
      <c r="B112" s="3"/>
      <c r="C112" s="3"/>
      <c r="D112" s="3"/>
      <c r="E112" s="3"/>
      <c r="F112" s="3"/>
      <c r="G112" s="3"/>
      <c r="H112" s="32" t="s">
        <v>48</v>
      </c>
      <c r="I112" s="33" t="s">
        <v>14</v>
      </c>
      <c r="J112" s="34" t="s">
        <v>15</v>
      </c>
      <c r="K112" s="35" t="s">
        <v>0</v>
      </c>
      <c r="L112" s="33"/>
      <c r="M112" s="33"/>
      <c r="N112" s="36"/>
      <c r="O112" s="33">
        <v>3</v>
      </c>
      <c r="P112" s="33">
        <f>IF(Tabela1[[#This Row],[Status]]="✔️",Tabela1[[#This Row],[Peso]],IF(Tabela1[[#This Row],[Status]]="✔️✔️",Tabela1[[#This Row],[Peso]]/2,0))</f>
        <v>3</v>
      </c>
      <c r="Q11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2" s="33" t="s">
        <v>130</v>
      </c>
      <c r="S112" s="37" t="s">
        <v>128</v>
      </c>
    </row>
    <row r="113" spans="1:19" s="10" customFormat="1" ht="49.95" customHeight="1" x14ac:dyDescent="0.3">
      <c r="A113" s="3"/>
      <c r="B113" s="3"/>
      <c r="C113" s="3"/>
      <c r="D113" s="3"/>
      <c r="E113" s="3"/>
      <c r="F113" s="3"/>
      <c r="G113" s="3"/>
      <c r="H113" s="32" t="s">
        <v>48</v>
      </c>
      <c r="I113" s="33" t="s">
        <v>14</v>
      </c>
      <c r="J113" s="34" t="s">
        <v>16</v>
      </c>
      <c r="K113" s="35" t="s">
        <v>0</v>
      </c>
      <c r="L113" s="33"/>
      <c r="M113" s="33"/>
      <c r="N113" s="36"/>
      <c r="O113" s="33">
        <v>1</v>
      </c>
      <c r="P113" s="33">
        <f>IF(Tabela1[[#This Row],[Status]]="✔️",Tabela1[[#This Row],[Peso]],IF(Tabela1[[#This Row],[Status]]="✔️✔️",Tabela1[[#This Row],[Peso]]/2,0))</f>
        <v>1</v>
      </c>
      <c r="Q11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13" s="33" t="s">
        <v>130</v>
      </c>
      <c r="S113" s="37" t="s">
        <v>128</v>
      </c>
    </row>
    <row r="114" spans="1:19" s="10" customFormat="1" ht="49.95" customHeight="1" x14ac:dyDescent="0.3">
      <c r="A114" s="3"/>
      <c r="B114" s="3"/>
      <c r="C114" s="3"/>
      <c r="D114" s="3"/>
      <c r="E114" s="3"/>
      <c r="F114" s="3"/>
      <c r="G114" s="3"/>
      <c r="H114" s="32" t="s">
        <v>48</v>
      </c>
      <c r="I114" s="33" t="s">
        <v>17</v>
      </c>
      <c r="J114" s="34" t="s">
        <v>18</v>
      </c>
      <c r="K114" s="35" t="s">
        <v>0</v>
      </c>
      <c r="L114" s="33"/>
      <c r="M114" s="33"/>
      <c r="N114" s="36"/>
      <c r="O114" s="33">
        <v>3</v>
      </c>
      <c r="P114" s="33">
        <f>IF(Tabela1[[#This Row],[Status]]="✔️",Tabela1[[#This Row],[Peso]],IF(Tabela1[[#This Row],[Status]]="✔️✔️",Tabela1[[#This Row],[Peso]]/2,0))</f>
        <v>3</v>
      </c>
      <c r="Q11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4" s="33" t="s">
        <v>130</v>
      </c>
      <c r="S114" s="37" t="s">
        <v>128</v>
      </c>
    </row>
    <row r="115" spans="1:19" s="10" customFormat="1" ht="49.95" customHeight="1" x14ac:dyDescent="0.3">
      <c r="A115" s="3"/>
      <c r="B115" s="3"/>
      <c r="C115" s="3"/>
      <c r="D115" s="3"/>
      <c r="E115" s="3"/>
      <c r="F115" s="3"/>
      <c r="G115" s="3"/>
      <c r="H115" s="32" t="s">
        <v>48</v>
      </c>
      <c r="I115" s="33" t="s">
        <v>17</v>
      </c>
      <c r="J115" s="34" t="s">
        <v>19</v>
      </c>
      <c r="K115" s="35" t="s">
        <v>290</v>
      </c>
      <c r="L115" s="33" t="s">
        <v>151</v>
      </c>
      <c r="M115" s="33">
        <v>5381</v>
      </c>
      <c r="N115" s="36"/>
      <c r="O115" s="33">
        <v>3</v>
      </c>
      <c r="P115" s="33">
        <f>IF(Tabela1[[#This Row],[Status]]="✔️",Tabela1[[#This Row],[Peso]],IF(Tabela1[[#This Row],[Status]]="✔️✔️",Tabela1[[#This Row],[Peso]]/2,0))</f>
        <v>0</v>
      </c>
      <c r="Q11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5" s="33" t="s">
        <v>130</v>
      </c>
      <c r="S115" s="37" t="s">
        <v>128</v>
      </c>
    </row>
    <row r="116" spans="1:19" s="10" customFormat="1" ht="49.95" customHeight="1" x14ac:dyDescent="0.3">
      <c r="A116" s="3"/>
      <c r="B116" s="3"/>
      <c r="C116" s="3"/>
      <c r="D116" s="3"/>
      <c r="E116" s="3"/>
      <c r="F116" s="3"/>
      <c r="G116" s="3"/>
      <c r="H116" s="32" t="s">
        <v>48</v>
      </c>
      <c r="I116" s="33" t="s">
        <v>20</v>
      </c>
      <c r="J116" s="34" t="s">
        <v>21</v>
      </c>
      <c r="K116" s="35" t="s">
        <v>0</v>
      </c>
      <c r="L116" s="33"/>
      <c r="M116" s="33"/>
      <c r="N116" s="36"/>
      <c r="O116" s="33">
        <v>3</v>
      </c>
      <c r="P116" s="33">
        <f>IF(Tabela1[[#This Row],[Status]]="✔️",Tabela1[[#This Row],[Peso]],IF(Tabela1[[#This Row],[Status]]="✔️✔️",Tabela1[[#This Row],[Peso]]/2,0))</f>
        <v>3</v>
      </c>
      <c r="Q11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6" s="33" t="s">
        <v>130</v>
      </c>
      <c r="S116" s="37" t="s">
        <v>128</v>
      </c>
    </row>
    <row r="117" spans="1:19" s="10" customFormat="1" ht="49.95" customHeight="1" x14ac:dyDescent="0.3">
      <c r="A117" s="3"/>
      <c r="B117" s="3"/>
      <c r="C117" s="3"/>
      <c r="D117" s="3"/>
      <c r="E117" s="3"/>
      <c r="F117" s="3"/>
      <c r="G117" s="3"/>
      <c r="H117" s="32" t="s">
        <v>48</v>
      </c>
      <c r="I117" s="33" t="s">
        <v>20</v>
      </c>
      <c r="J117" s="34" t="s">
        <v>441</v>
      </c>
      <c r="K117" s="35" t="s">
        <v>290</v>
      </c>
      <c r="L117" s="33" t="s">
        <v>152</v>
      </c>
      <c r="M117" s="33">
        <v>4665</v>
      </c>
      <c r="N117" s="36"/>
      <c r="O117" s="33">
        <v>1</v>
      </c>
      <c r="P117" s="33">
        <f>IF(Tabela1[[#This Row],[Status]]="✔️",Tabela1[[#This Row],[Peso]],IF(Tabela1[[#This Row],[Status]]="✔️✔️",Tabela1[[#This Row],[Peso]]/2,0))</f>
        <v>0</v>
      </c>
      <c r="Q11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17" s="33" t="s">
        <v>130</v>
      </c>
      <c r="S117" s="37" t="s">
        <v>128</v>
      </c>
    </row>
    <row r="118" spans="1:19" s="10" customFormat="1" ht="49.95" customHeight="1" x14ac:dyDescent="0.3">
      <c r="A118" s="3"/>
      <c r="B118" s="3"/>
      <c r="C118" s="3"/>
      <c r="D118" s="3"/>
      <c r="E118" s="3"/>
      <c r="F118" s="3"/>
      <c r="G118" s="3"/>
      <c r="H118" s="32" t="s">
        <v>48</v>
      </c>
      <c r="I118" s="33" t="s">
        <v>25</v>
      </c>
      <c r="J118" s="34" t="s">
        <v>28</v>
      </c>
      <c r="K118" s="35" t="s">
        <v>0</v>
      </c>
      <c r="L118" s="33"/>
      <c r="M118" s="33"/>
      <c r="N118" s="36"/>
      <c r="O118" s="33">
        <v>3</v>
      </c>
      <c r="P118" s="33">
        <f>IF(Tabela1[[#This Row],[Status]]="✔️",Tabela1[[#This Row],[Peso]],IF(Tabela1[[#This Row],[Status]]="✔️✔️",Tabela1[[#This Row],[Peso]]/2,0))</f>
        <v>3</v>
      </c>
      <c r="Q11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8" s="33" t="s">
        <v>130</v>
      </c>
      <c r="S118" s="37" t="s">
        <v>128</v>
      </c>
    </row>
    <row r="119" spans="1:19" ht="49.95" customHeight="1" x14ac:dyDescent="0.3">
      <c r="H119" s="32" t="s">
        <v>48</v>
      </c>
      <c r="I119" s="33" t="s">
        <v>25</v>
      </c>
      <c r="J119" s="34" t="s">
        <v>29</v>
      </c>
      <c r="K119" s="35" t="s">
        <v>0</v>
      </c>
      <c r="L119" s="33"/>
      <c r="M119" s="33"/>
      <c r="N119" s="36"/>
      <c r="O119" s="33">
        <v>3</v>
      </c>
      <c r="P119" s="33">
        <f>IF(Tabela1[[#This Row],[Status]]="✔️",Tabela1[[#This Row],[Peso]],IF(Tabela1[[#This Row],[Status]]="✔️✔️",Tabela1[[#This Row],[Peso]]/2,0))</f>
        <v>3</v>
      </c>
      <c r="Q11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9" s="33" t="s">
        <v>130</v>
      </c>
      <c r="S119" s="37" t="s">
        <v>128</v>
      </c>
    </row>
    <row r="120" spans="1:19" ht="49.95" customHeight="1" x14ac:dyDescent="0.3">
      <c r="H120" s="32" t="s">
        <v>48</v>
      </c>
      <c r="I120" s="33" t="s">
        <v>41</v>
      </c>
      <c r="J120" s="34" t="s">
        <v>442</v>
      </c>
      <c r="K120" s="35" t="s">
        <v>290</v>
      </c>
      <c r="L120" s="33" t="s">
        <v>153</v>
      </c>
      <c r="M120" s="33">
        <v>3184</v>
      </c>
      <c r="N120" s="36"/>
      <c r="O120" s="33">
        <v>3</v>
      </c>
      <c r="P120" s="33">
        <f>IF(Tabela1[[#This Row],[Status]]="✔️",Tabela1[[#This Row],[Peso]],IF(Tabela1[[#This Row],[Status]]="✔️✔️",Tabela1[[#This Row],[Peso]]/2,0))</f>
        <v>0</v>
      </c>
      <c r="Q12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0" s="33" t="s">
        <v>130</v>
      </c>
      <c r="S120" s="37" t="s">
        <v>128</v>
      </c>
    </row>
    <row r="121" spans="1:19" ht="49.95" customHeight="1" x14ac:dyDescent="0.3">
      <c r="H121" s="32" t="s">
        <v>48</v>
      </c>
      <c r="I121" s="33" t="s">
        <v>41</v>
      </c>
      <c r="J121" s="34" t="s">
        <v>443</v>
      </c>
      <c r="K121" s="35" t="s">
        <v>290</v>
      </c>
      <c r="L121" s="33" t="s">
        <v>153</v>
      </c>
      <c r="M121" s="33">
        <v>3184</v>
      </c>
      <c r="N121" s="36"/>
      <c r="O121" s="33">
        <v>2</v>
      </c>
      <c r="P121" s="33">
        <f>IF(Tabela1[[#This Row],[Status]]="✔️",Tabela1[[#This Row],[Peso]],IF(Tabela1[[#This Row],[Status]]="✔️✔️",Tabela1[[#This Row],[Peso]]/2,0))</f>
        <v>0</v>
      </c>
      <c r="Q12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21" s="33" t="s">
        <v>130</v>
      </c>
      <c r="S121" s="37" t="s">
        <v>128</v>
      </c>
    </row>
    <row r="122" spans="1:19" s="10" customFormat="1" ht="49.95" customHeight="1" x14ac:dyDescent="0.3">
      <c r="A122" s="3"/>
      <c r="B122" s="3"/>
      <c r="C122" s="3"/>
      <c r="D122" s="3"/>
      <c r="E122" s="3"/>
      <c r="F122" s="3"/>
      <c r="G122" s="3"/>
      <c r="H122" s="32" t="s">
        <v>48</v>
      </c>
      <c r="I122" s="33" t="s">
        <v>10</v>
      </c>
      <c r="J122" s="34" t="s">
        <v>444</v>
      </c>
      <c r="K122" s="35" t="s">
        <v>290</v>
      </c>
      <c r="L122" s="33" t="s">
        <v>296</v>
      </c>
      <c r="M122" s="33">
        <v>2663</v>
      </c>
      <c r="N122" s="36"/>
      <c r="O122" s="33">
        <v>3</v>
      </c>
      <c r="P122" s="33">
        <f>IF(Tabela1[[#This Row],[Status]]="✔️",Tabela1[[#This Row],[Peso]],IF(Tabela1[[#This Row],[Status]]="✔️✔️",Tabela1[[#This Row],[Peso]]/2,0))</f>
        <v>0</v>
      </c>
      <c r="Q12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2" s="33" t="s">
        <v>130</v>
      </c>
      <c r="S122" s="37" t="s">
        <v>128</v>
      </c>
    </row>
    <row r="123" spans="1:19" s="10" customFormat="1" ht="49.95" customHeight="1" x14ac:dyDescent="0.3">
      <c r="A123" s="3"/>
      <c r="B123" s="3"/>
      <c r="C123" s="3"/>
      <c r="D123" s="3"/>
      <c r="E123" s="3"/>
      <c r="F123" s="3"/>
      <c r="G123" s="3"/>
      <c r="H123" s="32" t="s">
        <v>9</v>
      </c>
      <c r="I123" s="33" t="s">
        <v>30</v>
      </c>
      <c r="J123" s="34" t="s">
        <v>438</v>
      </c>
      <c r="K123" s="35" t="s">
        <v>0</v>
      </c>
      <c r="L123" s="33"/>
      <c r="M123" s="33"/>
      <c r="N123" s="36">
        <v>45835</v>
      </c>
      <c r="O123" s="33">
        <v>3</v>
      </c>
      <c r="P123" s="33">
        <f>IF(Tabela1[[#This Row],[Status]]="✔️",Tabela1[[#This Row],[Peso]],IF(Tabela1[[#This Row],[Status]]="✔️✔️",Tabela1[[#This Row],[Peso]]/2,0))</f>
        <v>3</v>
      </c>
      <c r="Q12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3" s="33" t="s">
        <v>250</v>
      </c>
      <c r="S123" s="37" t="s">
        <v>249</v>
      </c>
    </row>
    <row r="124" spans="1:19" s="10" customFormat="1" ht="49.95" customHeight="1" x14ac:dyDescent="0.3">
      <c r="A124" s="3"/>
      <c r="B124" s="3"/>
      <c r="C124" s="3"/>
      <c r="D124" s="3"/>
      <c r="E124" s="3"/>
      <c r="F124" s="3"/>
      <c r="G124" s="3"/>
      <c r="H124" s="32" t="s">
        <v>9</v>
      </c>
      <c r="I124" s="33" t="s">
        <v>10</v>
      </c>
      <c r="J124" s="34" t="s">
        <v>439</v>
      </c>
      <c r="K124" s="35" t="s">
        <v>0</v>
      </c>
      <c r="L124" s="33"/>
      <c r="M124" s="33"/>
      <c r="N124" s="36">
        <v>45835</v>
      </c>
      <c r="O124" s="33">
        <v>3</v>
      </c>
      <c r="P124" s="33">
        <f>IF(Tabela1[[#This Row],[Status]]="✔️",Tabela1[[#This Row],[Peso]],IF(Tabela1[[#This Row],[Status]]="✔️✔️",Tabela1[[#This Row],[Peso]]/2,0))</f>
        <v>3</v>
      </c>
      <c r="Q12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4" s="33" t="s">
        <v>250</v>
      </c>
      <c r="S124" s="37" t="s">
        <v>249</v>
      </c>
    </row>
    <row r="125" spans="1:19" s="10" customFormat="1" ht="49.95" customHeight="1" x14ac:dyDescent="0.3">
      <c r="A125" s="3"/>
      <c r="B125" s="3"/>
      <c r="C125" s="3"/>
      <c r="D125" s="3"/>
      <c r="E125" s="3"/>
      <c r="F125" s="3"/>
      <c r="G125" s="3"/>
      <c r="H125" s="32" t="s">
        <v>9</v>
      </c>
      <c r="I125" s="33" t="s">
        <v>10</v>
      </c>
      <c r="J125" s="34" t="s">
        <v>440</v>
      </c>
      <c r="K125" s="35" t="s">
        <v>0</v>
      </c>
      <c r="L125" s="33"/>
      <c r="M125" s="33"/>
      <c r="N125" s="36">
        <v>45835</v>
      </c>
      <c r="O125" s="33">
        <v>3</v>
      </c>
      <c r="P125" s="33">
        <f>IF(Tabela1[[#This Row],[Status]]="✔️",Tabela1[[#This Row],[Peso]],IF(Tabela1[[#This Row],[Status]]="✔️✔️",Tabela1[[#This Row],[Peso]]/2,0))</f>
        <v>3</v>
      </c>
      <c r="Q12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5" s="33" t="s">
        <v>250</v>
      </c>
      <c r="S125" s="37" t="s">
        <v>249</v>
      </c>
    </row>
    <row r="126" spans="1:19" s="10" customFormat="1" ht="49.95" customHeight="1" x14ac:dyDescent="0.3">
      <c r="A126" s="3"/>
      <c r="B126" s="3"/>
      <c r="C126" s="3"/>
      <c r="D126" s="3"/>
      <c r="E126" s="3"/>
      <c r="F126" s="3"/>
      <c r="G126" s="3"/>
      <c r="H126" s="32" t="s">
        <v>9</v>
      </c>
      <c r="I126" s="33" t="s">
        <v>12</v>
      </c>
      <c r="J126" s="34" t="s">
        <v>13</v>
      </c>
      <c r="K126" s="35" t="s">
        <v>0</v>
      </c>
      <c r="L126" s="33"/>
      <c r="M126" s="33"/>
      <c r="N126" s="36">
        <v>45835</v>
      </c>
      <c r="O126" s="33">
        <v>2</v>
      </c>
      <c r="P126" s="33">
        <f>IF(Tabela1[[#This Row],[Status]]="✔️",Tabela1[[#This Row],[Peso]],IF(Tabela1[[#This Row],[Status]]="✔️✔️",Tabela1[[#This Row],[Peso]]/2,0))</f>
        <v>2</v>
      </c>
      <c r="Q12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26" s="33" t="s">
        <v>250</v>
      </c>
      <c r="S126" s="37" t="s">
        <v>249</v>
      </c>
    </row>
    <row r="127" spans="1:19" s="10" customFormat="1" ht="49.95" customHeight="1" x14ac:dyDescent="0.3">
      <c r="A127" s="3"/>
      <c r="B127" s="3"/>
      <c r="C127" s="3"/>
      <c r="D127" s="3"/>
      <c r="E127" s="3"/>
      <c r="F127" s="3"/>
      <c r="G127" s="3"/>
      <c r="H127" s="32" t="s">
        <v>9</v>
      </c>
      <c r="I127" s="33" t="s">
        <v>14</v>
      </c>
      <c r="J127" s="34" t="s">
        <v>15</v>
      </c>
      <c r="K127" s="35" t="s">
        <v>290</v>
      </c>
      <c r="L127" s="33" t="s">
        <v>252</v>
      </c>
      <c r="M127" s="33">
        <v>5988</v>
      </c>
      <c r="N127" s="36">
        <v>45835</v>
      </c>
      <c r="O127" s="33">
        <v>3</v>
      </c>
      <c r="P127" s="33">
        <f>IF(Tabela1[[#This Row],[Status]]="✔️",Tabela1[[#This Row],[Peso]],IF(Tabela1[[#This Row],[Status]]="✔️✔️",Tabela1[[#This Row],[Peso]]/2,0))</f>
        <v>0</v>
      </c>
      <c r="Q12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7" s="33" t="s">
        <v>250</v>
      </c>
      <c r="S127" s="37" t="s">
        <v>249</v>
      </c>
    </row>
    <row r="128" spans="1:19" s="10" customFormat="1" ht="49.95" customHeight="1" x14ac:dyDescent="0.3">
      <c r="A128" s="3"/>
      <c r="B128" s="3"/>
      <c r="C128" s="3"/>
      <c r="D128" s="3"/>
      <c r="E128" s="3"/>
      <c r="F128" s="3"/>
      <c r="G128" s="3"/>
      <c r="H128" s="32" t="s">
        <v>9</v>
      </c>
      <c r="I128" s="33" t="s">
        <v>14</v>
      </c>
      <c r="J128" s="34" t="s">
        <v>16</v>
      </c>
      <c r="K128" s="35" t="s">
        <v>290</v>
      </c>
      <c r="L128" s="33" t="s">
        <v>253</v>
      </c>
      <c r="M128" s="33">
        <v>5988</v>
      </c>
      <c r="N128" s="36">
        <v>45835</v>
      </c>
      <c r="O128" s="33">
        <v>1</v>
      </c>
      <c r="P128" s="33">
        <f>IF(Tabela1[[#This Row],[Status]]="✔️",Tabela1[[#This Row],[Peso]],IF(Tabela1[[#This Row],[Status]]="✔️✔️",Tabela1[[#This Row],[Peso]]/2,0))</f>
        <v>0</v>
      </c>
      <c r="Q12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8" s="33" t="s">
        <v>250</v>
      </c>
      <c r="S128" s="37" t="s">
        <v>249</v>
      </c>
    </row>
    <row r="129" spans="1:19" s="10" customFormat="1" ht="49.95" customHeight="1" x14ac:dyDescent="0.3">
      <c r="A129" s="3"/>
      <c r="B129" s="3"/>
      <c r="C129" s="3"/>
      <c r="D129" s="3"/>
      <c r="E129" s="3"/>
      <c r="F129" s="3"/>
      <c r="G129" s="3"/>
      <c r="H129" s="32" t="s">
        <v>9</v>
      </c>
      <c r="I129" s="33" t="s">
        <v>17</v>
      </c>
      <c r="J129" s="34" t="s">
        <v>18</v>
      </c>
      <c r="K129" s="35" t="s">
        <v>290</v>
      </c>
      <c r="L129" s="33" t="s">
        <v>254</v>
      </c>
      <c r="M129" s="33">
        <v>2180</v>
      </c>
      <c r="N129" s="36">
        <v>45835</v>
      </c>
      <c r="O129" s="33">
        <v>3</v>
      </c>
      <c r="P129" s="33">
        <f>IF(Tabela1[[#This Row],[Status]]="✔️",Tabela1[[#This Row],[Peso]],IF(Tabela1[[#This Row],[Status]]="✔️✔️",Tabela1[[#This Row],[Peso]]/2,0))</f>
        <v>0</v>
      </c>
      <c r="Q12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9" s="33" t="s">
        <v>250</v>
      </c>
      <c r="S129" s="37" t="s">
        <v>249</v>
      </c>
    </row>
    <row r="130" spans="1:19" s="10" customFormat="1" ht="49.95" customHeight="1" x14ac:dyDescent="0.3">
      <c r="A130" s="3"/>
      <c r="B130" s="3"/>
      <c r="C130" s="3"/>
      <c r="D130" s="3"/>
      <c r="E130" s="3"/>
      <c r="F130" s="3"/>
      <c r="G130" s="3"/>
      <c r="H130" s="32" t="s">
        <v>9</v>
      </c>
      <c r="I130" s="33" t="s">
        <v>17</v>
      </c>
      <c r="J130" s="34" t="s">
        <v>19</v>
      </c>
      <c r="K130" s="35" t="s">
        <v>0</v>
      </c>
      <c r="L130" s="33"/>
      <c r="M130" s="33"/>
      <c r="N130" s="36">
        <v>45835</v>
      </c>
      <c r="O130" s="33">
        <v>3</v>
      </c>
      <c r="P130" s="33">
        <f>IF(Tabela1[[#This Row],[Status]]="✔️",Tabela1[[#This Row],[Peso]],IF(Tabela1[[#This Row],[Status]]="✔️✔️",Tabela1[[#This Row],[Peso]]/2,0))</f>
        <v>3</v>
      </c>
      <c r="Q13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0" s="33" t="s">
        <v>250</v>
      </c>
      <c r="S130" s="37" t="s">
        <v>249</v>
      </c>
    </row>
    <row r="131" spans="1:19" s="10" customFormat="1" ht="49.95" customHeight="1" x14ac:dyDescent="0.3">
      <c r="A131" s="3"/>
      <c r="B131" s="3"/>
      <c r="C131" s="3"/>
      <c r="D131" s="3"/>
      <c r="E131" s="3"/>
      <c r="F131" s="3"/>
      <c r="G131" s="3"/>
      <c r="H131" s="32" t="s">
        <v>9</v>
      </c>
      <c r="I131" s="33" t="s">
        <v>20</v>
      </c>
      <c r="J131" s="34" t="s">
        <v>21</v>
      </c>
      <c r="K131" s="35" t="s">
        <v>290</v>
      </c>
      <c r="L131" s="33" t="s">
        <v>256</v>
      </c>
      <c r="M131" s="33">
        <v>4401</v>
      </c>
      <c r="N131" s="36">
        <v>45835</v>
      </c>
      <c r="O131" s="33">
        <v>3</v>
      </c>
      <c r="P131" s="33">
        <f>IF(Tabela1[[#This Row],[Status]]="✔️",Tabela1[[#This Row],[Peso]],IF(Tabela1[[#This Row],[Status]]="✔️✔️",Tabela1[[#This Row],[Peso]]/2,0))</f>
        <v>0</v>
      </c>
      <c r="Q13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1" s="33" t="s">
        <v>250</v>
      </c>
      <c r="S131" s="37" t="s">
        <v>249</v>
      </c>
    </row>
    <row r="132" spans="1:19" s="10" customFormat="1" ht="49.95" customHeight="1" x14ac:dyDescent="0.3">
      <c r="A132" s="3"/>
      <c r="B132" s="3"/>
      <c r="C132" s="3"/>
      <c r="D132" s="3"/>
      <c r="E132" s="3"/>
      <c r="F132" s="3"/>
      <c r="G132" s="3"/>
      <c r="H132" s="32" t="s">
        <v>9</v>
      </c>
      <c r="I132" s="33" t="s">
        <v>20</v>
      </c>
      <c r="J132" s="34" t="s">
        <v>441</v>
      </c>
      <c r="K132" s="35" t="s">
        <v>290</v>
      </c>
      <c r="L132" s="33" t="s">
        <v>261</v>
      </c>
      <c r="M132" s="33">
        <v>2202</v>
      </c>
      <c r="N132" s="36">
        <v>45835</v>
      </c>
      <c r="O132" s="33">
        <v>1</v>
      </c>
      <c r="P132" s="33">
        <f>IF(Tabela1[[#This Row],[Status]]="✔️",Tabela1[[#This Row],[Peso]],IF(Tabela1[[#This Row],[Status]]="✔️✔️",Tabela1[[#This Row],[Peso]]/2,0))</f>
        <v>0</v>
      </c>
      <c r="Q13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2" s="33" t="s">
        <v>250</v>
      </c>
      <c r="S132" s="37" t="s">
        <v>249</v>
      </c>
    </row>
    <row r="133" spans="1:19" s="10" customFormat="1" ht="49.95" customHeight="1" x14ac:dyDescent="0.3">
      <c r="A133" s="3"/>
      <c r="B133" s="3"/>
      <c r="C133" s="3"/>
      <c r="D133" s="3"/>
      <c r="E133" s="3"/>
      <c r="F133" s="3"/>
      <c r="G133" s="3"/>
      <c r="H133" s="32" t="s">
        <v>9</v>
      </c>
      <c r="I133" s="33" t="s">
        <v>22</v>
      </c>
      <c r="J133" s="34" t="s">
        <v>23</v>
      </c>
      <c r="K133" s="35" t="s">
        <v>1</v>
      </c>
      <c r="L133" s="33"/>
      <c r="M133" s="33"/>
      <c r="N133" s="36">
        <v>45835</v>
      </c>
      <c r="O133" s="33">
        <v>1</v>
      </c>
      <c r="P133" s="33">
        <f>IF(Tabela1[[#This Row],[Status]]="✔️",Tabela1[[#This Row],[Peso]],IF(Tabela1[[#This Row],[Status]]="✔️✔️",Tabela1[[#This Row],[Peso]]/2,0))</f>
        <v>0</v>
      </c>
      <c r="Q13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33" s="33" t="s">
        <v>250</v>
      </c>
      <c r="S133" s="37" t="s">
        <v>249</v>
      </c>
    </row>
    <row r="134" spans="1:19" s="10" customFormat="1" ht="49.95" customHeight="1" x14ac:dyDescent="0.3">
      <c r="A134" s="3"/>
      <c r="B134" s="3"/>
      <c r="C134" s="3"/>
      <c r="D134" s="3"/>
      <c r="E134" s="3"/>
      <c r="F134" s="3"/>
      <c r="G134" s="3"/>
      <c r="H134" s="32" t="s">
        <v>9</v>
      </c>
      <c r="I134" s="33" t="s">
        <v>22</v>
      </c>
      <c r="J134" s="34" t="s">
        <v>24</v>
      </c>
      <c r="K134" s="35" t="s">
        <v>1</v>
      </c>
      <c r="L134" s="33"/>
      <c r="M134" s="33"/>
      <c r="N134" s="36">
        <v>45835</v>
      </c>
      <c r="O134" s="33">
        <v>1</v>
      </c>
      <c r="P134" s="33">
        <f>IF(Tabela1[[#This Row],[Status]]="✔️",Tabela1[[#This Row],[Peso]],IF(Tabela1[[#This Row],[Status]]="✔️✔️",Tabela1[[#This Row],[Peso]]/2,0))</f>
        <v>0</v>
      </c>
      <c r="Q13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34" s="33" t="s">
        <v>250</v>
      </c>
      <c r="S134" s="37" t="s">
        <v>249</v>
      </c>
    </row>
    <row r="135" spans="1:19" s="10" customFormat="1" ht="49.95" customHeight="1" x14ac:dyDescent="0.3">
      <c r="A135" s="3"/>
      <c r="B135" s="3"/>
      <c r="C135" s="3"/>
      <c r="D135" s="3"/>
      <c r="E135" s="3"/>
      <c r="F135" s="3"/>
      <c r="G135" s="3"/>
      <c r="H135" s="32" t="s">
        <v>9</v>
      </c>
      <c r="I135" s="33" t="s">
        <v>25</v>
      </c>
      <c r="J135" s="34" t="s">
        <v>26</v>
      </c>
      <c r="K135" s="35" t="s">
        <v>0</v>
      </c>
      <c r="L135" s="33"/>
      <c r="M135" s="33"/>
      <c r="N135" s="36">
        <v>45835</v>
      </c>
      <c r="O135" s="33">
        <v>3</v>
      </c>
      <c r="P135" s="33">
        <f>IF(Tabela1[[#This Row],[Status]]="✔️",Tabela1[[#This Row],[Peso]],IF(Tabela1[[#This Row],[Status]]="✔️✔️",Tabela1[[#This Row],[Peso]]/2,0))</f>
        <v>3</v>
      </c>
      <c r="Q13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5" s="33" t="s">
        <v>250</v>
      </c>
      <c r="S135" s="37" t="s">
        <v>249</v>
      </c>
    </row>
    <row r="136" spans="1:19" ht="49.95" customHeight="1" x14ac:dyDescent="0.3">
      <c r="H136" s="32" t="s">
        <v>9</v>
      </c>
      <c r="I136" s="33" t="s">
        <v>25</v>
      </c>
      <c r="J136" s="34" t="s">
        <v>27</v>
      </c>
      <c r="K136" s="35" t="s">
        <v>0</v>
      </c>
      <c r="L136" s="33"/>
      <c r="M136" s="33"/>
      <c r="N136" s="36">
        <v>45835</v>
      </c>
      <c r="O136" s="33">
        <v>3</v>
      </c>
      <c r="P136" s="33">
        <f>IF(Tabela1[[#This Row],[Status]]="✔️",Tabela1[[#This Row],[Peso]],IF(Tabela1[[#This Row],[Status]]="✔️✔️",Tabela1[[#This Row],[Peso]]/2,0))</f>
        <v>3</v>
      </c>
      <c r="Q13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6" s="33" t="s">
        <v>250</v>
      </c>
      <c r="S136" s="37" t="s">
        <v>249</v>
      </c>
    </row>
    <row r="137" spans="1:19" ht="49.95" customHeight="1" x14ac:dyDescent="0.3">
      <c r="H137" s="32" t="s">
        <v>9</v>
      </c>
      <c r="I137" s="33" t="s">
        <v>25</v>
      </c>
      <c r="J137" s="34" t="s">
        <v>28</v>
      </c>
      <c r="K137" s="35" t="s">
        <v>290</v>
      </c>
      <c r="L137" s="33" t="s">
        <v>255</v>
      </c>
      <c r="M137" s="33">
        <v>4916</v>
      </c>
      <c r="N137" s="36">
        <v>45835</v>
      </c>
      <c r="O137" s="33">
        <v>3</v>
      </c>
      <c r="P137" s="33">
        <f>IF(Tabela1[[#This Row],[Status]]="✔️",Tabela1[[#This Row],[Peso]],IF(Tabela1[[#This Row],[Status]]="✔️✔️",Tabela1[[#This Row],[Peso]]/2,0))</f>
        <v>0</v>
      </c>
      <c r="Q13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7" s="33" t="s">
        <v>250</v>
      </c>
      <c r="S137" s="37" t="s">
        <v>249</v>
      </c>
    </row>
    <row r="138" spans="1:19" ht="49.95" customHeight="1" x14ac:dyDescent="0.3">
      <c r="H138" s="32" t="s">
        <v>9</v>
      </c>
      <c r="I138" s="33" t="s">
        <v>25</v>
      </c>
      <c r="J138" s="34" t="s">
        <v>29</v>
      </c>
      <c r="K138" s="35" t="s">
        <v>0</v>
      </c>
      <c r="L138" s="33"/>
      <c r="M138" s="33"/>
      <c r="N138" s="36">
        <v>45835</v>
      </c>
      <c r="O138" s="33">
        <v>3</v>
      </c>
      <c r="P138" s="33">
        <f>IF(Tabela1[[#This Row],[Status]]="✔️",Tabela1[[#This Row],[Peso]],IF(Tabela1[[#This Row],[Status]]="✔️✔️",Tabela1[[#This Row],[Peso]]/2,0))</f>
        <v>3</v>
      </c>
      <c r="Q13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8" s="33" t="s">
        <v>250</v>
      </c>
      <c r="S138" s="37" t="s">
        <v>249</v>
      </c>
    </row>
    <row r="139" spans="1:19" s="10" customFormat="1" ht="49.95" customHeight="1" x14ac:dyDescent="0.3">
      <c r="A139" s="3"/>
      <c r="B139" s="3"/>
      <c r="C139" s="3"/>
      <c r="D139" s="3"/>
      <c r="E139" s="3"/>
      <c r="F139" s="3"/>
      <c r="G139" s="3"/>
      <c r="H139" s="32" t="s">
        <v>9</v>
      </c>
      <c r="I139" s="33" t="s">
        <v>31</v>
      </c>
      <c r="J139" s="34" t="s">
        <v>32</v>
      </c>
      <c r="K139" s="35" t="s">
        <v>1</v>
      </c>
      <c r="L139" s="33"/>
      <c r="M139" s="33"/>
      <c r="N139" s="36">
        <v>45835</v>
      </c>
      <c r="O139" s="33">
        <v>3</v>
      </c>
      <c r="P139" s="33">
        <f>IF(Tabela1[[#This Row],[Status]]="✔️",Tabela1[[#This Row],[Peso]],IF(Tabela1[[#This Row],[Status]]="✔️✔️",Tabela1[[#This Row],[Peso]]/2,0))</f>
        <v>0</v>
      </c>
      <c r="Q13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39" s="33" t="s">
        <v>250</v>
      </c>
      <c r="S139" s="37" t="s">
        <v>249</v>
      </c>
    </row>
    <row r="140" spans="1:19" s="10" customFormat="1" ht="49.95" customHeight="1" x14ac:dyDescent="0.3">
      <c r="A140" s="3"/>
      <c r="B140" s="3"/>
      <c r="C140" s="3"/>
      <c r="D140" s="3"/>
      <c r="E140" s="3"/>
      <c r="F140" s="3"/>
      <c r="G140" s="3"/>
      <c r="H140" s="32" t="s">
        <v>9</v>
      </c>
      <c r="I140" s="33" t="s">
        <v>33</v>
      </c>
      <c r="J140" s="34" t="s">
        <v>34</v>
      </c>
      <c r="K140" s="35" t="s">
        <v>0</v>
      </c>
      <c r="L140" s="33"/>
      <c r="M140" s="33"/>
      <c r="N140" s="36">
        <v>45835</v>
      </c>
      <c r="O140" s="33">
        <v>3</v>
      </c>
      <c r="P140" s="33">
        <f>IF(Tabela1[[#This Row],[Status]]="✔️",Tabela1[[#This Row],[Peso]],IF(Tabela1[[#This Row],[Status]]="✔️✔️",Tabela1[[#This Row],[Peso]]/2,0))</f>
        <v>3</v>
      </c>
      <c r="Q14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0" s="33" t="s">
        <v>250</v>
      </c>
      <c r="S140" s="37" t="s">
        <v>249</v>
      </c>
    </row>
    <row r="141" spans="1:19" s="10" customFormat="1" ht="49.95" customHeight="1" x14ac:dyDescent="0.3">
      <c r="A141" s="3"/>
      <c r="B141" s="3"/>
      <c r="C141" s="3"/>
      <c r="D141" s="3"/>
      <c r="E141" s="3"/>
      <c r="F141" s="3"/>
      <c r="G141" s="3"/>
      <c r="H141" s="32" t="s">
        <v>9</v>
      </c>
      <c r="I141" s="33" t="s">
        <v>33</v>
      </c>
      <c r="J141" s="34" t="s">
        <v>35</v>
      </c>
      <c r="K141" s="35" t="s">
        <v>0</v>
      </c>
      <c r="L141" s="38"/>
      <c r="M141" s="33"/>
      <c r="N141" s="36">
        <v>45835</v>
      </c>
      <c r="O141" s="33">
        <v>3</v>
      </c>
      <c r="P141" s="33">
        <f>IF(Tabela1[[#This Row],[Status]]="✔️",Tabela1[[#This Row],[Peso]],IF(Tabela1[[#This Row],[Status]]="✔️✔️",Tabela1[[#This Row],[Peso]]/2,0))</f>
        <v>3</v>
      </c>
      <c r="Q14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1" s="33" t="s">
        <v>250</v>
      </c>
      <c r="S141" s="37" t="s">
        <v>249</v>
      </c>
    </row>
    <row r="142" spans="1:19" s="10" customFormat="1" ht="49.95" customHeight="1" x14ac:dyDescent="0.3">
      <c r="A142" s="3"/>
      <c r="B142" s="3"/>
      <c r="C142" s="3"/>
      <c r="D142" s="3"/>
      <c r="E142" s="3"/>
      <c r="F142" s="3"/>
      <c r="G142" s="3"/>
      <c r="H142" s="32" t="s">
        <v>9</v>
      </c>
      <c r="I142" s="33" t="s">
        <v>33</v>
      </c>
      <c r="J142" s="34" t="s">
        <v>446</v>
      </c>
      <c r="K142" s="35" t="s">
        <v>290</v>
      </c>
      <c r="L142" s="33" t="s">
        <v>258</v>
      </c>
      <c r="M142" s="33">
        <v>9561</v>
      </c>
      <c r="N142" s="36">
        <v>45835</v>
      </c>
      <c r="O142" s="33">
        <v>3</v>
      </c>
      <c r="P142" s="33">
        <f>IF(Tabela1[[#This Row],[Status]]="✔️",Tabela1[[#This Row],[Peso]],IF(Tabela1[[#This Row],[Status]]="✔️✔️",Tabela1[[#This Row],[Peso]]/2,0))</f>
        <v>0</v>
      </c>
      <c r="Q14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2" s="33" t="s">
        <v>250</v>
      </c>
      <c r="S142" s="37" t="s">
        <v>249</v>
      </c>
    </row>
    <row r="143" spans="1:19" s="10" customFormat="1" ht="49.95" customHeight="1" x14ac:dyDescent="0.3">
      <c r="A143" s="3"/>
      <c r="B143" s="3"/>
      <c r="C143" s="3"/>
      <c r="D143" s="3"/>
      <c r="E143" s="3"/>
      <c r="F143" s="3"/>
      <c r="G143" s="3"/>
      <c r="H143" s="32" t="s">
        <v>9</v>
      </c>
      <c r="I143" s="33" t="s">
        <v>33</v>
      </c>
      <c r="J143" s="34" t="s">
        <v>36</v>
      </c>
      <c r="K143" s="35" t="s">
        <v>290</v>
      </c>
      <c r="L143" s="33" t="s">
        <v>259</v>
      </c>
      <c r="M143" s="33">
        <v>2675</v>
      </c>
      <c r="N143" s="36">
        <v>45835</v>
      </c>
      <c r="O143" s="33">
        <v>3</v>
      </c>
      <c r="P143" s="33">
        <f>IF(Tabela1[[#This Row],[Status]]="✔️",Tabela1[[#This Row],[Peso]],IF(Tabela1[[#This Row],[Status]]="✔️✔️",Tabela1[[#This Row],[Peso]]/2,0))</f>
        <v>0</v>
      </c>
      <c r="Q14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3" s="33" t="s">
        <v>250</v>
      </c>
      <c r="S143" s="37" t="s">
        <v>249</v>
      </c>
    </row>
    <row r="144" spans="1:19" s="10" customFormat="1" ht="49.95" customHeight="1" x14ac:dyDescent="0.3">
      <c r="A144" s="3"/>
      <c r="B144" s="3"/>
      <c r="C144" s="3"/>
      <c r="D144" s="3"/>
      <c r="E144" s="3"/>
      <c r="F144" s="3"/>
      <c r="G144" s="3"/>
      <c r="H144" s="32" t="s">
        <v>9</v>
      </c>
      <c r="I144" s="33" t="s">
        <v>33</v>
      </c>
      <c r="J144" s="34" t="s">
        <v>37</v>
      </c>
      <c r="K144" s="35" t="s">
        <v>0</v>
      </c>
      <c r="L144" s="33"/>
      <c r="M144" s="33"/>
      <c r="N144" s="36">
        <v>45835</v>
      </c>
      <c r="O144" s="33">
        <v>3</v>
      </c>
      <c r="P144" s="33">
        <f>IF(Tabela1[[#This Row],[Status]]="✔️",Tabela1[[#This Row],[Peso]],IF(Tabela1[[#This Row],[Status]]="✔️✔️",Tabela1[[#This Row],[Peso]]/2,0))</f>
        <v>3</v>
      </c>
      <c r="Q14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4" s="33" t="s">
        <v>250</v>
      </c>
      <c r="S144" s="37" t="s">
        <v>249</v>
      </c>
    </row>
    <row r="145" spans="1:19" s="10" customFormat="1" ht="49.95" customHeight="1" x14ac:dyDescent="0.3">
      <c r="A145" s="3"/>
      <c r="B145" s="3"/>
      <c r="C145" s="3"/>
      <c r="D145" s="3"/>
      <c r="E145" s="3"/>
      <c r="F145" s="3"/>
      <c r="G145" s="3"/>
      <c r="H145" s="32" t="s">
        <v>9</v>
      </c>
      <c r="I145" s="33" t="s">
        <v>38</v>
      </c>
      <c r="J145" s="34" t="s">
        <v>39</v>
      </c>
      <c r="K145" s="35" t="s">
        <v>290</v>
      </c>
      <c r="L145" s="33" t="s">
        <v>260</v>
      </c>
      <c r="M145" s="33">
        <v>2675</v>
      </c>
      <c r="N145" s="36">
        <v>45835</v>
      </c>
      <c r="O145" s="33">
        <v>3</v>
      </c>
      <c r="P145" s="33">
        <f>IF(Tabela1[[#This Row],[Status]]="✔️",Tabela1[[#This Row],[Peso]],IF(Tabela1[[#This Row],[Status]]="✔️✔️",Tabela1[[#This Row],[Peso]]/2,0))</f>
        <v>0</v>
      </c>
      <c r="Q14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5" s="33" t="s">
        <v>250</v>
      </c>
      <c r="S145" s="37" t="s">
        <v>249</v>
      </c>
    </row>
    <row r="146" spans="1:19" s="10" customFormat="1" ht="49.95" customHeight="1" x14ac:dyDescent="0.3">
      <c r="A146" s="3"/>
      <c r="B146" s="3"/>
      <c r="C146" s="3"/>
      <c r="D146" s="3"/>
      <c r="E146" s="3"/>
      <c r="F146" s="3"/>
      <c r="G146" s="3"/>
      <c r="H146" s="32" t="s">
        <v>9</v>
      </c>
      <c r="I146" s="33" t="s">
        <v>38</v>
      </c>
      <c r="J146" s="34" t="s">
        <v>40</v>
      </c>
      <c r="K146" s="35" t="s">
        <v>290</v>
      </c>
      <c r="L146" s="33" t="s">
        <v>260</v>
      </c>
      <c r="M146" s="33">
        <v>2675</v>
      </c>
      <c r="N146" s="36">
        <v>45835</v>
      </c>
      <c r="O146" s="33">
        <v>3</v>
      </c>
      <c r="P146" s="33">
        <f>IF(Tabela1[[#This Row],[Status]]="✔️",Tabela1[[#This Row],[Peso]],IF(Tabela1[[#This Row],[Status]]="✔️✔️",Tabela1[[#This Row],[Peso]]/2,0))</f>
        <v>0</v>
      </c>
      <c r="Q14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6" s="33" t="s">
        <v>250</v>
      </c>
      <c r="S146" s="37" t="s">
        <v>249</v>
      </c>
    </row>
    <row r="147" spans="1:19" s="10" customFormat="1" ht="49.95" customHeight="1" x14ac:dyDescent="0.3">
      <c r="A147" s="3"/>
      <c r="B147" s="3"/>
      <c r="C147" s="3"/>
      <c r="D147" s="3"/>
      <c r="E147" s="3"/>
      <c r="F147" s="3"/>
      <c r="G147" s="3"/>
      <c r="H147" s="32" t="s">
        <v>9</v>
      </c>
      <c r="I147" s="33" t="s">
        <v>41</v>
      </c>
      <c r="J147" s="34" t="s">
        <v>442</v>
      </c>
      <c r="K147" s="35" t="s">
        <v>1</v>
      </c>
      <c r="L147" s="33" t="s">
        <v>257</v>
      </c>
      <c r="M147" s="33"/>
      <c r="N147" s="36">
        <v>45835</v>
      </c>
      <c r="O147" s="33">
        <v>3</v>
      </c>
      <c r="P147" s="33">
        <f>IF(Tabela1[[#This Row],[Status]]="✔️",Tabela1[[#This Row],[Peso]],IF(Tabela1[[#This Row],[Status]]="✔️✔️",Tabela1[[#This Row],[Peso]]/2,0))</f>
        <v>0</v>
      </c>
      <c r="Q14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7" s="33" t="s">
        <v>250</v>
      </c>
      <c r="S147" s="37" t="s">
        <v>249</v>
      </c>
    </row>
    <row r="148" spans="1:19" s="10" customFormat="1" ht="49.95" customHeight="1" x14ac:dyDescent="0.3">
      <c r="A148" s="3"/>
      <c r="B148" s="3"/>
      <c r="C148" s="3"/>
      <c r="D148" s="3"/>
      <c r="E148" s="3"/>
      <c r="F148" s="3"/>
      <c r="G148" s="3"/>
      <c r="H148" s="32" t="s">
        <v>9</v>
      </c>
      <c r="I148" s="33" t="s">
        <v>41</v>
      </c>
      <c r="J148" s="34" t="s">
        <v>443</v>
      </c>
      <c r="K148" s="35" t="s">
        <v>1</v>
      </c>
      <c r="L148" s="33" t="s">
        <v>257</v>
      </c>
      <c r="M148" s="33"/>
      <c r="N148" s="36">
        <v>45835</v>
      </c>
      <c r="O148" s="33">
        <v>2</v>
      </c>
      <c r="P148" s="33">
        <f>IF(Tabela1[[#This Row],[Status]]="✔️",Tabela1[[#This Row],[Peso]],IF(Tabela1[[#This Row],[Status]]="✔️✔️",Tabela1[[#This Row],[Peso]]/2,0))</f>
        <v>0</v>
      </c>
      <c r="Q14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8" s="33" t="s">
        <v>250</v>
      </c>
      <c r="S148" s="37" t="s">
        <v>249</v>
      </c>
    </row>
    <row r="149" spans="1:19" s="10" customFormat="1" ht="49.95" customHeight="1" x14ac:dyDescent="0.3">
      <c r="A149" s="3"/>
      <c r="B149" s="3"/>
      <c r="C149" s="3"/>
      <c r="D149" s="3"/>
      <c r="E149" s="3"/>
      <c r="F149" s="3"/>
      <c r="G149" s="3"/>
      <c r="H149" s="32" t="s">
        <v>9</v>
      </c>
      <c r="I149" s="33" t="s">
        <v>10</v>
      </c>
      <c r="J149" s="34" t="s">
        <v>444</v>
      </c>
      <c r="K149" s="35" t="s">
        <v>1</v>
      </c>
      <c r="L149" s="33" t="s">
        <v>262</v>
      </c>
      <c r="M149" s="33"/>
      <c r="N149" s="36">
        <v>45835</v>
      </c>
      <c r="O149" s="33">
        <v>3</v>
      </c>
      <c r="P149" s="33">
        <f>IF(Tabela1[[#This Row],[Status]]="✔️",Tabela1[[#This Row],[Peso]],IF(Tabela1[[#This Row],[Status]]="✔️✔️",Tabela1[[#This Row],[Peso]]/2,0))</f>
        <v>0</v>
      </c>
      <c r="Q14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9" s="33" t="s">
        <v>250</v>
      </c>
      <c r="S149" s="37" t="s">
        <v>249</v>
      </c>
    </row>
    <row r="150" spans="1:19" s="10" customFormat="1" ht="49.95" customHeight="1" x14ac:dyDescent="0.3">
      <c r="A150" s="3"/>
      <c r="B150" s="3"/>
      <c r="C150" s="3"/>
      <c r="D150" s="3"/>
      <c r="E150" s="3"/>
      <c r="F150" s="3"/>
      <c r="G150" s="3"/>
      <c r="H150" s="32" t="s">
        <v>9</v>
      </c>
      <c r="I150" s="33" t="s">
        <v>10</v>
      </c>
      <c r="J150" s="34" t="s">
        <v>11</v>
      </c>
      <c r="K150" s="35" t="s">
        <v>0</v>
      </c>
      <c r="L150" s="33"/>
      <c r="M150" s="33"/>
      <c r="N150" s="36"/>
      <c r="O150" s="33">
        <v>3</v>
      </c>
      <c r="P150" s="33">
        <f>IF(Tabela1[[#This Row],[Status]]="✔️",Tabela1[[#This Row],[Peso]],IF(Tabela1[[#This Row],[Status]]="✔️✔️",Tabela1[[#This Row],[Peso]]/2,0))</f>
        <v>3</v>
      </c>
      <c r="Q15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0" s="33" t="s">
        <v>127</v>
      </c>
      <c r="S150" s="37" t="s">
        <v>128</v>
      </c>
    </row>
    <row r="151" spans="1:19" s="10" customFormat="1" ht="49.95" customHeight="1" x14ac:dyDescent="0.3">
      <c r="A151" s="3"/>
      <c r="B151" s="3"/>
      <c r="C151" s="3"/>
      <c r="D151" s="3"/>
      <c r="E151" s="3"/>
      <c r="F151" s="3"/>
      <c r="G151" s="3"/>
      <c r="H151" s="32" t="s">
        <v>9</v>
      </c>
      <c r="I151" s="33" t="s">
        <v>10</v>
      </c>
      <c r="J151" s="34" t="s">
        <v>447</v>
      </c>
      <c r="K151" s="35" t="s">
        <v>1</v>
      </c>
      <c r="L151" s="33" t="s">
        <v>73</v>
      </c>
      <c r="M151" s="33"/>
      <c r="N151" s="36"/>
      <c r="O151" s="33">
        <v>3</v>
      </c>
      <c r="P151" s="33">
        <f>IF(Tabela1[[#This Row],[Status]]="✔️",Tabela1[[#This Row],[Peso]],IF(Tabela1[[#This Row],[Status]]="✔️✔️",Tabela1[[#This Row],[Peso]]/2,0))</f>
        <v>0</v>
      </c>
      <c r="Q15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51" s="33" t="s">
        <v>127</v>
      </c>
      <c r="S151" s="37" t="s">
        <v>128</v>
      </c>
    </row>
    <row r="152" spans="1:19" s="10" customFormat="1" ht="49.95" customHeight="1" x14ac:dyDescent="0.3">
      <c r="A152" s="3"/>
      <c r="B152" s="3"/>
      <c r="C152" s="3"/>
      <c r="D152" s="3"/>
      <c r="E152" s="3"/>
      <c r="F152" s="3"/>
      <c r="G152" s="3"/>
      <c r="H152" s="32" t="s">
        <v>9</v>
      </c>
      <c r="I152" s="33" t="s">
        <v>10</v>
      </c>
      <c r="J152" s="34" t="s">
        <v>440</v>
      </c>
      <c r="K152" s="35" t="s">
        <v>0</v>
      </c>
      <c r="L152" s="33"/>
      <c r="M152" s="33"/>
      <c r="N152" s="36"/>
      <c r="O152" s="33">
        <v>3</v>
      </c>
      <c r="P152" s="33">
        <f>IF(Tabela1[[#This Row],[Status]]="✔️",Tabela1[[#This Row],[Peso]],IF(Tabela1[[#This Row],[Status]]="✔️✔️",Tabela1[[#This Row],[Peso]]/2,0))</f>
        <v>3</v>
      </c>
      <c r="Q15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2" s="33" t="s">
        <v>127</v>
      </c>
      <c r="S152" s="37" t="s">
        <v>128</v>
      </c>
    </row>
    <row r="153" spans="1:19" ht="49.95" customHeight="1" x14ac:dyDescent="0.3">
      <c r="H153" s="32" t="s">
        <v>9</v>
      </c>
      <c r="I153" s="33" t="s">
        <v>30</v>
      </c>
      <c r="J153" s="34" t="s">
        <v>438</v>
      </c>
      <c r="K153" s="35" t="s">
        <v>0</v>
      </c>
      <c r="L153" s="33"/>
      <c r="M153" s="33"/>
      <c r="N153" s="36"/>
      <c r="O153" s="33">
        <v>3</v>
      </c>
      <c r="P153" s="33">
        <f>IF(Tabela1[[#This Row],[Status]]="✔️",Tabela1[[#This Row],[Peso]],IF(Tabela1[[#This Row],[Status]]="✔️✔️",Tabela1[[#This Row],[Peso]]/2,0))</f>
        <v>3</v>
      </c>
      <c r="Q15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3" s="33" t="s">
        <v>127</v>
      </c>
      <c r="S153" s="37" t="s">
        <v>128</v>
      </c>
    </row>
    <row r="154" spans="1:19" ht="49.95" customHeight="1" x14ac:dyDescent="0.3">
      <c r="H154" s="32" t="s">
        <v>9</v>
      </c>
      <c r="I154" s="33" t="s">
        <v>12</v>
      </c>
      <c r="J154" s="34" t="s">
        <v>13</v>
      </c>
      <c r="K154" s="35" t="s">
        <v>0</v>
      </c>
      <c r="L154" s="33"/>
      <c r="M154" s="33"/>
      <c r="N154" s="36"/>
      <c r="O154" s="33">
        <v>2</v>
      </c>
      <c r="P154" s="33">
        <f>IF(Tabela1[[#This Row],[Status]]="✔️",Tabela1[[#This Row],[Peso]],IF(Tabela1[[#This Row],[Status]]="✔️✔️",Tabela1[[#This Row],[Peso]]/2,0))</f>
        <v>2</v>
      </c>
      <c r="Q15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54" s="33" t="s">
        <v>127</v>
      </c>
      <c r="S154" s="37" t="s">
        <v>128</v>
      </c>
    </row>
    <row r="155" spans="1:19" ht="49.95" customHeight="1" x14ac:dyDescent="0.3">
      <c r="H155" s="32" t="s">
        <v>9</v>
      </c>
      <c r="I155" s="33" t="s">
        <v>14</v>
      </c>
      <c r="J155" s="34" t="s">
        <v>15</v>
      </c>
      <c r="K155" s="35" t="s">
        <v>0</v>
      </c>
      <c r="L155" s="33"/>
      <c r="M155" s="33"/>
      <c r="N155" s="36"/>
      <c r="O155" s="33">
        <v>3</v>
      </c>
      <c r="P155" s="33">
        <f>IF(Tabela1[[#This Row],[Status]]="✔️",Tabela1[[#This Row],[Peso]],IF(Tabela1[[#This Row],[Status]]="✔️✔️",Tabela1[[#This Row],[Peso]]/2,0))</f>
        <v>3</v>
      </c>
      <c r="Q15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5" s="33" t="s">
        <v>127</v>
      </c>
      <c r="S155" s="37" t="s">
        <v>128</v>
      </c>
    </row>
    <row r="156" spans="1:19" s="10" customFormat="1" ht="49.95" customHeight="1" x14ac:dyDescent="0.3">
      <c r="A156" s="3"/>
      <c r="B156" s="3"/>
      <c r="C156" s="3"/>
      <c r="D156" s="3"/>
      <c r="E156" s="3"/>
      <c r="F156" s="3"/>
      <c r="G156" s="3"/>
      <c r="H156" s="32" t="s">
        <v>9</v>
      </c>
      <c r="I156" s="33" t="s">
        <v>14</v>
      </c>
      <c r="J156" s="34" t="s">
        <v>16</v>
      </c>
      <c r="K156" s="35" t="s">
        <v>0</v>
      </c>
      <c r="L156" s="33"/>
      <c r="M156" s="33"/>
      <c r="N156" s="36"/>
      <c r="O156" s="33">
        <v>1</v>
      </c>
      <c r="P156" s="33">
        <f>IF(Tabela1[[#This Row],[Status]]="✔️",Tabela1[[#This Row],[Peso]],IF(Tabela1[[#This Row],[Status]]="✔️✔️",Tabela1[[#This Row],[Peso]]/2,0))</f>
        <v>1</v>
      </c>
      <c r="Q15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56" s="33" t="s">
        <v>127</v>
      </c>
      <c r="S156" s="37" t="s">
        <v>128</v>
      </c>
    </row>
    <row r="157" spans="1:19" s="10" customFormat="1" ht="49.95" customHeight="1" x14ac:dyDescent="0.3">
      <c r="A157" s="3"/>
      <c r="B157" s="3"/>
      <c r="C157" s="3"/>
      <c r="D157" s="3"/>
      <c r="E157" s="3"/>
      <c r="F157" s="3"/>
      <c r="G157" s="3"/>
      <c r="H157" s="32" t="s">
        <v>9</v>
      </c>
      <c r="I157" s="33" t="s">
        <v>17</v>
      </c>
      <c r="J157" s="34" t="s">
        <v>18</v>
      </c>
      <c r="K157" s="35" t="s">
        <v>0</v>
      </c>
      <c r="L157" s="33"/>
      <c r="M157" s="33"/>
      <c r="N157" s="36"/>
      <c r="O157" s="33">
        <v>3</v>
      </c>
      <c r="P157" s="33">
        <f>IF(Tabela1[[#This Row],[Status]]="✔️",Tabela1[[#This Row],[Peso]],IF(Tabela1[[#This Row],[Status]]="✔️✔️",Tabela1[[#This Row],[Peso]]/2,0))</f>
        <v>3</v>
      </c>
      <c r="Q15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7" s="33" t="s">
        <v>127</v>
      </c>
      <c r="S157" s="37" t="s">
        <v>128</v>
      </c>
    </row>
    <row r="158" spans="1:19" s="10" customFormat="1" ht="49.95" customHeight="1" x14ac:dyDescent="0.3">
      <c r="A158" s="3"/>
      <c r="B158" s="3"/>
      <c r="C158" s="3"/>
      <c r="D158" s="3"/>
      <c r="E158" s="3"/>
      <c r="F158" s="3"/>
      <c r="G158" s="3"/>
      <c r="H158" s="32" t="s">
        <v>9</v>
      </c>
      <c r="I158" s="33" t="s">
        <v>17</v>
      </c>
      <c r="J158" s="34" t="s">
        <v>19</v>
      </c>
      <c r="K158" s="35" t="s">
        <v>0</v>
      </c>
      <c r="L158" s="33"/>
      <c r="M158" s="33"/>
      <c r="N158" s="36"/>
      <c r="O158" s="33">
        <v>3</v>
      </c>
      <c r="P158" s="33">
        <f>IF(Tabela1[[#This Row],[Status]]="✔️",Tabela1[[#This Row],[Peso]],IF(Tabela1[[#This Row],[Status]]="✔️✔️",Tabela1[[#This Row],[Peso]]/2,0))</f>
        <v>3</v>
      </c>
      <c r="Q15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8" s="33" t="s">
        <v>127</v>
      </c>
      <c r="S158" s="37" t="s">
        <v>128</v>
      </c>
    </row>
    <row r="159" spans="1:19" s="10" customFormat="1" ht="49.95" customHeight="1" x14ac:dyDescent="0.3">
      <c r="A159" s="3"/>
      <c r="B159" s="3"/>
      <c r="C159" s="3"/>
      <c r="D159" s="3"/>
      <c r="E159" s="3"/>
      <c r="F159" s="3"/>
      <c r="G159" s="3"/>
      <c r="H159" s="32" t="s">
        <v>9</v>
      </c>
      <c r="I159" s="33" t="s">
        <v>20</v>
      </c>
      <c r="J159" s="34" t="s">
        <v>21</v>
      </c>
      <c r="K159" s="35" t="s">
        <v>290</v>
      </c>
      <c r="L159" s="33" t="s">
        <v>81</v>
      </c>
      <c r="M159" s="33">
        <v>6405</v>
      </c>
      <c r="N159" s="36"/>
      <c r="O159" s="33">
        <v>3</v>
      </c>
      <c r="P159" s="33">
        <f>IF(Tabela1[[#This Row],[Status]]="✔️",Tabela1[[#This Row],[Peso]],IF(Tabela1[[#This Row],[Status]]="✔️✔️",Tabela1[[#This Row],[Peso]]/2,0))</f>
        <v>0</v>
      </c>
      <c r="Q15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9" s="33" t="s">
        <v>127</v>
      </c>
      <c r="S159" s="37" t="s">
        <v>128</v>
      </c>
    </row>
    <row r="160" spans="1:19" s="10" customFormat="1" ht="49.95" customHeight="1" x14ac:dyDescent="0.3">
      <c r="A160" s="3"/>
      <c r="B160" s="3"/>
      <c r="C160" s="3"/>
      <c r="D160" s="3"/>
      <c r="E160" s="3"/>
      <c r="F160" s="3"/>
      <c r="G160" s="3"/>
      <c r="H160" s="32" t="s">
        <v>9</v>
      </c>
      <c r="I160" s="33" t="s">
        <v>20</v>
      </c>
      <c r="J160" s="34" t="s">
        <v>441</v>
      </c>
      <c r="K160" s="35" t="s">
        <v>0</v>
      </c>
      <c r="L160" s="33"/>
      <c r="M160" s="33"/>
      <c r="N160" s="36"/>
      <c r="O160" s="33">
        <v>1</v>
      </c>
      <c r="P160" s="33">
        <f>IF(Tabela1[[#This Row],[Status]]="✔️",Tabela1[[#This Row],[Peso]],IF(Tabela1[[#This Row],[Status]]="✔️✔️",Tabela1[[#This Row],[Peso]]/2,0))</f>
        <v>1</v>
      </c>
      <c r="Q16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60" s="33" t="s">
        <v>127</v>
      </c>
      <c r="S160" s="37" t="s">
        <v>128</v>
      </c>
    </row>
    <row r="161" spans="1:1020 1029:2040 2049:3070 3079:4090 4099:5120 5129:6140 6149:7160 7169:8190 8199:9210 9219:10240 10249:11260 11269:12280 12289:13310 13319:14330 14339:15360 15369:16380" s="10" customFormat="1" ht="49.95" customHeight="1" x14ac:dyDescent="0.3">
      <c r="A161" s="3"/>
      <c r="B161" s="3"/>
      <c r="C161" s="3"/>
      <c r="D161" s="3"/>
      <c r="E161" s="3"/>
      <c r="F161" s="3"/>
      <c r="G161" s="3"/>
      <c r="H161" s="32" t="s">
        <v>9</v>
      </c>
      <c r="I161" s="33" t="s">
        <v>22</v>
      </c>
      <c r="J161" s="34" t="s">
        <v>23</v>
      </c>
      <c r="K161" s="35" t="s">
        <v>0</v>
      </c>
      <c r="L161" s="33"/>
      <c r="M161" s="33"/>
      <c r="N161" s="36"/>
      <c r="O161" s="33">
        <v>1</v>
      </c>
      <c r="P161" s="33">
        <f>IF(Tabela1[[#This Row],[Status]]="✔️",Tabela1[[#This Row],[Peso]],IF(Tabela1[[#This Row],[Status]]="✔️✔️",Tabela1[[#This Row],[Peso]]/2,0))</f>
        <v>1</v>
      </c>
      <c r="Q16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61" s="33" t="s">
        <v>127</v>
      </c>
      <c r="S161" s="37" t="s">
        <v>128</v>
      </c>
    </row>
    <row r="162" spans="1:1020 1029:2040 2049:3070 3079:4090 4099:5120 5129:6140 6149:7160 7169:8190 8199:9210 9219:10240 10249:11260 11269:12280 12289:13310 13319:14330 14339:15360 15369:16380" s="10" customFormat="1" ht="49.95" customHeight="1" x14ac:dyDescent="0.3">
      <c r="A162" s="3"/>
      <c r="B162" s="3"/>
      <c r="C162" s="3"/>
      <c r="D162" s="3"/>
      <c r="E162" s="3"/>
      <c r="F162" s="3"/>
      <c r="G162" s="3"/>
      <c r="H162" s="32" t="s">
        <v>9</v>
      </c>
      <c r="I162" s="33" t="s">
        <v>22</v>
      </c>
      <c r="J162" s="34" t="s">
        <v>24</v>
      </c>
      <c r="K162" s="35" t="s">
        <v>0</v>
      </c>
      <c r="L162" s="33"/>
      <c r="M162" s="33"/>
      <c r="N162" s="36"/>
      <c r="O162" s="33">
        <v>1</v>
      </c>
      <c r="P162" s="33">
        <f>IF(Tabela1[[#This Row],[Status]]="✔️",Tabela1[[#This Row],[Peso]],IF(Tabela1[[#This Row],[Status]]="✔️✔️",Tabela1[[#This Row],[Peso]]/2,0))</f>
        <v>1</v>
      </c>
      <c r="Q16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62" s="33" t="s">
        <v>127</v>
      </c>
      <c r="S162" s="37" t="s">
        <v>128</v>
      </c>
    </row>
    <row r="163" spans="1:1020 1029:2040 2049:3070 3079:4090 4099:5120 5129:6140 6149:7160 7169:8190 8199:9210 9219:10240 10249:11260 11269:12280 12289:13310 13319:14330 14339:15360 15369:16380" s="10" customFormat="1" ht="49.95" customHeight="1" x14ac:dyDescent="0.3">
      <c r="A163" s="3"/>
      <c r="B163" s="3"/>
      <c r="C163" s="3"/>
      <c r="D163" s="3"/>
      <c r="E163" s="3"/>
      <c r="F163" s="3"/>
      <c r="G163" s="3"/>
      <c r="H163" s="32" t="s">
        <v>9</v>
      </c>
      <c r="I163" s="33" t="s">
        <v>25</v>
      </c>
      <c r="J163" s="34" t="s">
        <v>26</v>
      </c>
      <c r="K163" s="35" t="s">
        <v>0</v>
      </c>
      <c r="L163" s="33"/>
      <c r="M163" s="33"/>
      <c r="N163" s="36"/>
      <c r="O163" s="33">
        <v>3</v>
      </c>
      <c r="P163" s="33">
        <f>IF(Tabela1[[#This Row],[Status]]="✔️",Tabela1[[#This Row],[Peso]],IF(Tabela1[[#This Row],[Status]]="✔️✔️",Tabela1[[#This Row],[Peso]]/2,0))</f>
        <v>3</v>
      </c>
      <c r="Q16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63" s="33" t="s">
        <v>127</v>
      </c>
      <c r="S163" s="37" t="s">
        <v>128</v>
      </c>
    </row>
    <row r="164" spans="1:1020 1029:2040 2049:3070 3079:4090 4099:5120 5129:6140 6149:7160 7169:8190 8199:9210 9219:10240 10249:11260 11269:12280 12289:13310 13319:14330 14339:15360 15369:16380" s="10" customFormat="1" ht="49.95" customHeight="1" x14ac:dyDescent="0.3">
      <c r="A164" s="3"/>
      <c r="B164" s="3"/>
      <c r="C164" s="3"/>
      <c r="D164" s="3"/>
      <c r="E164" s="3"/>
      <c r="F164" s="3"/>
      <c r="G164" s="3"/>
      <c r="H164" s="32" t="s">
        <v>9</v>
      </c>
      <c r="I164" s="33" t="s">
        <v>25</v>
      </c>
      <c r="J164" s="34" t="s">
        <v>27</v>
      </c>
      <c r="K164" s="35" t="s">
        <v>0</v>
      </c>
      <c r="L164" s="33"/>
      <c r="M164" s="33"/>
      <c r="N164" s="36"/>
      <c r="O164" s="33">
        <v>3</v>
      </c>
      <c r="P164" s="33">
        <f>IF(Tabela1[[#This Row],[Status]]="✔️",Tabela1[[#This Row],[Peso]],IF(Tabela1[[#This Row],[Status]]="✔️✔️",Tabela1[[#This Row],[Peso]]/2,0))</f>
        <v>3</v>
      </c>
      <c r="Q16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64" s="33" t="s">
        <v>127</v>
      </c>
      <c r="S164" s="37" t="s">
        <v>128</v>
      </c>
    </row>
    <row r="165" spans="1:1020 1029:2040 2049:3070 3079:4090 4099:5120 5129:6140 6149:7160 7169:8190 8199:9210 9219:10240 10249:11260 11269:12280 12289:13310 13319:14330 14339:15360 15369:16380" s="10" customFormat="1" ht="49.95" customHeight="1" x14ac:dyDescent="0.3">
      <c r="A165" s="3"/>
      <c r="B165" s="3"/>
      <c r="C165" s="3"/>
      <c r="D165" s="3"/>
      <c r="E165" s="3"/>
      <c r="F165" s="3"/>
      <c r="G165" s="3"/>
      <c r="H165" s="32" t="s">
        <v>9</v>
      </c>
      <c r="I165" s="33" t="s">
        <v>25</v>
      </c>
      <c r="J165" s="34" t="s">
        <v>28</v>
      </c>
      <c r="K165" s="33" t="s">
        <v>290</v>
      </c>
      <c r="L165" s="33" t="s">
        <v>74</v>
      </c>
      <c r="M165" s="33">
        <v>5211</v>
      </c>
      <c r="N165" s="36"/>
      <c r="O165" s="33">
        <v>3</v>
      </c>
      <c r="P165" s="33">
        <f>IF(Tabela1[[#This Row],[Status]]="✔️",Tabela1[[#This Row],[Peso]],IF(Tabela1[[#This Row],[Status]]="✔️✔️",Tabela1[[#This Row],[Peso]]/2,0))</f>
        <v>0</v>
      </c>
      <c r="Q16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65" s="33" t="s">
        <v>127</v>
      </c>
      <c r="S165" s="37" t="s">
        <v>128</v>
      </c>
    </row>
    <row r="166" spans="1:1020 1029:2040 2049:3070 3079:4090 4099:5120 5129:6140 6149:7160 7169:8190 8199:9210 9219:10240 10249:11260 11269:12280 12289:13310 13319:14330 14339:15360 15369:16380" s="10" customFormat="1" ht="49.95" customHeight="1" x14ac:dyDescent="0.3">
      <c r="A166" s="3"/>
      <c r="B166" s="3"/>
      <c r="C166" s="3"/>
      <c r="D166" s="3"/>
      <c r="E166" s="3"/>
      <c r="F166" s="3"/>
      <c r="G166" s="3"/>
      <c r="H166" s="32" t="s">
        <v>9</v>
      </c>
      <c r="I166" s="33" t="s">
        <v>25</v>
      </c>
      <c r="J166" s="34" t="s">
        <v>29</v>
      </c>
      <c r="K166" s="33" t="s">
        <v>290</v>
      </c>
      <c r="L166" s="33" t="s">
        <v>75</v>
      </c>
      <c r="M166" s="33">
        <v>2370</v>
      </c>
      <c r="N166" s="36"/>
      <c r="O166" s="33">
        <v>3</v>
      </c>
      <c r="P166" s="33">
        <f>IF(Tabela1[[#This Row],[Status]]="✔️",Tabela1[[#This Row],[Peso]],IF(Tabela1[[#This Row],[Status]]="✔️✔️",Tabela1[[#This Row],[Peso]]/2,0))</f>
        <v>0</v>
      </c>
      <c r="Q16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66" s="33" t="s">
        <v>127</v>
      </c>
      <c r="S166" s="37" t="s">
        <v>128</v>
      </c>
    </row>
    <row r="167" spans="1:1020 1029:2040 2049:3070 3079:4090 4099:5120 5129:6140 6149:7160 7169:8190 8199:9210 9219:10240 10249:11260 11269:12280 12289:13310 13319:14330 14339:15360 15369:16380" s="10" customFormat="1" ht="49.95" customHeight="1" x14ac:dyDescent="0.3">
      <c r="A167" s="3"/>
      <c r="B167" s="3"/>
      <c r="C167" s="3"/>
      <c r="D167" s="3"/>
      <c r="E167" s="3"/>
      <c r="F167" s="3"/>
      <c r="G167" s="3"/>
      <c r="H167" s="32" t="s">
        <v>9</v>
      </c>
      <c r="I167" s="33" t="s">
        <v>31</v>
      </c>
      <c r="J167" s="34" t="s">
        <v>32</v>
      </c>
      <c r="K167" s="33" t="s">
        <v>290</v>
      </c>
      <c r="L167" s="33" t="s">
        <v>368</v>
      </c>
      <c r="M167" s="33">
        <v>4233</v>
      </c>
      <c r="N167" s="36"/>
      <c r="O167" s="33">
        <v>3</v>
      </c>
      <c r="P167" s="33">
        <f>IF(Tabela1[[#This Row],[Status]]="✔️",Tabela1[[#This Row],[Peso]],IF(Tabela1[[#This Row],[Status]]="✔️✔️",Tabela1[[#This Row],[Peso]]/2,0))</f>
        <v>0</v>
      </c>
      <c r="Q16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67" s="33" t="s">
        <v>127</v>
      </c>
      <c r="S167" s="37" t="s">
        <v>128</v>
      </c>
    </row>
    <row r="168" spans="1:1020 1029:2040 2049:3070 3079:4090 4099:5120 5129:6140 6149:7160 7169:8190 8199:9210 9219:10240 10249:11260 11269:12280 12289:13310 13319:14330 14339:15360 15369:16380" s="10" customFormat="1" ht="49.95" customHeight="1" x14ac:dyDescent="0.3">
      <c r="A168" s="3"/>
      <c r="B168" s="3"/>
      <c r="C168" s="3"/>
      <c r="D168" s="3"/>
      <c r="E168" s="3"/>
      <c r="F168" s="3"/>
      <c r="G168" s="3"/>
      <c r="H168" s="32" t="s">
        <v>9</v>
      </c>
      <c r="I168" s="33" t="s">
        <v>33</v>
      </c>
      <c r="J168" s="34" t="s">
        <v>34</v>
      </c>
      <c r="K168" s="33" t="s">
        <v>0</v>
      </c>
      <c r="L168" s="33"/>
      <c r="M168" s="33"/>
      <c r="N168" s="36"/>
      <c r="O168" s="33">
        <v>3</v>
      </c>
      <c r="P168" s="33">
        <f>IF(Tabela1[[#This Row],[Status]]="✔️",Tabela1[[#This Row],[Peso]],IF(Tabela1[[#This Row],[Status]]="✔️✔️",Tabela1[[#This Row],[Peso]]/2,0))</f>
        <v>3</v>
      </c>
      <c r="Q16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68" s="33" t="s">
        <v>127</v>
      </c>
      <c r="S168" s="37" t="s">
        <v>128</v>
      </c>
    </row>
    <row r="169" spans="1:1020 1029:2040 2049:3070 3079:4090 4099:5120 5129:6140 6149:7160 7169:8190 8199:9210 9219:10240 10249:11260 11269:12280 12289:13310 13319:14330 14339:15360 15369:16380" s="10" customFormat="1" ht="49.95" customHeight="1" x14ac:dyDescent="0.3">
      <c r="A169" s="3"/>
      <c r="B169" s="3"/>
      <c r="C169" s="3"/>
      <c r="D169" s="3"/>
      <c r="E169" s="3"/>
      <c r="F169" s="3"/>
      <c r="G169" s="3"/>
      <c r="H169" s="32" t="s">
        <v>9</v>
      </c>
      <c r="I169" s="33" t="s">
        <v>33</v>
      </c>
      <c r="J169" s="34" t="s">
        <v>35</v>
      </c>
      <c r="K169" s="33" t="s">
        <v>0</v>
      </c>
      <c r="L169" s="33"/>
      <c r="M169" s="33"/>
      <c r="N169" s="36"/>
      <c r="O169" s="33">
        <v>3</v>
      </c>
      <c r="P169" s="33">
        <f>IF(Tabela1[[#This Row],[Status]]="✔️",Tabela1[[#This Row],[Peso]],IF(Tabela1[[#This Row],[Status]]="✔️✔️",Tabela1[[#This Row],[Peso]]/2,0))</f>
        <v>3</v>
      </c>
      <c r="Q16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69" s="33" t="s">
        <v>127</v>
      </c>
      <c r="S169" s="37" t="s">
        <v>128</v>
      </c>
    </row>
    <row r="170" spans="1:1020 1029:2040 2049:3070 3079:4090 4099:5120 5129:6140 6149:7160 7169:8190 8199:9210 9219:10240 10249:11260 11269:12280 12289:13310 13319:14330 14339:15360 15369:16380" ht="49.95" customHeight="1" x14ac:dyDescent="0.3">
      <c r="H170" s="32" t="s">
        <v>9</v>
      </c>
      <c r="I170" s="33" t="s">
        <v>33</v>
      </c>
      <c r="J170" s="34" t="s">
        <v>446</v>
      </c>
      <c r="K170" s="33" t="s">
        <v>0</v>
      </c>
      <c r="L170" s="33"/>
      <c r="M170" s="33"/>
      <c r="N170" s="36"/>
      <c r="O170" s="33">
        <v>3</v>
      </c>
      <c r="P170" s="33">
        <f>IF(Tabela1[[#This Row],[Status]]="✔️",Tabela1[[#This Row],[Peso]],IF(Tabela1[[#This Row],[Status]]="✔️✔️",Tabela1[[#This Row],[Peso]]/2,0))</f>
        <v>3</v>
      </c>
      <c r="Q17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0" s="33" t="s">
        <v>127</v>
      </c>
      <c r="S170" s="37" t="s">
        <v>128</v>
      </c>
    </row>
    <row r="171" spans="1:1020 1029:2040 2049:3070 3079:4090 4099:5120 5129:6140 6149:7160 7169:8190 8199:9210 9219:10240 10249:11260 11269:12280 12289:13310 13319:14330 14339:15360 15369:16380" ht="49.95" customHeight="1" x14ac:dyDescent="0.3">
      <c r="H171" s="32" t="s">
        <v>9</v>
      </c>
      <c r="I171" s="33" t="s">
        <v>33</v>
      </c>
      <c r="J171" s="34" t="s">
        <v>36</v>
      </c>
      <c r="K171" s="33" t="s">
        <v>290</v>
      </c>
      <c r="L171" s="33" t="s">
        <v>80</v>
      </c>
      <c r="M171" s="33">
        <v>9645</v>
      </c>
      <c r="N171" s="36"/>
      <c r="O171" s="33">
        <v>3</v>
      </c>
      <c r="P171" s="33">
        <f>IF(Tabela1[[#This Row],[Status]]="✔️",Tabela1[[#This Row],[Peso]],IF(Tabela1[[#This Row],[Status]]="✔️✔️",Tabela1[[#This Row],[Peso]]/2,0))</f>
        <v>0</v>
      </c>
      <c r="Q17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1" s="33" t="s">
        <v>127</v>
      </c>
      <c r="S171" s="37" t="s">
        <v>128</v>
      </c>
    </row>
    <row r="172" spans="1:1020 1029:2040 2049:3070 3079:4090 4099:5120 5129:6140 6149:7160 7169:8190 8199:9210 9219:10240 10249:11260 11269:12280 12289:13310 13319:14330 14339:15360 15369:16380" s="10" customFormat="1" ht="49.95" customHeight="1" x14ac:dyDescent="0.3">
      <c r="A172"/>
      <c r="B172"/>
      <c r="C172"/>
      <c r="D172"/>
      <c r="E172"/>
      <c r="F172"/>
      <c r="G172"/>
      <c r="H172" s="32" t="s">
        <v>9</v>
      </c>
      <c r="I172" s="33" t="s">
        <v>33</v>
      </c>
      <c r="J172" s="34" t="s">
        <v>37</v>
      </c>
      <c r="K172" s="33" t="s">
        <v>290</v>
      </c>
      <c r="L172" s="33" t="s">
        <v>91</v>
      </c>
      <c r="M172" s="33">
        <v>4090</v>
      </c>
      <c r="N172" s="36"/>
      <c r="O172" s="33">
        <v>3</v>
      </c>
      <c r="P172" s="33">
        <f>IF(Tabela1[[#This Row],[Status]]="✔️",Tabela1[[#This Row],[Peso]],IF(Tabela1[[#This Row],[Status]]="✔️✔️",Tabela1[[#This Row],[Peso]]/2,0))</f>
        <v>0</v>
      </c>
      <c r="Q17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2" s="33" t="s">
        <v>127</v>
      </c>
      <c r="S172" s="37" t="s">
        <v>128</v>
      </c>
      <c r="T172" s="12"/>
      <c r="AC172" s="11"/>
      <c r="AD172" s="12"/>
      <c r="AM172" s="11"/>
      <c r="AN172" s="12"/>
      <c r="AW172" s="11"/>
      <c r="AX172" s="12"/>
      <c r="BG172" s="11"/>
      <c r="BH172" s="12"/>
      <c r="BQ172" s="11"/>
      <c r="BR172" s="12"/>
      <c r="CA172" s="11"/>
      <c r="CB172" s="12"/>
      <c r="CK172" s="11"/>
      <c r="CL172" s="12"/>
      <c r="CU172" s="11"/>
      <c r="CV172" s="12"/>
      <c r="DE172" s="11"/>
      <c r="DF172" s="12"/>
      <c r="DO172" s="11"/>
      <c r="DP172" s="12"/>
      <c r="DY172" s="11"/>
      <c r="DZ172" s="12"/>
      <c r="EI172" s="11"/>
      <c r="EJ172" s="12"/>
      <c r="ES172" s="11"/>
      <c r="ET172" s="12"/>
      <c r="FC172" s="11"/>
      <c r="FD172" s="12"/>
      <c r="FM172" s="11"/>
      <c r="FN172" s="12"/>
      <c r="FW172" s="11"/>
      <c r="FX172" s="12"/>
      <c r="GG172" s="11"/>
      <c r="GH172" s="12"/>
      <c r="GQ172" s="11"/>
      <c r="GR172" s="12"/>
      <c r="HA172" s="11"/>
      <c r="HB172" s="12"/>
      <c r="HK172" s="11"/>
      <c r="HL172" s="12"/>
      <c r="HU172" s="11"/>
      <c r="HV172" s="12"/>
      <c r="IE172" s="11"/>
      <c r="IF172" s="12"/>
      <c r="IO172" s="11"/>
      <c r="IP172" s="12"/>
      <c r="IY172" s="11"/>
      <c r="IZ172" s="12"/>
      <c r="JI172" s="11"/>
      <c r="JJ172" s="12"/>
      <c r="JS172" s="11"/>
      <c r="JT172" s="12"/>
      <c r="KC172" s="11"/>
      <c r="KD172" s="12"/>
      <c r="KM172" s="11"/>
      <c r="KN172" s="12"/>
      <c r="KW172" s="11"/>
      <c r="KX172" s="12"/>
      <c r="LG172" s="11"/>
      <c r="LH172" s="12"/>
      <c r="LQ172" s="11"/>
      <c r="LR172" s="12"/>
      <c r="MA172" s="11"/>
      <c r="MB172" s="12"/>
      <c r="MK172" s="11"/>
      <c r="ML172" s="12"/>
      <c r="MU172" s="11"/>
      <c r="MV172" s="12"/>
      <c r="NE172" s="11"/>
      <c r="NF172" s="12"/>
      <c r="NO172" s="11"/>
      <c r="NP172" s="12"/>
      <c r="NY172" s="11"/>
      <c r="NZ172" s="12"/>
      <c r="OI172" s="11"/>
      <c r="OJ172" s="12"/>
      <c r="OS172" s="11"/>
      <c r="OT172" s="12"/>
      <c r="PC172" s="11"/>
      <c r="PD172" s="12"/>
      <c r="PM172" s="11"/>
      <c r="PN172" s="12"/>
      <c r="PW172" s="11"/>
      <c r="PX172" s="12"/>
      <c r="QG172" s="11"/>
      <c r="QH172" s="12"/>
      <c r="QQ172" s="11"/>
      <c r="QR172" s="12"/>
      <c r="RA172" s="11"/>
      <c r="RB172" s="12"/>
      <c r="RK172" s="11"/>
      <c r="RL172" s="12"/>
      <c r="RU172" s="11"/>
      <c r="RV172" s="12"/>
      <c r="SE172" s="11"/>
      <c r="SF172" s="12"/>
      <c r="SO172" s="11"/>
      <c r="SP172" s="12"/>
      <c r="SY172" s="11"/>
      <c r="SZ172" s="12"/>
      <c r="TI172" s="11"/>
      <c r="TJ172" s="12"/>
      <c r="TS172" s="11"/>
      <c r="TT172" s="12"/>
      <c r="UC172" s="11"/>
      <c r="UD172" s="12"/>
      <c r="UM172" s="11"/>
      <c r="UN172" s="12"/>
      <c r="UW172" s="11"/>
      <c r="UX172" s="12"/>
      <c r="VG172" s="11"/>
      <c r="VH172" s="12"/>
      <c r="VQ172" s="11"/>
      <c r="VR172" s="12"/>
      <c r="WA172" s="11"/>
      <c r="WB172" s="12"/>
      <c r="WK172" s="11"/>
      <c r="WL172" s="12"/>
      <c r="WU172" s="11"/>
      <c r="WV172" s="12"/>
      <c r="XE172" s="11"/>
      <c r="XF172" s="12"/>
      <c r="XO172" s="11"/>
      <c r="XP172" s="12"/>
      <c r="XY172" s="11"/>
      <c r="XZ172" s="12"/>
      <c r="YI172" s="11"/>
      <c r="YJ172" s="12"/>
      <c r="YS172" s="11"/>
      <c r="YT172" s="12"/>
      <c r="ZC172" s="11"/>
      <c r="ZD172" s="12"/>
      <c r="ZM172" s="11"/>
      <c r="ZN172" s="12"/>
      <c r="ZW172" s="11"/>
      <c r="ZX172" s="12"/>
      <c r="AAG172" s="11"/>
      <c r="AAH172" s="12"/>
      <c r="AAQ172" s="11"/>
      <c r="AAR172" s="12"/>
      <c r="ABA172" s="11"/>
      <c r="ABB172" s="12"/>
      <c r="ABK172" s="11"/>
      <c r="ABL172" s="12"/>
      <c r="ABU172" s="11"/>
      <c r="ABV172" s="12"/>
      <c r="ACE172" s="11"/>
      <c r="ACF172" s="12"/>
      <c r="ACO172" s="11"/>
      <c r="ACP172" s="12"/>
      <c r="ACY172" s="11"/>
      <c r="ACZ172" s="12"/>
      <c r="ADI172" s="11"/>
      <c r="ADJ172" s="12"/>
      <c r="ADS172" s="11"/>
      <c r="ADT172" s="12"/>
      <c r="AEC172" s="11"/>
      <c r="AED172" s="12"/>
      <c r="AEM172" s="11"/>
      <c r="AEN172" s="12"/>
      <c r="AEW172" s="11"/>
      <c r="AEX172" s="12"/>
      <c r="AFG172" s="11"/>
      <c r="AFH172" s="12"/>
      <c r="AFQ172" s="11"/>
      <c r="AFR172" s="12"/>
      <c r="AGA172" s="11"/>
      <c r="AGB172" s="12"/>
      <c r="AGK172" s="11"/>
      <c r="AGL172" s="12"/>
      <c r="AGU172" s="11"/>
      <c r="AGV172" s="12"/>
      <c r="AHE172" s="11"/>
      <c r="AHF172" s="12"/>
      <c r="AHO172" s="11"/>
      <c r="AHP172" s="12"/>
      <c r="AHY172" s="11"/>
      <c r="AHZ172" s="12"/>
      <c r="AII172" s="11"/>
      <c r="AIJ172" s="12"/>
      <c r="AIS172" s="11"/>
      <c r="AIT172" s="12"/>
      <c r="AJC172" s="11"/>
      <c r="AJD172" s="12"/>
      <c r="AJM172" s="11"/>
      <c r="AJN172" s="12"/>
      <c r="AJW172" s="11"/>
      <c r="AJX172" s="12"/>
      <c r="AKG172" s="11"/>
      <c r="AKH172" s="12"/>
      <c r="AKQ172" s="11"/>
      <c r="AKR172" s="12"/>
      <c r="ALA172" s="11"/>
      <c r="ALB172" s="12"/>
      <c r="ALK172" s="11"/>
      <c r="ALL172" s="12"/>
      <c r="ALU172" s="11"/>
      <c r="ALV172" s="12"/>
      <c r="AME172" s="11"/>
      <c r="AMF172" s="12"/>
      <c r="AMO172" s="11"/>
      <c r="AMP172" s="12"/>
      <c r="AMY172" s="11"/>
      <c r="AMZ172" s="12"/>
      <c r="ANI172" s="11"/>
      <c r="ANJ172" s="12"/>
      <c r="ANS172" s="11"/>
      <c r="ANT172" s="12"/>
      <c r="AOC172" s="11"/>
      <c r="AOD172" s="12"/>
      <c r="AOM172" s="11"/>
      <c r="AON172" s="12"/>
      <c r="AOW172" s="11"/>
      <c r="AOX172" s="12"/>
      <c r="APG172" s="11"/>
      <c r="APH172" s="12"/>
      <c r="APQ172" s="11"/>
      <c r="APR172" s="12"/>
      <c r="AQA172" s="11"/>
      <c r="AQB172" s="12"/>
      <c r="AQK172" s="11"/>
      <c r="AQL172" s="12"/>
      <c r="AQU172" s="11"/>
      <c r="AQV172" s="12"/>
      <c r="ARE172" s="11"/>
      <c r="ARF172" s="12"/>
      <c r="ARO172" s="11"/>
      <c r="ARP172" s="12"/>
      <c r="ARY172" s="11"/>
      <c r="ARZ172" s="12"/>
      <c r="ASI172" s="11"/>
      <c r="ASJ172" s="12"/>
      <c r="ASS172" s="11"/>
      <c r="AST172" s="12"/>
      <c r="ATC172" s="11"/>
      <c r="ATD172" s="12"/>
      <c r="ATM172" s="11"/>
      <c r="ATN172" s="12"/>
      <c r="ATW172" s="11"/>
      <c r="ATX172" s="12"/>
      <c r="AUG172" s="11"/>
      <c r="AUH172" s="12"/>
      <c r="AUQ172" s="11"/>
      <c r="AUR172" s="12"/>
      <c r="AVA172" s="11"/>
      <c r="AVB172" s="12"/>
      <c r="AVK172" s="11"/>
      <c r="AVL172" s="12"/>
      <c r="AVU172" s="11"/>
      <c r="AVV172" s="12"/>
      <c r="AWE172" s="11"/>
      <c r="AWF172" s="12"/>
      <c r="AWO172" s="11"/>
      <c r="AWP172" s="12"/>
      <c r="AWY172" s="11"/>
      <c r="AWZ172" s="12"/>
      <c r="AXI172" s="11"/>
      <c r="AXJ172" s="12"/>
      <c r="AXS172" s="11"/>
      <c r="AXT172" s="12"/>
      <c r="AYC172" s="11"/>
      <c r="AYD172" s="12"/>
      <c r="AYM172" s="11"/>
      <c r="AYN172" s="12"/>
      <c r="AYW172" s="11"/>
      <c r="AYX172" s="12"/>
      <c r="AZG172" s="11"/>
      <c r="AZH172" s="12"/>
      <c r="AZQ172" s="11"/>
      <c r="AZR172" s="12"/>
      <c r="BAA172" s="11"/>
      <c r="BAB172" s="12"/>
      <c r="BAK172" s="11"/>
      <c r="BAL172" s="12"/>
      <c r="BAU172" s="11"/>
      <c r="BAV172" s="12"/>
      <c r="BBE172" s="11"/>
      <c r="BBF172" s="12"/>
      <c r="BBO172" s="11"/>
      <c r="BBP172" s="12"/>
      <c r="BBY172" s="11"/>
      <c r="BBZ172" s="12"/>
      <c r="BCI172" s="11"/>
      <c r="BCJ172" s="12"/>
      <c r="BCS172" s="11"/>
      <c r="BCT172" s="12"/>
      <c r="BDC172" s="11"/>
      <c r="BDD172" s="12"/>
      <c r="BDM172" s="11"/>
      <c r="BDN172" s="12"/>
      <c r="BDW172" s="11"/>
      <c r="BDX172" s="12"/>
      <c r="BEG172" s="11"/>
      <c r="BEH172" s="12"/>
      <c r="BEQ172" s="11"/>
      <c r="BER172" s="12"/>
      <c r="BFA172" s="11"/>
      <c r="BFB172" s="12"/>
      <c r="BFK172" s="11"/>
      <c r="BFL172" s="12"/>
      <c r="BFU172" s="11"/>
      <c r="BFV172" s="12"/>
      <c r="BGE172" s="11"/>
      <c r="BGF172" s="12"/>
      <c r="BGO172" s="11"/>
      <c r="BGP172" s="12"/>
      <c r="BGY172" s="11"/>
      <c r="BGZ172" s="12"/>
      <c r="BHI172" s="11"/>
      <c r="BHJ172" s="12"/>
      <c r="BHS172" s="11"/>
      <c r="BHT172" s="12"/>
      <c r="BIC172" s="11"/>
      <c r="BID172" s="12"/>
      <c r="BIM172" s="11"/>
      <c r="BIN172" s="12"/>
      <c r="BIW172" s="11"/>
      <c r="BIX172" s="12"/>
      <c r="BJG172" s="11"/>
      <c r="BJH172" s="12"/>
      <c r="BJQ172" s="11"/>
      <c r="BJR172" s="12"/>
      <c r="BKA172" s="11"/>
      <c r="BKB172" s="12"/>
      <c r="BKK172" s="11"/>
      <c r="BKL172" s="12"/>
      <c r="BKU172" s="11"/>
      <c r="BKV172" s="12"/>
      <c r="BLE172" s="11"/>
      <c r="BLF172" s="12"/>
      <c r="BLO172" s="11"/>
      <c r="BLP172" s="12"/>
      <c r="BLY172" s="11"/>
      <c r="BLZ172" s="12"/>
      <c r="BMI172" s="11"/>
      <c r="BMJ172" s="12"/>
      <c r="BMS172" s="11"/>
      <c r="BMT172" s="12"/>
      <c r="BNC172" s="11"/>
      <c r="BND172" s="12"/>
      <c r="BNM172" s="11"/>
      <c r="BNN172" s="12"/>
      <c r="BNW172" s="11"/>
      <c r="BNX172" s="12"/>
      <c r="BOG172" s="11"/>
      <c r="BOH172" s="12"/>
      <c r="BOQ172" s="11"/>
      <c r="BOR172" s="12"/>
      <c r="BPA172" s="11"/>
      <c r="BPB172" s="12"/>
      <c r="BPK172" s="11"/>
      <c r="BPL172" s="12"/>
      <c r="BPU172" s="11"/>
      <c r="BPV172" s="12"/>
      <c r="BQE172" s="11"/>
      <c r="BQF172" s="12"/>
      <c r="BQO172" s="11"/>
      <c r="BQP172" s="12"/>
      <c r="BQY172" s="11"/>
      <c r="BQZ172" s="12"/>
      <c r="BRI172" s="11"/>
      <c r="BRJ172" s="12"/>
      <c r="BRS172" s="11"/>
      <c r="BRT172" s="12"/>
      <c r="BSC172" s="11"/>
      <c r="BSD172" s="12"/>
      <c r="BSM172" s="11"/>
      <c r="BSN172" s="12"/>
      <c r="BSW172" s="11"/>
      <c r="BSX172" s="12"/>
      <c r="BTG172" s="11"/>
      <c r="BTH172" s="12"/>
      <c r="BTQ172" s="11"/>
      <c r="BTR172" s="12"/>
      <c r="BUA172" s="11"/>
      <c r="BUB172" s="12"/>
      <c r="BUK172" s="11"/>
      <c r="BUL172" s="12"/>
      <c r="BUU172" s="11"/>
      <c r="BUV172" s="12"/>
      <c r="BVE172" s="11"/>
      <c r="BVF172" s="12"/>
      <c r="BVO172" s="11"/>
      <c r="BVP172" s="12"/>
      <c r="BVY172" s="11"/>
      <c r="BVZ172" s="12"/>
      <c r="BWI172" s="11"/>
      <c r="BWJ172" s="12"/>
      <c r="BWS172" s="11"/>
      <c r="BWT172" s="12"/>
      <c r="BXC172" s="11"/>
      <c r="BXD172" s="12"/>
      <c r="BXM172" s="11"/>
      <c r="BXN172" s="12"/>
      <c r="BXW172" s="11"/>
      <c r="BXX172" s="12"/>
      <c r="BYG172" s="11"/>
      <c r="BYH172" s="12"/>
      <c r="BYQ172" s="11"/>
      <c r="BYR172" s="12"/>
      <c r="BZA172" s="11"/>
      <c r="BZB172" s="12"/>
      <c r="BZK172" s="11"/>
      <c r="BZL172" s="12"/>
      <c r="BZU172" s="11"/>
      <c r="BZV172" s="12"/>
      <c r="CAE172" s="11"/>
      <c r="CAF172" s="12"/>
      <c r="CAO172" s="11"/>
      <c r="CAP172" s="12"/>
      <c r="CAY172" s="11"/>
      <c r="CAZ172" s="12"/>
      <c r="CBI172" s="11"/>
      <c r="CBJ172" s="12"/>
      <c r="CBS172" s="11"/>
      <c r="CBT172" s="12"/>
      <c r="CCC172" s="11"/>
      <c r="CCD172" s="12"/>
      <c r="CCM172" s="11"/>
      <c r="CCN172" s="12"/>
      <c r="CCW172" s="11"/>
      <c r="CCX172" s="12"/>
      <c r="CDG172" s="11"/>
      <c r="CDH172" s="12"/>
      <c r="CDQ172" s="11"/>
      <c r="CDR172" s="12"/>
      <c r="CEA172" s="11"/>
      <c r="CEB172" s="12"/>
      <c r="CEK172" s="11"/>
      <c r="CEL172" s="12"/>
      <c r="CEU172" s="11"/>
      <c r="CEV172" s="12"/>
      <c r="CFE172" s="11"/>
      <c r="CFF172" s="12"/>
      <c r="CFO172" s="11"/>
      <c r="CFP172" s="12"/>
      <c r="CFY172" s="11"/>
      <c r="CFZ172" s="12"/>
      <c r="CGI172" s="11"/>
      <c r="CGJ172" s="12"/>
      <c r="CGS172" s="11"/>
      <c r="CGT172" s="12"/>
      <c r="CHC172" s="11"/>
      <c r="CHD172" s="12"/>
      <c r="CHM172" s="11"/>
      <c r="CHN172" s="12"/>
      <c r="CHW172" s="11"/>
      <c r="CHX172" s="12"/>
      <c r="CIG172" s="11"/>
      <c r="CIH172" s="12"/>
      <c r="CIQ172" s="11"/>
      <c r="CIR172" s="12"/>
      <c r="CJA172" s="11"/>
      <c r="CJB172" s="12"/>
      <c r="CJK172" s="11"/>
      <c r="CJL172" s="12"/>
      <c r="CJU172" s="11"/>
      <c r="CJV172" s="12"/>
      <c r="CKE172" s="11"/>
      <c r="CKF172" s="12"/>
      <c r="CKO172" s="11"/>
      <c r="CKP172" s="12"/>
      <c r="CKY172" s="11"/>
      <c r="CKZ172" s="12"/>
      <c r="CLI172" s="11"/>
      <c r="CLJ172" s="12"/>
      <c r="CLS172" s="11"/>
      <c r="CLT172" s="12"/>
      <c r="CMC172" s="11"/>
      <c r="CMD172" s="12"/>
      <c r="CMM172" s="11"/>
      <c r="CMN172" s="12"/>
      <c r="CMW172" s="11"/>
      <c r="CMX172" s="12"/>
      <c r="CNG172" s="11"/>
      <c r="CNH172" s="12"/>
      <c r="CNQ172" s="11"/>
      <c r="CNR172" s="12"/>
      <c r="COA172" s="11"/>
      <c r="COB172" s="12"/>
      <c r="COK172" s="11"/>
      <c r="COL172" s="12"/>
      <c r="COU172" s="11"/>
      <c r="COV172" s="12"/>
      <c r="CPE172" s="11"/>
      <c r="CPF172" s="12"/>
      <c r="CPO172" s="11"/>
      <c r="CPP172" s="12"/>
      <c r="CPY172" s="11"/>
      <c r="CPZ172" s="12"/>
      <c r="CQI172" s="11"/>
      <c r="CQJ172" s="12"/>
      <c r="CQS172" s="11"/>
      <c r="CQT172" s="12"/>
      <c r="CRC172" s="11"/>
      <c r="CRD172" s="12"/>
      <c r="CRM172" s="11"/>
      <c r="CRN172" s="12"/>
      <c r="CRW172" s="11"/>
      <c r="CRX172" s="12"/>
      <c r="CSG172" s="11"/>
      <c r="CSH172" s="12"/>
      <c r="CSQ172" s="11"/>
      <c r="CSR172" s="12"/>
      <c r="CTA172" s="11"/>
      <c r="CTB172" s="12"/>
      <c r="CTK172" s="11"/>
      <c r="CTL172" s="12"/>
      <c r="CTU172" s="11"/>
      <c r="CTV172" s="12"/>
      <c r="CUE172" s="11"/>
      <c r="CUF172" s="12"/>
      <c r="CUO172" s="11"/>
      <c r="CUP172" s="12"/>
      <c r="CUY172" s="11"/>
      <c r="CUZ172" s="12"/>
      <c r="CVI172" s="11"/>
      <c r="CVJ172" s="12"/>
      <c r="CVS172" s="11"/>
      <c r="CVT172" s="12"/>
      <c r="CWC172" s="11"/>
      <c r="CWD172" s="12"/>
      <c r="CWM172" s="11"/>
      <c r="CWN172" s="12"/>
      <c r="CWW172" s="11"/>
      <c r="CWX172" s="12"/>
      <c r="CXG172" s="11"/>
      <c r="CXH172" s="12"/>
      <c r="CXQ172" s="11"/>
      <c r="CXR172" s="12"/>
      <c r="CYA172" s="11"/>
      <c r="CYB172" s="12"/>
      <c r="CYK172" s="11"/>
      <c r="CYL172" s="12"/>
      <c r="CYU172" s="11"/>
      <c r="CYV172" s="12"/>
      <c r="CZE172" s="11"/>
      <c r="CZF172" s="12"/>
      <c r="CZO172" s="11"/>
      <c r="CZP172" s="12"/>
      <c r="CZY172" s="11"/>
      <c r="CZZ172" s="12"/>
      <c r="DAI172" s="11"/>
      <c r="DAJ172" s="12"/>
      <c r="DAS172" s="11"/>
      <c r="DAT172" s="12"/>
      <c r="DBC172" s="11"/>
      <c r="DBD172" s="12"/>
      <c r="DBM172" s="11"/>
      <c r="DBN172" s="12"/>
      <c r="DBW172" s="11"/>
      <c r="DBX172" s="12"/>
      <c r="DCG172" s="11"/>
      <c r="DCH172" s="12"/>
      <c r="DCQ172" s="11"/>
      <c r="DCR172" s="12"/>
      <c r="DDA172" s="11"/>
      <c r="DDB172" s="12"/>
      <c r="DDK172" s="11"/>
      <c r="DDL172" s="12"/>
      <c r="DDU172" s="11"/>
      <c r="DDV172" s="12"/>
      <c r="DEE172" s="11"/>
      <c r="DEF172" s="12"/>
      <c r="DEO172" s="11"/>
      <c r="DEP172" s="12"/>
      <c r="DEY172" s="11"/>
      <c r="DEZ172" s="12"/>
      <c r="DFI172" s="11"/>
      <c r="DFJ172" s="12"/>
      <c r="DFS172" s="11"/>
      <c r="DFT172" s="12"/>
      <c r="DGC172" s="11"/>
      <c r="DGD172" s="12"/>
      <c r="DGM172" s="11"/>
      <c r="DGN172" s="12"/>
      <c r="DGW172" s="11"/>
      <c r="DGX172" s="12"/>
      <c r="DHG172" s="11"/>
      <c r="DHH172" s="12"/>
      <c r="DHQ172" s="11"/>
      <c r="DHR172" s="12"/>
      <c r="DIA172" s="11"/>
      <c r="DIB172" s="12"/>
      <c r="DIK172" s="11"/>
      <c r="DIL172" s="12"/>
      <c r="DIU172" s="11"/>
      <c r="DIV172" s="12"/>
      <c r="DJE172" s="11"/>
      <c r="DJF172" s="12"/>
      <c r="DJO172" s="11"/>
      <c r="DJP172" s="12"/>
      <c r="DJY172" s="11"/>
      <c r="DJZ172" s="12"/>
      <c r="DKI172" s="11"/>
      <c r="DKJ172" s="12"/>
      <c r="DKS172" s="11"/>
      <c r="DKT172" s="12"/>
      <c r="DLC172" s="11"/>
      <c r="DLD172" s="12"/>
      <c r="DLM172" s="11"/>
      <c r="DLN172" s="12"/>
      <c r="DLW172" s="11"/>
      <c r="DLX172" s="12"/>
      <c r="DMG172" s="11"/>
      <c r="DMH172" s="12"/>
      <c r="DMQ172" s="11"/>
      <c r="DMR172" s="12"/>
      <c r="DNA172" s="11"/>
      <c r="DNB172" s="12"/>
      <c r="DNK172" s="11"/>
      <c r="DNL172" s="12"/>
      <c r="DNU172" s="11"/>
      <c r="DNV172" s="12"/>
      <c r="DOE172" s="11"/>
      <c r="DOF172" s="12"/>
      <c r="DOO172" s="11"/>
      <c r="DOP172" s="12"/>
      <c r="DOY172" s="11"/>
      <c r="DOZ172" s="12"/>
      <c r="DPI172" s="11"/>
      <c r="DPJ172" s="12"/>
      <c r="DPS172" s="11"/>
      <c r="DPT172" s="12"/>
      <c r="DQC172" s="11"/>
      <c r="DQD172" s="12"/>
      <c r="DQM172" s="11"/>
      <c r="DQN172" s="12"/>
      <c r="DQW172" s="11"/>
      <c r="DQX172" s="12"/>
      <c r="DRG172" s="11"/>
      <c r="DRH172" s="12"/>
      <c r="DRQ172" s="11"/>
      <c r="DRR172" s="12"/>
      <c r="DSA172" s="11"/>
      <c r="DSB172" s="12"/>
      <c r="DSK172" s="11"/>
      <c r="DSL172" s="12"/>
      <c r="DSU172" s="11"/>
      <c r="DSV172" s="12"/>
      <c r="DTE172" s="11"/>
      <c r="DTF172" s="12"/>
      <c r="DTO172" s="11"/>
      <c r="DTP172" s="12"/>
      <c r="DTY172" s="11"/>
      <c r="DTZ172" s="12"/>
      <c r="DUI172" s="11"/>
      <c r="DUJ172" s="12"/>
      <c r="DUS172" s="11"/>
      <c r="DUT172" s="12"/>
      <c r="DVC172" s="11"/>
      <c r="DVD172" s="12"/>
      <c r="DVM172" s="11"/>
      <c r="DVN172" s="12"/>
      <c r="DVW172" s="11"/>
      <c r="DVX172" s="12"/>
      <c r="DWG172" s="11"/>
      <c r="DWH172" s="12"/>
      <c r="DWQ172" s="11"/>
      <c r="DWR172" s="12"/>
      <c r="DXA172" s="11"/>
      <c r="DXB172" s="12"/>
      <c r="DXK172" s="11"/>
      <c r="DXL172" s="12"/>
      <c r="DXU172" s="11"/>
      <c r="DXV172" s="12"/>
      <c r="DYE172" s="11"/>
      <c r="DYF172" s="12"/>
      <c r="DYO172" s="11"/>
      <c r="DYP172" s="12"/>
      <c r="DYY172" s="11"/>
      <c r="DYZ172" s="12"/>
      <c r="DZI172" s="11"/>
      <c r="DZJ172" s="12"/>
      <c r="DZS172" s="11"/>
      <c r="DZT172" s="12"/>
      <c r="EAC172" s="11"/>
      <c r="EAD172" s="12"/>
      <c r="EAM172" s="11"/>
      <c r="EAN172" s="12"/>
      <c r="EAW172" s="11"/>
      <c r="EAX172" s="12"/>
      <c r="EBG172" s="11"/>
      <c r="EBH172" s="12"/>
      <c r="EBQ172" s="11"/>
      <c r="EBR172" s="12"/>
      <c r="ECA172" s="11"/>
      <c r="ECB172" s="12"/>
      <c r="ECK172" s="11"/>
      <c r="ECL172" s="12"/>
      <c r="ECU172" s="11"/>
      <c r="ECV172" s="12"/>
      <c r="EDE172" s="11"/>
      <c r="EDF172" s="12"/>
      <c r="EDO172" s="11"/>
      <c r="EDP172" s="12"/>
      <c r="EDY172" s="11"/>
      <c r="EDZ172" s="12"/>
      <c r="EEI172" s="11"/>
      <c r="EEJ172" s="12"/>
      <c r="EES172" s="11"/>
      <c r="EET172" s="12"/>
      <c r="EFC172" s="11"/>
      <c r="EFD172" s="12"/>
      <c r="EFM172" s="11"/>
      <c r="EFN172" s="12"/>
      <c r="EFW172" s="11"/>
      <c r="EFX172" s="12"/>
      <c r="EGG172" s="11"/>
      <c r="EGH172" s="12"/>
      <c r="EGQ172" s="11"/>
      <c r="EGR172" s="12"/>
      <c r="EHA172" s="11"/>
      <c r="EHB172" s="12"/>
      <c r="EHK172" s="11"/>
      <c r="EHL172" s="12"/>
      <c r="EHU172" s="11"/>
      <c r="EHV172" s="12"/>
      <c r="EIE172" s="11"/>
      <c r="EIF172" s="12"/>
      <c r="EIO172" s="11"/>
      <c r="EIP172" s="12"/>
      <c r="EIY172" s="11"/>
      <c r="EIZ172" s="12"/>
      <c r="EJI172" s="11"/>
      <c r="EJJ172" s="12"/>
      <c r="EJS172" s="11"/>
      <c r="EJT172" s="12"/>
      <c r="EKC172" s="11"/>
      <c r="EKD172" s="12"/>
      <c r="EKM172" s="11"/>
      <c r="EKN172" s="12"/>
      <c r="EKW172" s="11"/>
      <c r="EKX172" s="12"/>
      <c r="ELG172" s="11"/>
      <c r="ELH172" s="12"/>
      <c r="ELQ172" s="11"/>
      <c r="ELR172" s="12"/>
      <c r="EMA172" s="11"/>
      <c r="EMB172" s="12"/>
      <c r="EMK172" s="11"/>
      <c r="EML172" s="12"/>
      <c r="EMU172" s="11"/>
      <c r="EMV172" s="12"/>
      <c r="ENE172" s="11"/>
      <c r="ENF172" s="12"/>
      <c r="ENO172" s="11"/>
      <c r="ENP172" s="12"/>
      <c r="ENY172" s="11"/>
      <c r="ENZ172" s="12"/>
      <c r="EOI172" s="11"/>
      <c r="EOJ172" s="12"/>
      <c r="EOS172" s="11"/>
      <c r="EOT172" s="12"/>
      <c r="EPC172" s="11"/>
      <c r="EPD172" s="12"/>
      <c r="EPM172" s="11"/>
      <c r="EPN172" s="12"/>
      <c r="EPW172" s="11"/>
      <c r="EPX172" s="12"/>
      <c r="EQG172" s="11"/>
      <c r="EQH172" s="12"/>
      <c r="EQQ172" s="11"/>
      <c r="EQR172" s="12"/>
      <c r="ERA172" s="11"/>
      <c r="ERB172" s="12"/>
      <c r="ERK172" s="11"/>
      <c r="ERL172" s="12"/>
      <c r="ERU172" s="11"/>
      <c r="ERV172" s="12"/>
      <c r="ESE172" s="11"/>
      <c r="ESF172" s="12"/>
      <c r="ESO172" s="11"/>
      <c r="ESP172" s="12"/>
      <c r="ESY172" s="11"/>
      <c r="ESZ172" s="12"/>
      <c r="ETI172" s="11"/>
      <c r="ETJ172" s="12"/>
      <c r="ETS172" s="11"/>
      <c r="ETT172" s="12"/>
      <c r="EUC172" s="11"/>
      <c r="EUD172" s="12"/>
      <c r="EUM172" s="11"/>
      <c r="EUN172" s="12"/>
      <c r="EUW172" s="11"/>
      <c r="EUX172" s="12"/>
      <c r="EVG172" s="11"/>
      <c r="EVH172" s="12"/>
      <c r="EVQ172" s="11"/>
      <c r="EVR172" s="12"/>
      <c r="EWA172" s="11"/>
      <c r="EWB172" s="12"/>
      <c r="EWK172" s="11"/>
      <c r="EWL172" s="12"/>
      <c r="EWU172" s="11"/>
      <c r="EWV172" s="12"/>
      <c r="EXE172" s="11"/>
      <c r="EXF172" s="12"/>
      <c r="EXO172" s="11"/>
      <c r="EXP172" s="12"/>
      <c r="EXY172" s="11"/>
      <c r="EXZ172" s="12"/>
      <c r="EYI172" s="11"/>
      <c r="EYJ172" s="12"/>
      <c r="EYS172" s="11"/>
      <c r="EYT172" s="12"/>
      <c r="EZC172" s="11"/>
      <c r="EZD172" s="12"/>
      <c r="EZM172" s="11"/>
      <c r="EZN172" s="12"/>
      <c r="EZW172" s="11"/>
      <c r="EZX172" s="12"/>
      <c r="FAG172" s="11"/>
      <c r="FAH172" s="12"/>
      <c r="FAQ172" s="11"/>
      <c r="FAR172" s="12"/>
      <c r="FBA172" s="11"/>
      <c r="FBB172" s="12"/>
      <c r="FBK172" s="11"/>
      <c r="FBL172" s="12"/>
      <c r="FBU172" s="11"/>
      <c r="FBV172" s="12"/>
      <c r="FCE172" s="11"/>
      <c r="FCF172" s="12"/>
      <c r="FCO172" s="11"/>
      <c r="FCP172" s="12"/>
      <c r="FCY172" s="11"/>
      <c r="FCZ172" s="12"/>
      <c r="FDI172" s="11"/>
      <c r="FDJ172" s="12"/>
      <c r="FDS172" s="11"/>
      <c r="FDT172" s="12"/>
      <c r="FEC172" s="11"/>
      <c r="FED172" s="12"/>
      <c r="FEM172" s="11"/>
      <c r="FEN172" s="12"/>
      <c r="FEW172" s="11"/>
      <c r="FEX172" s="12"/>
      <c r="FFG172" s="11"/>
      <c r="FFH172" s="12"/>
      <c r="FFQ172" s="11"/>
      <c r="FFR172" s="12"/>
      <c r="FGA172" s="11"/>
      <c r="FGB172" s="12"/>
      <c r="FGK172" s="11"/>
      <c r="FGL172" s="12"/>
      <c r="FGU172" s="11"/>
      <c r="FGV172" s="12"/>
      <c r="FHE172" s="11"/>
      <c r="FHF172" s="12"/>
      <c r="FHO172" s="11"/>
      <c r="FHP172" s="12"/>
      <c r="FHY172" s="11"/>
      <c r="FHZ172" s="12"/>
      <c r="FII172" s="11"/>
      <c r="FIJ172" s="12"/>
      <c r="FIS172" s="11"/>
      <c r="FIT172" s="12"/>
      <c r="FJC172" s="11"/>
      <c r="FJD172" s="12"/>
      <c r="FJM172" s="11"/>
      <c r="FJN172" s="12"/>
      <c r="FJW172" s="11"/>
      <c r="FJX172" s="12"/>
      <c r="FKG172" s="11"/>
      <c r="FKH172" s="12"/>
      <c r="FKQ172" s="11"/>
      <c r="FKR172" s="12"/>
      <c r="FLA172" s="11"/>
      <c r="FLB172" s="12"/>
      <c r="FLK172" s="11"/>
      <c r="FLL172" s="12"/>
      <c r="FLU172" s="11"/>
      <c r="FLV172" s="12"/>
      <c r="FME172" s="11"/>
      <c r="FMF172" s="12"/>
      <c r="FMO172" s="11"/>
      <c r="FMP172" s="12"/>
      <c r="FMY172" s="11"/>
      <c r="FMZ172" s="12"/>
      <c r="FNI172" s="11"/>
      <c r="FNJ172" s="12"/>
      <c r="FNS172" s="11"/>
      <c r="FNT172" s="12"/>
      <c r="FOC172" s="11"/>
      <c r="FOD172" s="12"/>
      <c r="FOM172" s="11"/>
      <c r="FON172" s="12"/>
      <c r="FOW172" s="11"/>
      <c r="FOX172" s="12"/>
      <c r="FPG172" s="11"/>
      <c r="FPH172" s="12"/>
      <c r="FPQ172" s="11"/>
      <c r="FPR172" s="12"/>
      <c r="FQA172" s="11"/>
      <c r="FQB172" s="12"/>
      <c r="FQK172" s="11"/>
      <c r="FQL172" s="12"/>
      <c r="FQU172" s="11"/>
      <c r="FQV172" s="12"/>
      <c r="FRE172" s="11"/>
      <c r="FRF172" s="12"/>
      <c r="FRO172" s="11"/>
      <c r="FRP172" s="12"/>
      <c r="FRY172" s="11"/>
      <c r="FRZ172" s="12"/>
      <c r="FSI172" s="11"/>
      <c r="FSJ172" s="12"/>
      <c r="FSS172" s="11"/>
      <c r="FST172" s="12"/>
      <c r="FTC172" s="11"/>
      <c r="FTD172" s="12"/>
      <c r="FTM172" s="11"/>
      <c r="FTN172" s="12"/>
      <c r="FTW172" s="11"/>
      <c r="FTX172" s="12"/>
      <c r="FUG172" s="11"/>
      <c r="FUH172" s="12"/>
      <c r="FUQ172" s="11"/>
      <c r="FUR172" s="12"/>
      <c r="FVA172" s="11"/>
      <c r="FVB172" s="12"/>
      <c r="FVK172" s="11"/>
      <c r="FVL172" s="12"/>
      <c r="FVU172" s="11"/>
      <c r="FVV172" s="12"/>
      <c r="FWE172" s="11"/>
      <c r="FWF172" s="12"/>
      <c r="FWO172" s="11"/>
      <c r="FWP172" s="12"/>
      <c r="FWY172" s="11"/>
      <c r="FWZ172" s="12"/>
      <c r="FXI172" s="11"/>
      <c r="FXJ172" s="12"/>
      <c r="FXS172" s="11"/>
      <c r="FXT172" s="12"/>
      <c r="FYC172" s="11"/>
      <c r="FYD172" s="12"/>
      <c r="FYM172" s="11"/>
      <c r="FYN172" s="12"/>
      <c r="FYW172" s="11"/>
      <c r="FYX172" s="12"/>
      <c r="FZG172" s="11"/>
      <c r="FZH172" s="12"/>
      <c r="FZQ172" s="11"/>
      <c r="FZR172" s="12"/>
      <c r="GAA172" s="11"/>
      <c r="GAB172" s="12"/>
      <c r="GAK172" s="11"/>
      <c r="GAL172" s="12"/>
      <c r="GAU172" s="11"/>
      <c r="GAV172" s="12"/>
      <c r="GBE172" s="11"/>
      <c r="GBF172" s="12"/>
      <c r="GBO172" s="11"/>
      <c r="GBP172" s="12"/>
      <c r="GBY172" s="11"/>
      <c r="GBZ172" s="12"/>
      <c r="GCI172" s="11"/>
      <c r="GCJ172" s="12"/>
      <c r="GCS172" s="11"/>
      <c r="GCT172" s="12"/>
      <c r="GDC172" s="11"/>
      <c r="GDD172" s="12"/>
      <c r="GDM172" s="11"/>
      <c r="GDN172" s="12"/>
      <c r="GDW172" s="11"/>
      <c r="GDX172" s="12"/>
      <c r="GEG172" s="11"/>
      <c r="GEH172" s="12"/>
      <c r="GEQ172" s="11"/>
      <c r="GER172" s="12"/>
      <c r="GFA172" s="11"/>
      <c r="GFB172" s="12"/>
      <c r="GFK172" s="11"/>
      <c r="GFL172" s="12"/>
      <c r="GFU172" s="11"/>
      <c r="GFV172" s="12"/>
      <c r="GGE172" s="11"/>
      <c r="GGF172" s="12"/>
      <c r="GGO172" s="11"/>
      <c r="GGP172" s="12"/>
      <c r="GGY172" s="11"/>
      <c r="GGZ172" s="12"/>
      <c r="GHI172" s="11"/>
      <c r="GHJ172" s="12"/>
      <c r="GHS172" s="11"/>
      <c r="GHT172" s="12"/>
      <c r="GIC172" s="11"/>
      <c r="GID172" s="12"/>
      <c r="GIM172" s="11"/>
      <c r="GIN172" s="12"/>
      <c r="GIW172" s="11"/>
      <c r="GIX172" s="12"/>
      <c r="GJG172" s="11"/>
      <c r="GJH172" s="12"/>
      <c r="GJQ172" s="11"/>
      <c r="GJR172" s="12"/>
      <c r="GKA172" s="11"/>
      <c r="GKB172" s="12"/>
      <c r="GKK172" s="11"/>
      <c r="GKL172" s="12"/>
      <c r="GKU172" s="11"/>
      <c r="GKV172" s="12"/>
      <c r="GLE172" s="11"/>
      <c r="GLF172" s="12"/>
      <c r="GLO172" s="11"/>
      <c r="GLP172" s="12"/>
      <c r="GLY172" s="11"/>
      <c r="GLZ172" s="12"/>
      <c r="GMI172" s="11"/>
      <c r="GMJ172" s="12"/>
      <c r="GMS172" s="11"/>
      <c r="GMT172" s="12"/>
      <c r="GNC172" s="11"/>
      <c r="GND172" s="12"/>
      <c r="GNM172" s="11"/>
      <c r="GNN172" s="12"/>
      <c r="GNW172" s="11"/>
      <c r="GNX172" s="12"/>
      <c r="GOG172" s="11"/>
      <c r="GOH172" s="12"/>
      <c r="GOQ172" s="11"/>
      <c r="GOR172" s="12"/>
      <c r="GPA172" s="11"/>
      <c r="GPB172" s="12"/>
      <c r="GPK172" s="11"/>
      <c r="GPL172" s="12"/>
      <c r="GPU172" s="11"/>
      <c r="GPV172" s="12"/>
      <c r="GQE172" s="11"/>
      <c r="GQF172" s="12"/>
      <c r="GQO172" s="11"/>
      <c r="GQP172" s="12"/>
      <c r="GQY172" s="11"/>
      <c r="GQZ172" s="12"/>
      <c r="GRI172" s="11"/>
      <c r="GRJ172" s="12"/>
      <c r="GRS172" s="11"/>
      <c r="GRT172" s="12"/>
      <c r="GSC172" s="11"/>
      <c r="GSD172" s="12"/>
      <c r="GSM172" s="11"/>
      <c r="GSN172" s="12"/>
      <c r="GSW172" s="11"/>
      <c r="GSX172" s="12"/>
      <c r="GTG172" s="11"/>
      <c r="GTH172" s="12"/>
      <c r="GTQ172" s="11"/>
      <c r="GTR172" s="12"/>
      <c r="GUA172" s="11"/>
      <c r="GUB172" s="12"/>
      <c r="GUK172" s="11"/>
      <c r="GUL172" s="12"/>
      <c r="GUU172" s="11"/>
      <c r="GUV172" s="12"/>
      <c r="GVE172" s="11"/>
      <c r="GVF172" s="12"/>
      <c r="GVO172" s="11"/>
      <c r="GVP172" s="12"/>
      <c r="GVY172" s="11"/>
      <c r="GVZ172" s="12"/>
      <c r="GWI172" s="11"/>
      <c r="GWJ172" s="12"/>
      <c r="GWS172" s="11"/>
      <c r="GWT172" s="12"/>
      <c r="GXC172" s="11"/>
      <c r="GXD172" s="12"/>
      <c r="GXM172" s="11"/>
      <c r="GXN172" s="12"/>
      <c r="GXW172" s="11"/>
      <c r="GXX172" s="12"/>
      <c r="GYG172" s="11"/>
      <c r="GYH172" s="12"/>
      <c r="GYQ172" s="11"/>
      <c r="GYR172" s="12"/>
      <c r="GZA172" s="11"/>
      <c r="GZB172" s="12"/>
      <c r="GZK172" s="11"/>
      <c r="GZL172" s="12"/>
      <c r="GZU172" s="11"/>
      <c r="GZV172" s="12"/>
      <c r="HAE172" s="11"/>
      <c r="HAF172" s="12"/>
      <c r="HAO172" s="11"/>
      <c r="HAP172" s="12"/>
      <c r="HAY172" s="11"/>
      <c r="HAZ172" s="12"/>
      <c r="HBI172" s="11"/>
      <c r="HBJ172" s="12"/>
      <c r="HBS172" s="11"/>
      <c r="HBT172" s="12"/>
      <c r="HCC172" s="11"/>
      <c r="HCD172" s="12"/>
      <c r="HCM172" s="11"/>
      <c r="HCN172" s="12"/>
      <c r="HCW172" s="11"/>
      <c r="HCX172" s="12"/>
      <c r="HDG172" s="11"/>
      <c r="HDH172" s="12"/>
      <c r="HDQ172" s="11"/>
      <c r="HDR172" s="12"/>
      <c r="HEA172" s="11"/>
      <c r="HEB172" s="12"/>
      <c r="HEK172" s="11"/>
      <c r="HEL172" s="12"/>
      <c r="HEU172" s="11"/>
      <c r="HEV172" s="12"/>
      <c r="HFE172" s="11"/>
      <c r="HFF172" s="12"/>
      <c r="HFO172" s="11"/>
      <c r="HFP172" s="12"/>
      <c r="HFY172" s="11"/>
      <c r="HFZ172" s="12"/>
      <c r="HGI172" s="11"/>
      <c r="HGJ172" s="12"/>
      <c r="HGS172" s="11"/>
      <c r="HGT172" s="12"/>
      <c r="HHC172" s="11"/>
      <c r="HHD172" s="12"/>
      <c r="HHM172" s="11"/>
      <c r="HHN172" s="12"/>
      <c r="HHW172" s="11"/>
      <c r="HHX172" s="12"/>
      <c r="HIG172" s="11"/>
      <c r="HIH172" s="12"/>
      <c r="HIQ172" s="11"/>
      <c r="HIR172" s="12"/>
      <c r="HJA172" s="11"/>
      <c r="HJB172" s="12"/>
      <c r="HJK172" s="11"/>
      <c r="HJL172" s="12"/>
      <c r="HJU172" s="11"/>
      <c r="HJV172" s="12"/>
      <c r="HKE172" s="11"/>
      <c r="HKF172" s="12"/>
      <c r="HKO172" s="11"/>
      <c r="HKP172" s="12"/>
      <c r="HKY172" s="11"/>
      <c r="HKZ172" s="12"/>
      <c r="HLI172" s="11"/>
      <c r="HLJ172" s="12"/>
      <c r="HLS172" s="11"/>
      <c r="HLT172" s="12"/>
      <c r="HMC172" s="11"/>
      <c r="HMD172" s="12"/>
      <c r="HMM172" s="11"/>
      <c r="HMN172" s="12"/>
      <c r="HMW172" s="11"/>
      <c r="HMX172" s="12"/>
      <c r="HNG172" s="11"/>
      <c r="HNH172" s="12"/>
      <c r="HNQ172" s="11"/>
      <c r="HNR172" s="12"/>
      <c r="HOA172" s="11"/>
      <c r="HOB172" s="12"/>
      <c r="HOK172" s="11"/>
      <c r="HOL172" s="12"/>
      <c r="HOU172" s="11"/>
      <c r="HOV172" s="12"/>
      <c r="HPE172" s="11"/>
      <c r="HPF172" s="12"/>
      <c r="HPO172" s="11"/>
      <c r="HPP172" s="12"/>
      <c r="HPY172" s="11"/>
      <c r="HPZ172" s="12"/>
      <c r="HQI172" s="11"/>
      <c r="HQJ172" s="12"/>
      <c r="HQS172" s="11"/>
      <c r="HQT172" s="12"/>
      <c r="HRC172" s="11"/>
      <c r="HRD172" s="12"/>
      <c r="HRM172" s="11"/>
      <c r="HRN172" s="12"/>
      <c r="HRW172" s="11"/>
      <c r="HRX172" s="12"/>
      <c r="HSG172" s="11"/>
      <c r="HSH172" s="12"/>
      <c r="HSQ172" s="11"/>
      <c r="HSR172" s="12"/>
      <c r="HTA172" s="11"/>
      <c r="HTB172" s="12"/>
      <c r="HTK172" s="11"/>
      <c r="HTL172" s="12"/>
      <c r="HTU172" s="11"/>
      <c r="HTV172" s="12"/>
      <c r="HUE172" s="11"/>
      <c r="HUF172" s="12"/>
      <c r="HUO172" s="11"/>
      <c r="HUP172" s="12"/>
      <c r="HUY172" s="11"/>
      <c r="HUZ172" s="12"/>
      <c r="HVI172" s="11"/>
      <c r="HVJ172" s="12"/>
      <c r="HVS172" s="11"/>
      <c r="HVT172" s="12"/>
      <c r="HWC172" s="11"/>
      <c r="HWD172" s="12"/>
      <c r="HWM172" s="11"/>
      <c r="HWN172" s="12"/>
      <c r="HWW172" s="11"/>
      <c r="HWX172" s="12"/>
      <c r="HXG172" s="11"/>
      <c r="HXH172" s="12"/>
      <c r="HXQ172" s="11"/>
      <c r="HXR172" s="12"/>
      <c r="HYA172" s="11"/>
      <c r="HYB172" s="12"/>
      <c r="HYK172" s="11"/>
      <c r="HYL172" s="12"/>
      <c r="HYU172" s="11"/>
      <c r="HYV172" s="12"/>
      <c r="HZE172" s="11"/>
      <c r="HZF172" s="12"/>
      <c r="HZO172" s="11"/>
      <c r="HZP172" s="12"/>
      <c r="HZY172" s="11"/>
      <c r="HZZ172" s="12"/>
      <c r="IAI172" s="11"/>
      <c r="IAJ172" s="12"/>
      <c r="IAS172" s="11"/>
      <c r="IAT172" s="12"/>
      <c r="IBC172" s="11"/>
      <c r="IBD172" s="12"/>
      <c r="IBM172" s="11"/>
      <c r="IBN172" s="12"/>
      <c r="IBW172" s="11"/>
      <c r="IBX172" s="12"/>
      <c r="ICG172" s="11"/>
      <c r="ICH172" s="12"/>
      <c r="ICQ172" s="11"/>
      <c r="ICR172" s="12"/>
      <c r="IDA172" s="11"/>
      <c r="IDB172" s="12"/>
      <c r="IDK172" s="11"/>
      <c r="IDL172" s="12"/>
      <c r="IDU172" s="11"/>
      <c r="IDV172" s="12"/>
      <c r="IEE172" s="11"/>
      <c r="IEF172" s="12"/>
      <c r="IEO172" s="11"/>
      <c r="IEP172" s="12"/>
      <c r="IEY172" s="11"/>
      <c r="IEZ172" s="12"/>
      <c r="IFI172" s="11"/>
      <c r="IFJ172" s="12"/>
      <c r="IFS172" s="11"/>
      <c r="IFT172" s="12"/>
      <c r="IGC172" s="11"/>
      <c r="IGD172" s="12"/>
      <c r="IGM172" s="11"/>
      <c r="IGN172" s="12"/>
      <c r="IGW172" s="11"/>
      <c r="IGX172" s="12"/>
      <c r="IHG172" s="11"/>
      <c r="IHH172" s="12"/>
      <c r="IHQ172" s="11"/>
      <c r="IHR172" s="12"/>
      <c r="IIA172" s="11"/>
      <c r="IIB172" s="12"/>
      <c r="IIK172" s="11"/>
      <c r="IIL172" s="12"/>
      <c r="IIU172" s="11"/>
      <c r="IIV172" s="12"/>
      <c r="IJE172" s="11"/>
      <c r="IJF172" s="12"/>
      <c r="IJO172" s="11"/>
      <c r="IJP172" s="12"/>
      <c r="IJY172" s="11"/>
      <c r="IJZ172" s="12"/>
      <c r="IKI172" s="11"/>
      <c r="IKJ172" s="12"/>
      <c r="IKS172" s="11"/>
      <c r="IKT172" s="12"/>
      <c r="ILC172" s="11"/>
      <c r="ILD172" s="12"/>
      <c r="ILM172" s="11"/>
      <c r="ILN172" s="12"/>
      <c r="ILW172" s="11"/>
      <c r="ILX172" s="12"/>
      <c r="IMG172" s="11"/>
      <c r="IMH172" s="12"/>
      <c r="IMQ172" s="11"/>
      <c r="IMR172" s="12"/>
      <c r="INA172" s="11"/>
      <c r="INB172" s="12"/>
      <c r="INK172" s="11"/>
      <c r="INL172" s="12"/>
      <c r="INU172" s="11"/>
      <c r="INV172" s="12"/>
      <c r="IOE172" s="11"/>
      <c r="IOF172" s="12"/>
      <c r="IOO172" s="11"/>
      <c r="IOP172" s="12"/>
      <c r="IOY172" s="11"/>
      <c r="IOZ172" s="12"/>
      <c r="IPI172" s="11"/>
      <c r="IPJ172" s="12"/>
      <c r="IPS172" s="11"/>
      <c r="IPT172" s="12"/>
      <c r="IQC172" s="11"/>
      <c r="IQD172" s="12"/>
      <c r="IQM172" s="11"/>
      <c r="IQN172" s="12"/>
      <c r="IQW172" s="11"/>
      <c r="IQX172" s="12"/>
      <c r="IRG172" s="11"/>
      <c r="IRH172" s="12"/>
      <c r="IRQ172" s="11"/>
      <c r="IRR172" s="12"/>
      <c r="ISA172" s="11"/>
      <c r="ISB172" s="12"/>
      <c r="ISK172" s="11"/>
      <c r="ISL172" s="12"/>
      <c r="ISU172" s="11"/>
      <c r="ISV172" s="12"/>
      <c r="ITE172" s="11"/>
      <c r="ITF172" s="12"/>
      <c r="ITO172" s="11"/>
      <c r="ITP172" s="12"/>
      <c r="ITY172" s="11"/>
      <c r="ITZ172" s="12"/>
      <c r="IUI172" s="11"/>
      <c r="IUJ172" s="12"/>
      <c r="IUS172" s="11"/>
      <c r="IUT172" s="12"/>
      <c r="IVC172" s="11"/>
      <c r="IVD172" s="12"/>
      <c r="IVM172" s="11"/>
      <c r="IVN172" s="12"/>
      <c r="IVW172" s="11"/>
      <c r="IVX172" s="12"/>
      <c r="IWG172" s="11"/>
      <c r="IWH172" s="12"/>
      <c r="IWQ172" s="11"/>
      <c r="IWR172" s="12"/>
      <c r="IXA172" s="11"/>
      <c r="IXB172" s="12"/>
      <c r="IXK172" s="11"/>
      <c r="IXL172" s="12"/>
      <c r="IXU172" s="11"/>
      <c r="IXV172" s="12"/>
      <c r="IYE172" s="11"/>
      <c r="IYF172" s="12"/>
      <c r="IYO172" s="11"/>
      <c r="IYP172" s="12"/>
      <c r="IYY172" s="11"/>
      <c r="IYZ172" s="12"/>
      <c r="IZI172" s="11"/>
      <c r="IZJ172" s="12"/>
      <c r="IZS172" s="11"/>
      <c r="IZT172" s="12"/>
      <c r="JAC172" s="11"/>
      <c r="JAD172" s="12"/>
      <c r="JAM172" s="11"/>
      <c r="JAN172" s="12"/>
      <c r="JAW172" s="11"/>
      <c r="JAX172" s="12"/>
      <c r="JBG172" s="11"/>
      <c r="JBH172" s="12"/>
      <c r="JBQ172" s="11"/>
      <c r="JBR172" s="12"/>
      <c r="JCA172" s="11"/>
      <c r="JCB172" s="12"/>
      <c r="JCK172" s="11"/>
      <c r="JCL172" s="12"/>
      <c r="JCU172" s="11"/>
      <c r="JCV172" s="12"/>
      <c r="JDE172" s="11"/>
      <c r="JDF172" s="12"/>
      <c r="JDO172" s="11"/>
      <c r="JDP172" s="12"/>
      <c r="JDY172" s="11"/>
      <c r="JDZ172" s="12"/>
      <c r="JEI172" s="11"/>
      <c r="JEJ172" s="12"/>
      <c r="JES172" s="11"/>
      <c r="JET172" s="12"/>
      <c r="JFC172" s="11"/>
      <c r="JFD172" s="12"/>
      <c r="JFM172" s="11"/>
      <c r="JFN172" s="12"/>
      <c r="JFW172" s="11"/>
      <c r="JFX172" s="12"/>
      <c r="JGG172" s="11"/>
      <c r="JGH172" s="12"/>
      <c r="JGQ172" s="11"/>
      <c r="JGR172" s="12"/>
      <c r="JHA172" s="11"/>
      <c r="JHB172" s="12"/>
      <c r="JHK172" s="11"/>
      <c r="JHL172" s="12"/>
      <c r="JHU172" s="11"/>
      <c r="JHV172" s="12"/>
      <c r="JIE172" s="11"/>
      <c r="JIF172" s="12"/>
      <c r="JIO172" s="11"/>
      <c r="JIP172" s="12"/>
      <c r="JIY172" s="11"/>
      <c r="JIZ172" s="12"/>
      <c r="JJI172" s="11"/>
      <c r="JJJ172" s="12"/>
      <c r="JJS172" s="11"/>
      <c r="JJT172" s="12"/>
      <c r="JKC172" s="11"/>
      <c r="JKD172" s="12"/>
      <c r="JKM172" s="11"/>
      <c r="JKN172" s="12"/>
      <c r="JKW172" s="11"/>
      <c r="JKX172" s="12"/>
      <c r="JLG172" s="11"/>
      <c r="JLH172" s="12"/>
      <c r="JLQ172" s="11"/>
      <c r="JLR172" s="12"/>
      <c r="JMA172" s="11"/>
      <c r="JMB172" s="12"/>
      <c r="JMK172" s="11"/>
      <c r="JML172" s="12"/>
      <c r="JMU172" s="11"/>
      <c r="JMV172" s="12"/>
      <c r="JNE172" s="11"/>
      <c r="JNF172" s="12"/>
      <c r="JNO172" s="11"/>
      <c r="JNP172" s="12"/>
      <c r="JNY172" s="11"/>
      <c r="JNZ172" s="12"/>
      <c r="JOI172" s="11"/>
      <c r="JOJ172" s="12"/>
      <c r="JOS172" s="11"/>
      <c r="JOT172" s="12"/>
      <c r="JPC172" s="11"/>
      <c r="JPD172" s="12"/>
      <c r="JPM172" s="11"/>
      <c r="JPN172" s="12"/>
      <c r="JPW172" s="11"/>
      <c r="JPX172" s="12"/>
      <c r="JQG172" s="11"/>
      <c r="JQH172" s="12"/>
      <c r="JQQ172" s="11"/>
      <c r="JQR172" s="12"/>
      <c r="JRA172" s="11"/>
      <c r="JRB172" s="12"/>
      <c r="JRK172" s="11"/>
      <c r="JRL172" s="12"/>
      <c r="JRU172" s="11"/>
      <c r="JRV172" s="12"/>
      <c r="JSE172" s="11"/>
      <c r="JSF172" s="12"/>
      <c r="JSO172" s="11"/>
      <c r="JSP172" s="12"/>
      <c r="JSY172" s="11"/>
      <c r="JSZ172" s="12"/>
      <c r="JTI172" s="11"/>
      <c r="JTJ172" s="12"/>
      <c r="JTS172" s="11"/>
      <c r="JTT172" s="12"/>
      <c r="JUC172" s="11"/>
      <c r="JUD172" s="12"/>
      <c r="JUM172" s="11"/>
      <c r="JUN172" s="12"/>
      <c r="JUW172" s="11"/>
      <c r="JUX172" s="12"/>
      <c r="JVG172" s="11"/>
      <c r="JVH172" s="12"/>
      <c r="JVQ172" s="11"/>
      <c r="JVR172" s="12"/>
      <c r="JWA172" s="11"/>
      <c r="JWB172" s="12"/>
      <c r="JWK172" s="11"/>
      <c r="JWL172" s="12"/>
      <c r="JWU172" s="11"/>
      <c r="JWV172" s="12"/>
      <c r="JXE172" s="11"/>
      <c r="JXF172" s="12"/>
      <c r="JXO172" s="11"/>
      <c r="JXP172" s="12"/>
      <c r="JXY172" s="11"/>
      <c r="JXZ172" s="12"/>
      <c r="JYI172" s="11"/>
      <c r="JYJ172" s="12"/>
      <c r="JYS172" s="11"/>
      <c r="JYT172" s="12"/>
      <c r="JZC172" s="11"/>
      <c r="JZD172" s="12"/>
      <c r="JZM172" s="11"/>
      <c r="JZN172" s="12"/>
      <c r="JZW172" s="11"/>
      <c r="JZX172" s="12"/>
      <c r="KAG172" s="11"/>
      <c r="KAH172" s="12"/>
      <c r="KAQ172" s="11"/>
      <c r="KAR172" s="12"/>
      <c r="KBA172" s="11"/>
      <c r="KBB172" s="12"/>
      <c r="KBK172" s="11"/>
      <c r="KBL172" s="12"/>
      <c r="KBU172" s="11"/>
      <c r="KBV172" s="12"/>
      <c r="KCE172" s="11"/>
      <c r="KCF172" s="12"/>
      <c r="KCO172" s="11"/>
      <c r="KCP172" s="12"/>
      <c r="KCY172" s="11"/>
      <c r="KCZ172" s="12"/>
      <c r="KDI172" s="11"/>
      <c r="KDJ172" s="12"/>
      <c r="KDS172" s="11"/>
      <c r="KDT172" s="12"/>
      <c r="KEC172" s="11"/>
      <c r="KED172" s="12"/>
      <c r="KEM172" s="11"/>
      <c r="KEN172" s="12"/>
      <c r="KEW172" s="11"/>
      <c r="KEX172" s="12"/>
      <c r="KFG172" s="11"/>
      <c r="KFH172" s="12"/>
      <c r="KFQ172" s="11"/>
      <c r="KFR172" s="12"/>
      <c r="KGA172" s="11"/>
      <c r="KGB172" s="12"/>
      <c r="KGK172" s="11"/>
      <c r="KGL172" s="12"/>
      <c r="KGU172" s="11"/>
      <c r="KGV172" s="12"/>
      <c r="KHE172" s="11"/>
      <c r="KHF172" s="12"/>
      <c r="KHO172" s="11"/>
      <c r="KHP172" s="12"/>
      <c r="KHY172" s="11"/>
      <c r="KHZ172" s="12"/>
      <c r="KII172" s="11"/>
      <c r="KIJ172" s="12"/>
      <c r="KIS172" s="11"/>
      <c r="KIT172" s="12"/>
      <c r="KJC172" s="11"/>
      <c r="KJD172" s="12"/>
      <c r="KJM172" s="11"/>
      <c r="KJN172" s="12"/>
      <c r="KJW172" s="11"/>
      <c r="KJX172" s="12"/>
      <c r="KKG172" s="11"/>
      <c r="KKH172" s="12"/>
      <c r="KKQ172" s="11"/>
      <c r="KKR172" s="12"/>
      <c r="KLA172" s="11"/>
      <c r="KLB172" s="12"/>
      <c r="KLK172" s="11"/>
      <c r="KLL172" s="12"/>
      <c r="KLU172" s="11"/>
      <c r="KLV172" s="12"/>
      <c r="KME172" s="11"/>
      <c r="KMF172" s="12"/>
      <c r="KMO172" s="11"/>
      <c r="KMP172" s="12"/>
      <c r="KMY172" s="11"/>
      <c r="KMZ172" s="12"/>
      <c r="KNI172" s="11"/>
      <c r="KNJ172" s="12"/>
      <c r="KNS172" s="11"/>
      <c r="KNT172" s="12"/>
      <c r="KOC172" s="11"/>
      <c r="KOD172" s="12"/>
      <c r="KOM172" s="11"/>
      <c r="KON172" s="12"/>
      <c r="KOW172" s="11"/>
      <c r="KOX172" s="12"/>
      <c r="KPG172" s="11"/>
      <c r="KPH172" s="12"/>
      <c r="KPQ172" s="11"/>
      <c r="KPR172" s="12"/>
      <c r="KQA172" s="11"/>
      <c r="KQB172" s="12"/>
      <c r="KQK172" s="11"/>
      <c r="KQL172" s="12"/>
      <c r="KQU172" s="11"/>
      <c r="KQV172" s="12"/>
      <c r="KRE172" s="11"/>
      <c r="KRF172" s="12"/>
      <c r="KRO172" s="11"/>
      <c r="KRP172" s="12"/>
      <c r="KRY172" s="11"/>
      <c r="KRZ172" s="12"/>
      <c r="KSI172" s="11"/>
      <c r="KSJ172" s="12"/>
      <c r="KSS172" s="11"/>
      <c r="KST172" s="12"/>
      <c r="KTC172" s="11"/>
      <c r="KTD172" s="12"/>
      <c r="KTM172" s="11"/>
      <c r="KTN172" s="12"/>
      <c r="KTW172" s="11"/>
      <c r="KTX172" s="12"/>
      <c r="KUG172" s="11"/>
      <c r="KUH172" s="12"/>
      <c r="KUQ172" s="11"/>
      <c r="KUR172" s="12"/>
      <c r="KVA172" s="11"/>
      <c r="KVB172" s="12"/>
      <c r="KVK172" s="11"/>
      <c r="KVL172" s="12"/>
      <c r="KVU172" s="11"/>
      <c r="KVV172" s="12"/>
      <c r="KWE172" s="11"/>
      <c r="KWF172" s="12"/>
      <c r="KWO172" s="11"/>
      <c r="KWP172" s="12"/>
      <c r="KWY172" s="11"/>
      <c r="KWZ172" s="12"/>
      <c r="KXI172" s="11"/>
      <c r="KXJ172" s="12"/>
      <c r="KXS172" s="11"/>
      <c r="KXT172" s="12"/>
      <c r="KYC172" s="11"/>
      <c r="KYD172" s="12"/>
      <c r="KYM172" s="11"/>
      <c r="KYN172" s="12"/>
      <c r="KYW172" s="11"/>
      <c r="KYX172" s="12"/>
      <c r="KZG172" s="11"/>
      <c r="KZH172" s="12"/>
      <c r="KZQ172" s="11"/>
      <c r="KZR172" s="12"/>
      <c r="LAA172" s="11"/>
      <c r="LAB172" s="12"/>
      <c r="LAK172" s="11"/>
      <c r="LAL172" s="12"/>
      <c r="LAU172" s="11"/>
      <c r="LAV172" s="12"/>
      <c r="LBE172" s="11"/>
      <c r="LBF172" s="12"/>
      <c r="LBO172" s="11"/>
      <c r="LBP172" s="12"/>
      <c r="LBY172" s="11"/>
      <c r="LBZ172" s="12"/>
      <c r="LCI172" s="11"/>
      <c r="LCJ172" s="12"/>
      <c r="LCS172" s="11"/>
      <c r="LCT172" s="12"/>
      <c r="LDC172" s="11"/>
      <c r="LDD172" s="12"/>
      <c r="LDM172" s="11"/>
      <c r="LDN172" s="12"/>
      <c r="LDW172" s="11"/>
      <c r="LDX172" s="12"/>
      <c r="LEG172" s="11"/>
      <c r="LEH172" s="12"/>
      <c r="LEQ172" s="11"/>
      <c r="LER172" s="12"/>
      <c r="LFA172" s="11"/>
      <c r="LFB172" s="12"/>
      <c r="LFK172" s="11"/>
      <c r="LFL172" s="12"/>
      <c r="LFU172" s="11"/>
      <c r="LFV172" s="12"/>
      <c r="LGE172" s="11"/>
      <c r="LGF172" s="12"/>
      <c r="LGO172" s="11"/>
      <c r="LGP172" s="12"/>
      <c r="LGY172" s="11"/>
      <c r="LGZ172" s="12"/>
      <c r="LHI172" s="11"/>
      <c r="LHJ172" s="12"/>
      <c r="LHS172" s="11"/>
      <c r="LHT172" s="12"/>
      <c r="LIC172" s="11"/>
      <c r="LID172" s="12"/>
      <c r="LIM172" s="11"/>
      <c r="LIN172" s="12"/>
      <c r="LIW172" s="11"/>
      <c r="LIX172" s="12"/>
      <c r="LJG172" s="11"/>
      <c r="LJH172" s="12"/>
      <c r="LJQ172" s="11"/>
      <c r="LJR172" s="12"/>
      <c r="LKA172" s="11"/>
      <c r="LKB172" s="12"/>
      <c r="LKK172" s="11"/>
      <c r="LKL172" s="12"/>
      <c r="LKU172" s="11"/>
      <c r="LKV172" s="12"/>
      <c r="LLE172" s="11"/>
      <c r="LLF172" s="12"/>
      <c r="LLO172" s="11"/>
      <c r="LLP172" s="12"/>
      <c r="LLY172" s="11"/>
      <c r="LLZ172" s="12"/>
      <c r="LMI172" s="11"/>
      <c r="LMJ172" s="12"/>
      <c r="LMS172" s="11"/>
      <c r="LMT172" s="12"/>
      <c r="LNC172" s="11"/>
      <c r="LND172" s="12"/>
      <c r="LNM172" s="11"/>
      <c r="LNN172" s="12"/>
      <c r="LNW172" s="11"/>
      <c r="LNX172" s="12"/>
      <c r="LOG172" s="11"/>
      <c r="LOH172" s="12"/>
      <c r="LOQ172" s="11"/>
      <c r="LOR172" s="12"/>
      <c r="LPA172" s="11"/>
      <c r="LPB172" s="12"/>
      <c r="LPK172" s="11"/>
      <c r="LPL172" s="12"/>
      <c r="LPU172" s="11"/>
      <c r="LPV172" s="12"/>
      <c r="LQE172" s="11"/>
      <c r="LQF172" s="12"/>
      <c r="LQO172" s="11"/>
      <c r="LQP172" s="12"/>
      <c r="LQY172" s="11"/>
      <c r="LQZ172" s="12"/>
      <c r="LRI172" s="11"/>
      <c r="LRJ172" s="12"/>
      <c r="LRS172" s="11"/>
      <c r="LRT172" s="12"/>
      <c r="LSC172" s="11"/>
      <c r="LSD172" s="12"/>
      <c r="LSM172" s="11"/>
      <c r="LSN172" s="12"/>
      <c r="LSW172" s="11"/>
      <c r="LSX172" s="12"/>
      <c r="LTG172" s="11"/>
      <c r="LTH172" s="12"/>
      <c r="LTQ172" s="11"/>
      <c r="LTR172" s="12"/>
      <c r="LUA172" s="11"/>
      <c r="LUB172" s="12"/>
      <c r="LUK172" s="11"/>
      <c r="LUL172" s="12"/>
      <c r="LUU172" s="11"/>
      <c r="LUV172" s="12"/>
      <c r="LVE172" s="11"/>
      <c r="LVF172" s="12"/>
      <c r="LVO172" s="11"/>
      <c r="LVP172" s="12"/>
      <c r="LVY172" s="11"/>
      <c r="LVZ172" s="12"/>
      <c r="LWI172" s="11"/>
      <c r="LWJ172" s="12"/>
      <c r="LWS172" s="11"/>
      <c r="LWT172" s="12"/>
      <c r="LXC172" s="11"/>
      <c r="LXD172" s="12"/>
      <c r="LXM172" s="11"/>
      <c r="LXN172" s="12"/>
      <c r="LXW172" s="11"/>
      <c r="LXX172" s="12"/>
      <c r="LYG172" s="11"/>
      <c r="LYH172" s="12"/>
      <c r="LYQ172" s="11"/>
      <c r="LYR172" s="12"/>
      <c r="LZA172" s="11"/>
      <c r="LZB172" s="12"/>
      <c r="LZK172" s="11"/>
      <c r="LZL172" s="12"/>
      <c r="LZU172" s="11"/>
      <c r="LZV172" s="12"/>
      <c r="MAE172" s="11"/>
      <c r="MAF172" s="12"/>
      <c r="MAO172" s="11"/>
      <c r="MAP172" s="12"/>
      <c r="MAY172" s="11"/>
      <c r="MAZ172" s="12"/>
      <c r="MBI172" s="11"/>
      <c r="MBJ172" s="12"/>
      <c r="MBS172" s="11"/>
      <c r="MBT172" s="12"/>
      <c r="MCC172" s="11"/>
      <c r="MCD172" s="12"/>
      <c r="MCM172" s="11"/>
      <c r="MCN172" s="12"/>
      <c r="MCW172" s="11"/>
      <c r="MCX172" s="12"/>
      <c r="MDG172" s="11"/>
      <c r="MDH172" s="12"/>
      <c r="MDQ172" s="11"/>
      <c r="MDR172" s="12"/>
      <c r="MEA172" s="11"/>
      <c r="MEB172" s="12"/>
      <c r="MEK172" s="11"/>
      <c r="MEL172" s="12"/>
      <c r="MEU172" s="11"/>
      <c r="MEV172" s="12"/>
      <c r="MFE172" s="11"/>
      <c r="MFF172" s="12"/>
      <c r="MFO172" s="11"/>
      <c r="MFP172" s="12"/>
      <c r="MFY172" s="11"/>
      <c r="MFZ172" s="12"/>
      <c r="MGI172" s="11"/>
      <c r="MGJ172" s="12"/>
      <c r="MGS172" s="11"/>
      <c r="MGT172" s="12"/>
      <c r="MHC172" s="11"/>
      <c r="MHD172" s="12"/>
      <c r="MHM172" s="11"/>
      <c r="MHN172" s="12"/>
      <c r="MHW172" s="11"/>
      <c r="MHX172" s="12"/>
      <c r="MIG172" s="11"/>
      <c r="MIH172" s="12"/>
      <c r="MIQ172" s="11"/>
      <c r="MIR172" s="12"/>
      <c r="MJA172" s="11"/>
      <c r="MJB172" s="12"/>
      <c r="MJK172" s="11"/>
      <c r="MJL172" s="12"/>
      <c r="MJU172" s="11"/>
      <c r="MJV172" s="12"/>
      <c r="MKE172" s="11"/>
      <c r="MKF172" s="12"/>
      <c r="MKO172" s="11"/>
      <c r="MKP172" s="12"/>
      <c r="MKY172" s="11"/>
      <c r="MKZ172" s="12"/>
      <c r="MLI172" s="11"/>
      <c r="MLJ172" s="12"/>
      <c r="MLS172" s="11"/>
      <c r="MLT172" s="12"/>
      <c r="MMC172" s="11"/>
      <c r="MMD172" s="12"/>
      <c r="MMM172" s="11"/>
      <c r="MMN172" s="12"/>
      <c r="MMW172" s="11"/>
      <c r="MMX172" s="12"/>
      <c r="MNG172" s="11"/>
      <c r="MNH172" s="12"/>
      <c r="MNQ172" s="11"/>
      <c r="MNR172" s="12"/>
      <c r="MOA172" s="11"/>
      <c r="MOB172" s="12"/>
      <c r="MOK172" s="11"/>
      <c r="MOL172" s="12"/>
      <c r="MOU172" s="11"/>
      <c r="MOV172" s="12"/>
      <c r="MPE172" s="11"/>
      <c r="MPF172" s="12"/>
      <c r="MPO172" s="11"/>
      <c r="MPP172" s="12"/>
      <c r="MPY172" s="11"/>
      <c r="MPZ172" s="12"/>
      <c r="MQI172" s="11"/>
      <c r="MQJ172" s="12"/>
      <c r="MQS172" s="11"/>
      <c r="MQT172" s="12"/>
      <c r="MRC172" s="11"/>
      <c r="MRD172" s="12"/>
      <c r="MRM172" s="11"/>
      <c r="MRN172" s="12"/>
      <c r="MRW172" s="11"/>
      <c r="MRX172" s="12"/>
      <c r="MSG172" s="11"/>
      <c r="MSH172" s="12"/>
      <c r="MSQ172" s="11"/>
      <c r="MSR172" s="12"/>
      <c r="MTA172" s="11"/>
      <c r="MTB172" s="12"/>
      <c r="MTK172" s="11"/>
      <c r="MTL172" s="12"/>
      <c r="MTU172" s="11"/>
      <c r="MTV172" s="12"/>
      <c r="MUE172" s="11"/>
      <c r="MUF172" s="12"/>
      <c r="MUO172" s="11"/>
      <c r="MUP172" s="12"/>
      <c r="MUY172" s="11"/>
      <c r="MUZ172" s="12"/>
      <c r="MVI172" s="11"/>
      <c r="MVJ172" s="12"/>
      <c r="MVS172" s="11"/>
      <c r="MVT172" s="12"/>
      <c r="MWC172" s="11"/>
      <c r="MWD172" s="12"/>
      <c r="MWM172" s="11"/>
      <c r="MWN172" s="12"/>
      <c r="MWW172" s="11"/>
      <c r="MWX172" s="12"/>
      <c r="MXG172" s="11"/>
      <c r="MXH172" s="12"/>
      <c r="MXQ172" s="11"/>
      <c r="MXR172" s="12"/>
      <c r="MYA172" s="11"/>
      <c r="MYB172" s="12"/>
      <c r="MYK172" s="11"/>
      <c r="MYL172" s="12"/>
      <c r="MYU172" s="11"/>
      <c r="MYV172" s="12"/>
      <c r="MZE172" s="11"/>
      <c r="MZF172" s="12"/>
      <c r="MZO172" s="11"/>
      <c r="MZP172" s="12"/>
      <c r="MZY172" s="11"/>
      <c r="MZZ172" s="12"/>
      <c r="NAI172" s="11"/>
      <c r="NAJ172" s="12"/>
      <c r="NAS172" s="11"/>
      <c r="NAT172" s="12"/>
      <c r="NBC172" s="11"/>
      <c r="NBD172" s="12"/>
      <c r="NBM172" s="11"/>
      <c r="NBN172" s="12"/>
      <c r="NBW172" s="11"/>
      <c r="NBX172" s="12"/>
      <c r="NCG172" s="11"/>
      <c r="NCH172" s="12"/>
      <c r="NCQ172" s="11"/>
      <c r="NCR172" s="12"/>
      <c r="NDA172" s="11"/>
      <c r="NDB172" s="12"/>
      <c r="NDK172" s="11"/>
      <c r="NDL172" s="12"/>
      <c r="NDU172" s="11"/>
      <c r="NDV172" s="12"/>
      <c r="NEE172" s="11"/>
      <c r="NEF172" s="12"/>
      <c r="NEO172" s="11"/>
      <c r="NEP172" s="12"/>
      <c r="NEY172" s="11"/>
      <c r="NEZ172" s="12"/>
      <c r="NFI172" s="11"/>
      <c r="NFJ172" s="12"/>
      <c r="NFS172" s="11"/>
      <c r="NFT172" s="12"/>
      <c r="NGC172" s="11"/>
      <c r="NGD172" s="12"/>
      <c r="NGM172" s="11"/>
      <c r="NGN172" s="12"/>
      <c r="NGW172" s="11"/>
      <c r="NGX172" s="12"/>
      <c r="NHG172" s="11"/>
      <c r="NHH172" s="12"/>
      <c r="NHQ172" s="11"/>
      <c r="NHR172" s="12"/>
      <c r="NIA172" s="11"/>
      <c r="NIB172" s="12"/>
      <c r="NIK172" s="11"/>
      <c r="NIL172" s="12"/>
      <c r="NIU172" s="11"/>
      <c r="NIV172" s="12"/>
      <c r="NJE172" s="11"/>
      <c r="NJF172" s="12"/>
      <c r="NJO172" s="11"/>
      <c r="NJP172" s="12"/>
      <c r="NJY172" s="11"/>
      <c r="NJZ172" s="12"/>
      <c r="NKI172" s="11"/>
      <c r="NKJ172" s="12"/>
      <c r="NKS172" s="11"/>
      <c r="NKT172" s="12"/>
      <c r="NLC172" s="11"/>
      <c r="NLD172" s="12"/>
      <c r="NLM172" s="11"/>
      <c r="NLN172" s="12"/>
      <c r="NLW172" s="11"/>
      <c r="NLX172" s="12"/>
      <c r="NMG172" s="11"/>
      <c r="NMH172" s="12"/>
      <c r="NMQ172" s="11"/>
      <c r="NMR172" s="12"/>
      <c r="NNA172" s="11"/>
      <c r="NNB172" s="12"/>
      <c r="NNK172" s="11"/>
      <c r="NNL172" s="12"/>
      <c r="NNU172" s="11"/>
      <c r="NNV172" s="12"/>
      <c r="NOE172" s="11"/>
      <c r="NOF172" s="12"/>
      <c r="NOO172" s="11"/>
      <c r="NOP172" s="12"/>
      <c r="NOY172" s="11"/>
      <c r="NOZ172" s="12"/>
      <c r="NPI172" s="11"/>
      <c r="NPJ172" s="12"/>
      <c r="NPS172" s="11"/>
      <c r="NPT172" s="12"/>
      <c r="NQC172" s="11"/>
      <c r="NQD172" s="12"/>
      <c r="NQM172" s="11"/>
      <c r="NQN172" s="12"/>
      <c r="NQW172" s="11"/>
      <c r="NQX172" s="12"/>
      <c r="NRG172" s="11"/>
      <c r="NRH172" s="12"/>
      <c r="NRQ172" s="11"/>
      <c r="NRR172" s="12"/>
      <c r="NSA172" s="11"/>
      <c r="NSB172" s="12"/>
      <c r="NSK172" s="11"/>
      <c r="NSL172" s="12"/>
      <c r="NSU172" s="11"/>
      <c r="NSV172" s="12"/>
      <c r="NTE172" s="11"/>
      <c r="NTF172" s="12"/>
      <c r="NTO172" s="11"/>
      <c r="NTP172" s="12"/>
      <c r="NTY172" s="11"/>
      <c r="NTZ172" s="12"/>
      <c r="NUI172" s="11"/>
      <c r="NUJ172" s="12"/>
      <c r="NUS172" s="11"/>
      <c r="NUT172" s="12"/>
      <c r="NVC172" s="11"/>
      <c r="NVD172" s="12"/>
      <c r="NVM172" s="11"/>
      <c r="NVN172" s="12"/>
      <c r="NVW172" s="11"/>
      <c r="NVX172" s="12"/>
      <c r="NWG172" s="11"/>
      <c r="NWH172" s="12"/>
      <c r="NWQ172" s="11"/>
      <c r="NWR172" s="12"/>
      <c r="NXA172" s="11"/>
      <c r="NXB172" s="12"/>
      <c r="NXK172" s="11"/>
      <c r="NXL172" s="12"/>
      <c r="NXU172" s="11"/>
      <c r="NXV172" s="12"/>
      <c r="NYE172" s="11"/>
      <c r="NYF172" s="12"/>
      <c r="NYO172" s="11"/>
      <c r="NYP172" s="12"/>
      <c r="NYY172" s="11"/>
      <c r="NYZ172" s="12"/>
      <c r="NZI172" s="11"/>
      <c r="NZJ172" s="12"/>
      <c r="NZS172" s="11"/>
      <c r="NZT172" s="12"/>
      <c r="OAC172" s="11"/>
      <c r="OAD172" s="12"/>
      <c r="OAM172" s="11"/>
      <c r="OAN172" s="12"/>
      <c r="OAW172" s="11"/>
      <c r="OAX172" s="12"/>
      <c r="OBG172" s="11"/>
      <c r="OBH172" s="12"/>
      <c r="OBQ172" s="11"/>
      <c r="OBR172" s="12"/>
      <c r="OCA172" s="11"/>
      <c r="OCB172" s="12"/>
      <c r="OCK172" s="11"/>
      <c r="OCL172" s="12"/>
      <c r="OCU172" s="11"/>
      <c r="OCV172" s="12"/>
      <c r="ODE172" s="11"/>
      <c r="ODF172" s="12"/>
      <c r="ODO172" s="11"/>
      <c r="ODP172" s="12"/>
      <c r="ODY172" s="11"/>
      <c r="ODZ172" s="12"/>
      <c r="OEI172" s="11"/>
      <c r="OEJ172" s="12"/>
      <c r="OES172" s="11"/>
      <c r="OET172" s="12"/>
      <c r="OFC172" s="11"/>
      <c r="OFD172" s="12"/>
      <c r="OFM172" s="11"/>
      <c r="OFN172" s="12"/>
      <c r="OFW172" s="11"/>
      <c r="OFX172" s="12"/>
      <c r="OGG172" s="11"/>
      <c r="OGH172" s="12"/>
      <c r="OGQ172" s="11"/>
      <c r="OGR172" s="12"/>
      <c r="OHA172" s="11"/>
      <c r="OHB172" s="12"/>
      <c r="OHK172" s="11"/>
      <c r="OHL172" s="12"/>
      <c r="OHU172" s="11"/>
      <c r="OHV172" s="12"/>
      <c r="OIE172" s="11"/>
      <c r="OIF172" s="12"/>
      <c r="OIO172" s="11"/>
      <c r="OIP172" s="12"/>
      <c r="OIY172" s="11"/>
      <c r="OIZ172" s="12"/>
      <c r="OJI172" s="11"/>
      <c r="OJJ172" s="12"/>
      <c r="OJS172" s="11"/>
      <c r="OJT172" s="12"/>
      <c r="OKC172" s="11"/>
      <c r="OKD172" s="12"/>
      <c r="OKM172" s="11"/>
      <c r="OKN172" s="12"/>
      <c r="OKW172" s="11"/>
      <c r="OKX172" s="12"/>
      <c r="OLG172" s="11"/>
      <c r="OLH172" s="12"/>
      <c r="OLQ172" s="11"/>
      <c r="OLR172" s="12"/>
      <c r="OMA172" s="11"/>
      <c r="OMB172" s="12"/>
      <c r="OMK172" s="11"/>
      <c r="OML172" s="12"/>
      <c r="OMU172" s="11"/>
      <c r="OMV172" s="12"/>
      <c r="ONE172" s="11"/>
      <c r="ONF172" s="12"/>
      <c r="ONO172" s="11"/>
      <c r="ONP172" s="12"/>
      <c r="ONY172" s="11"/>
      <c r="ONZ172" s="12"/>
      <c r="OOI172" s="11"/>
      <c r="OOJ172" s="12"/>
      <c r="OOS172" s="11"/>
      <c r="OOT172" s="12"/>
      <c r="OPC172" s="11"/>
      <c r="OPD172" s="12"/>
      <c r="OPM172" s="11"/>
      <c r="OPN172" s="12"/>
      <c r="OPW172" s="11"/>
      <c r="OPX172" s="12"/>
      <c r="OQG172" s="11"/>
      <c r="OQH172" s="12"/>
      <c r="OQQ172" s="11"/>
      <c r="OQR172" s="12"/>
      <c r="ORA172" s="11"/>
      <c r="ORB172" s="12"/>
      <c r="ORK172" s="11"/>
      <c r="ORL172" s="12"/>
      <c r="ORU172" s="11"/>
      <c r="ORV172" s="12"/>
      <c r="OSE172" s="11"/>
      <c r="OSF172" s="12"/>
      <c r="OSO172" s="11"/>
      <c r="OSP172" s="12"/>
      <c r="OSY172" s="11"/>
      <c r="OSZ172" s="12"/>
      <c r="OTI172" s="11"/>
      <c r="OTJ172" s="12"/>
      <c r="OTS172" s="11"/>
      <c r="OTT172" s="12"/>
      <c r="OUC172" s="11"/>
      <c r="OUD172" s="12"/>
      <c r="OUM172" s="11"/>
      <c r="OUN172" s="12"/>
      <c r="OUW172" s="11"/>
      <c r="OUX172" s="12"/>
      <c r="OVG172" s="11"/>
      <c r="OVH172" s="12"/>
      <c r="OVQ172" s="11"/>
      <c r="OVR172" s="12"/>
      <c r="OWA172" s="11"/>
      <c r="OWB172" s="12"/>
      <c r="OWK172" s="11"/>
      <c r="OWL172" s="12"/>
      <c r="OWU172" s="11"/>
      <c r="OWV172" s="12"/>
      <c r="OXE172" s="11"/>
      <c r="OXF172" s="12"/>
      <c r="OXO172" s="11"/>
      <c r="OXP172" s="12"/>
      <c r="OXY172" s="11"/>
      <c r="OXZ172" s="12"/>
      <c r="OYI172" s="11"/>
      <c r="OYJ172" s="12"/>
      <c r="OYS172" s="11"/>
      <c r="OYT172" s="12"/>
      <c r="OZC172" s="11"/>
      <c r="OZD172" s="12"/>
      <c r="OZM172" s="11"/>
      <c r="OZN172" s="12"/>
      <c r="OZW172" s="11"/>
      <c r="OZX172" s="12"/>
      <c r="PAG172" s="11"/>
      <c r="PAH172" s="12"/>
      <c r="PAQ172" s="11"/>
      <c r="PAR172" s="12"/>
      <c r="PBA172" s="11"/>
      <c r="PBB172" s="12"/>
      <c r="PBK172" s="11"/>
      <c r="PBL172" s="12"/>
      <c r="PBU172" s="11"/>
      <c r="PBV172" s="12"/>
      <c r="PCE172" s="11"/>
      <c r="PCF172" s="12"/>
      <c r="PCO172" s="11"/>
      <c r="PCP172" s="12"/>
      <c r="PCY172" s="11"/>
      <c r="PCZ172" s="12"/>
      <c r="PDI172" s="11"/>
      <c r="PDJ172" s="12"/>
      <c r="PDS172" s="11"/>
      <c r="PDT172" s="12"/>
      <c r="PEC172" s="11"/>
      <c r="PED172" s="12"/>
      <c r="PEM172" s="11"/>
      <c r="PEN172" s="12"/>
      <c r="PEW172" s="11"/>
      <c r="PEX172" s="12"/>
      <c r="PFG172" s="11"/>
      <c r="PFH172" s="12"/>
      <c r="PFQ172" s="11"/>
      <c r="PFR172" s="12"/>
      <c r="PGA172" s="11"/>
      <c r="PGB172" s="12"/>
      <c r="PGK172" s="11"/>
      <c r="PGL172" s="12"/>
      <c r="PGU172" s="11"/>
      <c r="PGV172" s="12"/>
      <c r="PHE172" s="11"/>
      <c r="PHF172" s="12"/>
      <c r="PHO172" s="11"/>
      <c r="PHP172" s="12"/>
      <c r="PHY172" s="11"/>
      <c r="PHZ172" s="12"/>
      <c r="PII172" s="11"/>
      <c r="PIJ172" s="12"/>
      <c r="PIS172" s="11"/>
      <c r="PIT172" s="12"/>
      <c r="PJC172" s="11"/>
      <c r="PJD172" s="12"/>
      <c r="PJM172" s="11"/>
      <c r="PJN172" s="12"/>
      <c r="PJW172" s="11"/>
      <c r="PJX172" s="12"/>
      <c r="PKG172" s="11"/>
      <c r="PKH172" s="12"/>
      <c r="PKQ172" s="11"/>
      <c r="PKR172" s="12"/>
      <c r="PLA172" s="11"/>
      <c r="PLB172" s="12"/>
      <c r="PLK172" s="11"/>
      <c r="PLL172" s="12"/>
      <c r="PLU172" s="11"/>
      <c r="PLV172" s="12"/>
      <c r="PME172" s="11"/>
      <c r="PMF172" s="12"/>
      <c r="PMO172" s="11"/>
      <c r="PMP172" s="12"/>
      <c r="PMY172" s="11"/>
      <c r="PMZ172" s="12"/>
      <c r="PNI172" s="11"/>
      <c r="PNJ172" s="12"/>
      <c r="PNS172" s="11"/>
      <c r="PNT172" s="12"/>
      <c r="POC172" s="11"/>
      <c r="POD172" s="12"/>
      <c r="POM172" s="11"/>
      <c r="PON172" s="12"/>
      <c r="POW172" s="11"/>
      <c r="POX172" s="12"/>
      <c r="PPG172" s="11"/>
      <c r="PPH172" s="12"/>
      <c r="PPQ172" s="11"/>
      <c r="PPR172" s="12"/>
      <c r="PQA172" s="11"/>
      <c r="PQB172" s="12"/>
      <c r="PQK172" s="11"/>
      <c r="PQL172" s="12"/>
      <c r="PQU172" s="11"/>
      <c r="PQV172" s="12"/>
      <c r="PRE172" s="11"/>
      <c r="PRF172" s="12"/>
      <c r="PRO172" s="11"/>
      <c r="PRP172" s="12"/>
      <c r="PRY172" s="11"/>
      <c r="PRZ172" s="12"/>
      <c r="PSI172" s="11"/>
      <c r="PSJ172" s="12"/>
      <c r="PSS172" s="11"/>
      <c r="PST172" s="12"/>
      <c r="PTC172" s="11"/>
      <c r="PTD172" s="12"/>
      <c r="PTM172" s="11"/>
      <c r="PTN172" s="12"/>
      <c r="PTW172" s="11"/>
      <c r="PTX172" s="12"/>
      <c r="PUG172" s="11"/>
      <c r="PUH172" s="12"/>
      <c r="PUQ172" s="11"/>
      <c r="PUR172" s="12"/>
      <c r="PVA172" s="11"/>
      <c r="PVB172" s="12"/>
      <c r="PVK172" s="11"/>
      <c r="PVL172" s="12"/>
      <c r="PVU172" s="11"/>
      <c r="PVV172" s="12"/>
      <c r="PWE172" s="11"/>
      <c r="PWF172" s="12"/>
      <c r="PWO172" s="11"/>
      <c r="PWP172" s="12"/>
      <c r="PWY172" s="11"/>
      <c r="PWZ172" s="12"/>
      <c r="PXI172" s="11"/>
      <c r="PXJ172" s="12"/>
      <c r="PXS172" s="11"/>
      <c r="PXT172" s="12"/>
      <c r="PYC172" s="11"/>
      <c r="PYD172" s="12"/>
      <c r="PYM172" s="11"/>
      <c r="PYN172" s="12"/>
      <c r="PYW172" s="11"/>
      <c r="PYX172" s="12"/>
      <c r="PZG172" s="11"/>
      <c r="PZH172" s="12"/>
      <c r="PZQ172" s="11"/>
      <c r="PZR172" s="12"/>
      <c r="QAA172" s="11"/>
      <c r="QAB172" s="12"/>
      <c r="QAK172" s="11"/>
      <c r="QAL172" s="12"/>
      <c r="QAU172" s="11"/>
      <c r="QAV172" s="12"/>
      <c r="QBE172" s="11"/>
      <c r="QBF172" s="12"/>
      <c r="QBO172" s="11"/>
      <c r="QBP172" s="12"/>
      <c r="QBY172" s="11"/>
      <c r="QBZ172" s="12"/>
      <c r="QCI172" s="11"/>
      <c r="QCJ172" s="12"/>
      <c r="QCS172" s="11"/>
      <c r="QCT172" s="12"/>
      <c r="QDC172" s="11"/>
      <c r="QDD172" s="12"/>
      <c r="QDM172" s="11"/>
      <c r="QDN172" s="12"/>
      <c r="QDW172" s="11"/>
      <c r="QDX172" s="12"/>
      <c r="QEG172" s="11"/>
      <c r="QEH172" s="12"/>
      <c r="QEQ172" s="11"/>
      <c r="QER172" s="12"/>
      <c r="QFA172" s="11"/>
      <c r="QFB172" s="12"/>
      <c r="QFK172" s="11"/>
      <c r="QFL172" s="12"/>
      <c r="QFU172" s="11"/>
      <c r="QFV172" s="12"/>
      <c r="QGE172" s="11"/>
      <c r="QGF172" s="12"/>
      <c r="QGO172" s="11"/>
      <c r="QGP172" s="12"/>
      <c r="QGY172" s="11"/>
      <c r="QGZ172" s="12"/>
      <c r="QHI172" s="11"/>
      <c r="QHJ172" s="12"/>
      <c r="QHS172" s="11"/>
      <c r="QHT172" s="12"/>
      <c r="QIC172" s="11"/>
      <c r="QID172" s="12"/>
      <c r="QIM172" s="11"/>
      <c r="QIN172" s="12"/>
      <c r="QIW172" s="11"/>
      <c r="QIX172" s="12"/>
      <c r="QJG172" s="11"/>
      <c r="QJH172" s="12"/>
      <c r="QJQ172" s="11"/>
      <c r="QJR172" s="12"/>
      <c r="QKA172" s="11"/>
      <c r="QKB172" s="12"/>
      <c r="QKK172" s="11"/>
      <c r="QKL172" s="12"/>
      <c r="QKU172" s="11"/>
      <c r="QKV172" s="12"/>
      <c r="QLE172" s="11"/>
      <c r="QLF172" s="12"/>
      <c r="QLO172" s="11"/>
      <c r="QLP172" s="12"/>
      <c r="QLY172" s="11"/>
      <c r="QLZ172" s="12"/>
      <c r="QMI172" s="11"/>
      <c r="QMJ172" s="12"/>
      <c r="QMS172" s="11"/>
      <c r="QMT172" s="12"/>
      <c r="QNC172" s="11"/>
      <c r="QND172" s="12"/>
      <c r="QNM172" s="11"/>
      <c r="QNN172" s="12"/>
      <c r="QNW172" s="11"/>
      <c r="QNX172" s="12"/>
      <c r="QOG172" s="11"/>
      <c r="QOH172" s="12"/>
      <c r="QOQ172" s="11"/>
      <c r="QOR172" s="12"/>
      <c r="QPA172" s="11"/>
      <c r="QPB172" s="12"/>
      <c r="QPK172" s="11"/>
      <c r="QPL172" s="12"/>
      <c r="QPU172" s="11"/>
      <c r="QPV172" s="12"/>
      <c r="QQE172" s="11"/>
      <c r="QQF172" s="12"/>
      <c r="QQO172" s="11"/>
      <c r="QQP172" s="12"/>
      <c r="QQY172" s="11"/>
      <c r="QQZ172" s="12"/>
      <c r="QRI172" s="11"/>
      <c r="QRJ172" s="12"/>
      <c r="QRS172" s="11"/>
      <c r="QRT172" s="12"/>
      <c r="QSC172" s="11"/>
      <c r="QSD172" s="12"/>
      <c r="QSM172" s="11"/>
      <c r="QSN172" s="12"/>
      <c r="QSW172" s="11"/>
      <c r="QSX172" s="12"/>
      <c r="QTG172" s="11"/>
      <c r="QTH172" s="12"/>
      <c r="QTQ172" s="11"/>
      <c r="QTR172" s="12"/>
      <c r="QUA172" s="11"/>
      <c r="QUB172" s="12"/>
      <c r="QUK172" s="11"/>
      <c r="QUL172" s="12"/>
      <c r="QUU172" s="11"/>
      <c r="QUV172" s="12"/>
      <c r="QVE172" s="11"/>
      <c r="QVF172" s="12"/>
      <c r="QVO172" s="11"/>
      <c r="QVP172" s="12"/>
      <c r="QVY172" s="11"/>
      <c r="QVZ172" s="12"/>
      <c r="QWI172" s="11"/>
      <c r="QWJ172" s="12"/>
      <c r="QWS172" s="11"/>
      <c r="QWT172" s="12"/>
      <c r="QXC172" s="11"/>
      <c r="QXD172" s="12"/>
      <c r="QXM172" s="11"/>
      <c r="QXN172" s="12"/>
      <c r="QXW172" s="11"/>
      <c r="QXX172" s="12"/>
      <c r="QYG172" s="11"/>
      <c r="QYH172" s="12"/>
      <c r="QYQ172" s="11"/>
      <c r="QYR172" s="12"/>
      <c r="QZA172" s="11"/>
      <c r="QZB172" s="12"/>
      <c r="QZK172" s="11"/>
      <c r="QZL172" s="12"/>
      <c r="QZU172" s="11"/>
      <c r="QZV172" s="12"/>
      <c r="RAE172" s="11"/>
      <c r="RAF172" s="12"/>
      <c r="RAO172" s="11"/>
      <c r="RAP172" s="12"/>
      <c r="RAY172" s="11"/>
      <c r="RAZ172" s="12"/>
      <c r="RBI172" s="11"/>
      <c r="RBJ172" s="12"/>
      <c r="RBS172" s="11"/>
      <c r="RBT172" s="12"/>
      <c r="RCC172" s="11"/>
      <c r="RCD172" s="12"/>
      <c r="RCM172" s="11"/>
      <c r="RCN172" s="12"/>
      <c r="RCW172" s="11"/>
      <c r="RCX172" s="12"/>
      <c r="RDG172" s="11"/>
      <c r="RDH172" s="12"/>
      <c r="RDQ172" s="11"/>
      <c r="RDR172" s="12"/>
      <c r="REA172" s="11"/>
      <c r="REB172" s="12"/>
      <c r="REK172" s="11"/>
      <c r="REL172" s="12"/>
      <c r="REU172" s="11"/>
      <c r="REV172" s="12"/>
      <c r="RFE172" s="11"/>
      <c r="RFF172" s="12"/>
      <c r="RFO172" s="11"/>
      <c r="RFP172" s="12"/>
      <c r="RFY172" s="11"/>
      <c r="RFZ172" s="12"/>
      <c r="RGI172" s="11"/>
      <c r="RGJ172" s="12"/>
      <c r="RGS172" s="11"/>
      <c r="RGT172" s="12"/>
      <c r="RHC172" s="11"/>
      <c r="RHD172" s="12"/>
      <c r="RHM172" s="11"/>
      <c r="RHN172" s="12"/>
      <c r="RHW172" s="11"/>
      <c r="RHX172" s="12"/>
      <c r="RIG172" s="11"/>
      <c r="RIH172" s="12"/>
      <c r="RIQ172" s="11"/>
      <c r="RIR172" s="12"/>
      <c r="RJA172" s="11"/>
      <c r="RJB172" s="12"/>
      <c r="RJK172" s="11"/>
      <c r="RJL172" s="12"/>
      <c r="RJU172" s="11"/>
      <c r="RJV172" s="12"/>
      <c r="RKE172" s="11"/>
      <c r="RKF172" s="12"/>
      <c r="RKO172" s="11"/>
      <c r="RKP172" s="12"/>
      <c r="RKY172" s="11"/>
      <c r="RKZ172" s="12"/>
      <c r="RLI172" s="11"/>
      <c r="RLJ172" s="12"/>
      <c r="RLS172" s="11"/>
      <c r="RLT172" s="12"/>
      <c r="RMC172" s="11"/>
      <c r="RMD172" s="12"/>
      <c r="RMM172" s="11"/>
      <c r="RMN172" s="12"/>
      <c r="RMW172" s="11"/>
      <c r="RMX172" s="12"/>
      <c r="RNG172" s="11"/>
      <c r="RNH172" s="12"/>
      <c r="RNQ172" s="11"/>
      <c r="RNR172" s="12"/>
      <c r="ROA172" s="11"/>
      <c r="ROB172" s="12"/>
      <c r="ROK172" s="11"/>
      <c r="ROL172" s="12"/>
      <c r="ROU172" s="11"/>
      <c r="ROV172" s="12"/>
      <c r="RPE172" s="11"/>
      <c r="RPF172" s="12"/>
      <c r="RPO172" s="11"/>
      <c r="RPP172" s="12"/>
      <c r="RPY172" s="11"/>
      <c r="RPZ172" s="12"/>
      <c r="RQI172" s="11"/>
      <c r="RQJ172" s="12"/>
      <c r="RQS172" s="11"/>
      <c r="RQT172" s="12"/>
      <c r="RRC172" s="11"/>
      <c r="RRD172" s="12"/>
      <c r="RRM172" s="11"/>
      <c r="RRN172" s="12"/>
      <c r="RRW172" s="11"/>
      <c r="RRX172" s="12"/>
      <c r="RSG172" s="11"/>
      <c r="RSH172" s="12"/>
      <c r="RSQ172" s="11"/>
      <c r="RSR172" s="12"/>
      <c r="RTA172" s="11"/>
      <c r="RTB172" s="12"/>
      <c r="RTK172" s="11"/>
      <c r="RTL172" s="12"/>
      <c r="RTU172" s="11"/>
      <c r="RTV172" s="12"/>
      <c r="RUE172" s="11"/>
      <c r="RUF172" s="12"/>
      <c r="RUO172" s="11"/>
      <c r="RUP172" s="12"/>
      <c r="RUY172" s="11"/>
      <c r="RUZ172" s="12"/>
      <c r="RVI172" s="11"/>
      <c r="RVJ172" s="12"/>
      <c r="RVS172" s="11"/>
      <c r="RVT172" s="12"/>
      <c r="RWC172" s="11"/>
      <c r="RWD172" s="12"/>
      <c r="RWM172" s="11"/>
      <c r="RWN172" s="12"/>
      <c r="RWW172" s="11"/>
      <c r="RWX172" s="12"/>
      <c r="RXG172" s="11"/>
      <c r="RXH172" s="12"/>
      <c r="RXQ172" s="11"/>
      <c r="RXR172" s="12"/>
      <c r="RYA172" s="11"/>
      <c r="RYB172" s="12"/>
      <c r="RYK172" s="11"/>
      <c r="RYL172" s="12"/>
      <c r="RYU172" s="11"/>
      <c r="RYV172" s="12"/>
      <c r="RZE172" s="11"/>
      <c r="RZF172" s="12"/>
      <c r="RZO172" s="11"/>
      <c r="RZP172" s="12"/>
      <c r="RZY172" s="11"/>
      <c r="RZZ172" s="12"/>
      <c r="SAI172" s="11"/>
      <c r="SAJ172" s="12"/>
      <c r="SAS172" s="11"/>
      <c r="SAT172" s="12"/>
      <c r="SBC172" s="11"/>
      <c r="SBD172" s="12"/>
      <c r="SBM172" s="11"/>
      <c r="SBN172" s="12"/>
      <c r="SBW172" s="11"/>
      <c r="SBX172" s="12"/>
      <c r="SCG172" s="11"/>
      <c r="SCH172" s="12"/>
      <c r="SCQ172" s="11"/>
      <c r="SCR172" s="12"/>
      <c r="SDA172" s="11"/>
      <c r="SDB172" s="12"/>
      <c r="SDK172" s="11"/>
      <c r="SDL172" s="12"/>
      <c r="SDU172" s="11"/>
      <c r="SDV172" s="12"/>
      <c r="SEE172" s="11"/>
      <c r="SEF172" s="12"/>
      <c r="SEO172" s="11"/>
      <c r="SEP172" s="12"/>
      <c r="SEY172" s="11"/>
      <c r="SEZ172" s="12"/>
      <c r="SFI172" s="11"/>
      <c r="SFJ172" s="12"/>
      <c r="SFS172" s="11"/>
      <c r="SFT172" s="12"/>
      <c r="SGC172" s="11"/>
      <c r="SGD172" s="12"/>
      <c r="SGM172" s="11"/>
      <c r="SGN172" s="12"/>
      <c r="SGW172" s="11"/>
      <c r="SGX172" s="12"/>
      <c r="SHG172" s="11"/>
      <c r="SHH172" s="12"/>
      <c r="SHQ172" s="11"/>
      <c r="SHR172" s="12"/>
      <c r="SIA172" s="11"/>
      <c r="SIB172" s="12"/>
      <c r="SIK172" s="11"/>
      <c r="SIL172" s="12"/>
      <c r="SIU172" s="11"/>
      <c r="SIV172" s="12"/>
      <c r="SJE172" s="11"/>
      <c r="SJF172" s="12"/>
      <c r="SJO172" s="11"/>
      <c r="SJP172" s="12"/>
      <c r="SJY172" s="11"/>
      <c r="SJZ172" s="12"/>
      <c r="SKI172" s="11"/>
      <c r="SKJ172" s="12"/>
      <c r="SKS172" s="11"/>
      <c r="SKT172" s="12"/>
      <c r="SLC172" s="11"/>
      <c r="SLD172" s="12"/>
      <c r="SLM172" s="11"/>
      <c r="SLN172" s="12"/>
      <c r="SLW172" s="11"/>
      <c r="SLX172" s="12"/>
      <c r="SMG172" s="11"/>
      <c r="SMH172" s="12"/>
      <c r="SMQ172" s="11"/>
      <c r="SMR172" s="12"/>
      <c r="SNA172" s="11"/>
      <c r="SNB172" s="12"/>
      <c r="SNK172" s="11"/>
      <c r="SNL172" s="12"/>
      <c r="SNU172" s="11"/>
      <c r="SNV172" s="12"/>
      <c r="SOE172" s="11"/>
      <c r="SOF172" s="12"/>
      <c r="SOO172" s="11"/>
      <c r="SOP172" s="12"/>
      <c r="SOY172" s="11"/>
      <c r="SOZ172" s="12"/>
      <c r="SPI172" s="11"/>
      <c r="SPJ172" s="12"/>
      <c r="SPS172" s="11"/>
      <c r="SPT172" s="12"/>
      <c r="SQC172" s="11"/>
      <c r="SQD172" s="12"/>
      <c r="SQM172" s="11"/>
      <c r="SQN172" s="12"/>
      <c r="SQW172" s="11"/>
      <c r="SQX172" s="12"/>
      <c r="SRG172" s="11"/>
      <c r="SRH172" s="12"/>
      <c r="SRQ172" s="11"/>
      <c r="SRR172" s="12"/>
      <c r="SSA172" s="11"/>
      <c r="SSB172" s="12"/>
      <c r="SSK172" s="11"/>
      <c r="SSL172" s="12"/>
      <c r="SSU172" s="11"/>
      <c r="SSV172" s="12"/>
      <c r="STE172" s="11"/>
      <c r="STF172" s="12"/>
      <c r="STO172" s="11"/>
      <c r="STP172" s="12"/>
      <c r="STY172" s="11"/>
      <c r="STZ172" s="12"/>
      <c r="SUI172" s="11"/>
      <c r="SUJ172" s="12"/>
      <c r="SUS172" s="11"/>
      <c r="SUT172" s="12"/>
      <c r="SVC172" s="11"/>
      <c r="SVD172" s="12"/>
      <c r="SVM172" s="11"/>
      <c r="SVN172" s="12"/>
      <c r="SVW172" s="11"/>
      <c r="SVX172" s="12"/>
      <c r="SWG172" s="11"/>
      <c r="SWH172" s="12"/>
      <c r="SWQ172" s="11"/>
      <c r="SWR172" s="12"/>
      <c r="SXA172" s="11"/>
      <c r="SXB172" s="12"/>
      <c r="SXK172" s="11"/>
      <c r="SXL172" s="12"/>
      <c r="SXU172" s="11"/>
      <c r="SXV172" s="12"/>
      <c r="SYE172" s="11"/>
      <c r="SYF172" s="12"/>
      <c r="SYO172" s="11"/>
      <c r="SYP172" s="12"/>
      <c r="SYY172" s="11"/>
      <c r="SYZ172" s="12"/>
      <c r="SZI172" s="11"/>
      <c r="SZJ172" s="12"/>
      <c r="SZS172" s="11"/>
      <c r="SZT172" s="12"/>
      <c r="TAC172" s="11"/>
      <c r="TAD172" s="12"/>
      <c r="TAM172" s="11"/>
      <c r="TAN172" s="12"/>
      <c r="TAW172" s="11"/>
      <c r="TAX172" s="12"/>
      <c r="TBG172" s="11"/>
      <c r="TBH172" s="12"/>
      <c r="TBQ172" s="11"/>
      <c r="TBR172" s="12"/>
      <c r="TCA172" s="11"/>
      <c r="TCB172" s="12"/>
      <c r="TCK172" s="11"/>
      <c r="TCL172" s="12"/>
      <c r="TCU172" s="11"/>
      <c r="TCV172" s="12"/>
      <c r="TDE172" s="11"/>
      <c r="TDF172" s="12"/>
      <c r="TDO172" s="11"/>
      <c r="TDP172" s="12"/>
      <c r="TDY172" s="11"/>
      <c r="TDZ172" s="12"/>
      <c r="TEI172" s="11"/>
      <c r="TEJ172" s="12"/>
      <c r="TES172" s="11"/>
      <c r="TET172" s="12"/>
      <c r="TFC172" s="11"/>
      <c r="TFD172" s="12"/>
      <c r="TFM172" s="11"/>
      <c r="TFN172" s="12"/>
      <c r="TFW172" s="11"/>
      <c r="TFX172" s="12"/>
      <c r="TGG172" s="11"/>
      <c r="TGH172" s="12"/>
      <c r="TGQ172" s="11"/>
      <c r="TGR172" s="12"/>
      <c r="THA172" s="11"/>
      <c r="THB172" s="12"/>
      <c r="THK172" s="11"/>
      <c r="THL172" s="12"/>
      <c r="THU172" s="11"/>
      <c r="THV172" s="12"/>
      <c r="TIE172" s="11"/>
      <c r="TIF172" s="12"/>
      <c r="TIO172" s="11"/>
      <c r="TIP172" s="12"/>
      <c r="TIY172" s="11"/>
      <c r="TIZ172" s="12"/>
      <c r="TJI172" s="11"/>
      <c r="TJJ172" s="12"/>
      <c r="TJS172" s="11"/>
      <c r="TJT172" s="12"/>
      <c r="TKC172" s="11"/>
      <c r="TKD172" s="12"/>
      <c r="TKM172" s="11"/>
      <c r="TKN172" s="12"/>
      <c r="TKW172" s="11"/>
      <c r="TKX172" s="12"/>
      <c r="TLG172" s="11"/>
      <c r="TLH172" s="12"/>
      <c r="TLQ172" s="11"/>
      <c r="TLR172" s="12"/>
      <c r="TMA172" s="11"/>
      <c r="TMB172" s="12"/>
      <c r="TMK172" s="11"/>
      <c r="TML172" s="12"/>
      <c r="TMU172" s="11"/>
      <c r="TMV172" s="12"/>
      <c r="TNE172" s="11"/>
      <c r="TNF172" s="12"/>
      <c r="TNO172" s="11"/>
      <c r="TNP172" s="12"/>
      <c r="TNY172" s="11"/>
      <c r="TNZ172" s="12"/>
      <c r="TOI172" s="11"/>
      <c r="TOJ172" s="12"/>
      <c r="TOS172" s="11"/>
      <c r="TOT172" s="12"/>
      <c r="TPC172" s="11"/>
      <c r="TPD172" s="12"/>
      <c r="TPM172" s="11"/>
      <c r="TPN172" s="12"/>
      <c r="TPW172" s="11"/>
      <c r="TPX172" s="12"/>
      <c r="TQG172" s="11"/>
      <c r="TQH172" s="12"/>
      <c r="TQQ172" s="11"/>
      <c r="TQR172" s="12"/>
      <c r="TRA172" s="11"/>
      <c r="TRB172" s="12"/>
      <c r="TRK172" s="11"/>
      <c r="TRL172" s="12"/>
      <c r="TRU172" s="11"/>
      <c r="TRV172" s="12"/>
      <c r="TSE172" s="11"/>
      <c r="TSF172" s="12"/>
      <c r="TSO172" s="11"/>
      <c r="TSP172" s="12"/>
      <c r="TSY172" s="11"/>
      <c r="TSZ172" s="12"/>
      <c r="TTI172" s="11"/>
      <c r="TTJ172" s="12"/>
      <c r="TTS172" s="11"/>
      <c r="TTT172" s="12"/>
      <c r="TUC172" s="11"/>
      <c r="TUD172" s="12"/>
      <c r="TUM172" s="11"/>
      <c r="TUN172" s="12"/>
      <c r="TUW172" s="11"/>
      <c r="TUX172" s="12"/>
      <c r="TVG172" s="11"/>
      <c r="TVH172" s="12"/>
      <c r="TVQ172" s="11"/>
      <c r="TVR172" s="12"/>
      <c r="TWA172" s="11"/>
      <c r="TWB172" s="12"/>
      <c r="TWK172" s="11"/>
      <c r="TWL172" s="12"/>
      <c r="TWU172" s="11"/>
      <c r="TWV172" s="12"/>
      <c r="TXE172" s="11"/>
      <c r="TXF172" s="12"/>
      <c r="TXO172" s="11"/>
      <c r="TXP172" s="12"/>
      <c r="TXY172" s="11"/>
      <c r="TXZ172" s="12"/>
      <c r="TYI172" s="11"/>
      <c r="TYJ172" s="12"/>
      <c r="TYS172" s="11"/>
      <c r="TYT172" s="12"/>
      <c r="TZC172" s="11"/>
      <c r="TZD172" s="12"/>
      <c r="TZM172" s="11"/>
      <c r="TZN172" s="12"/>
      <c r="TZW172" s="11"/>
      <c r="TZX172" s="12"/>
      <c r="UAG172" s="11"/>
      <c r="UAH172" s="12"/>
      <c r="UAQ172" s="11"/>
      <c r="UAR172" s="12"/>
      <c r="UBA172" s="11"/>
      <c r="UBB172" s="12"/>
      <c r="UBK172" s="11"/>
      <c r="UBL172" s="12"/>
      <c r="UBU172" s="11"/>
      <c r="UBV172" s="12"/>
      <c r="UCE172" s="11"/>
      <c r="UCF172" s="12"/>
      <c r="UCO172" s="11"/>
      <c r="UCP172" s="12"/>
      <c r="UCY172" s="11"/>
      <c r="UCZ172" s="12"/>
      <c r="UDI172" s="11"/>
      <c r="UDJ172" s="12"/>
      <c r="UDS172" s="11"/>
      <c r="UDT172" s="12"/>
      <c r="UEC172" s="11"/>
      <c r="UED172" s="12"/>
      <c r="UEM172" s="11"/>
      <c r="UEN172" s="12"/>
      <c r="UEW172" s="11"/>
      <c r="UEX172" s="12"/>
      <c r="UFG172" s="11"/>
      <c r="UFH172" s="12"/>
      <c r="UFQ172" s="11"/>
      <c r="UFR172" s="12"/>
      <c r="UGA172" s="11"/>
      <c r="UGB172" s="12"/>
      <c r="UGK172" s="11"/>
      <c r="UGL172" s="12"/>
      <c r="UGU172" s="11"/>
      <c r="UGV172" s="12"/>
      <c r="UHE172" s="11"/>
      <c r="UHF172" s="12"/>
      <c r="UHO172" s="11"/>
      <c r="UHP172" s="12"/>
      <c r="UHY172" s="11"/>
      <c r="UHZ172" s="12"/>
      <c r="UII172" s="11"/>
      <c r="UIJ172" s="12"/>
      <c r="UIS172" s="11"/>
      <c r="UIT172" s="12"/>
      <c r="UJC172" s="11"/>
      <c r="UJD172" s="12"/>
      <c r="UJM172" s="11"/>
      <c r="UJN172" s="12"/>
      <c r="UJW172" s="11"/>
      <c r="UJX172" s="12"/>
      <c r="UKG172" s="11"/>
      <c r="UKH172" s="12"/>
      <c r="UKQ172" s="11"/>
      <c r="UKR172" s="12"/>
      <c r="ULA172" s="11"/>
      <c r="ULB172" s="12"/>
      <c r="ULK172" s="11"/>
      <c r="ULL172" s="12"/>
      <c r="ULU172" s="11"/>
      <c r="ULV172" s="12"/>
      <c r="UME172" s="11"/>
      <c r="UMF172" s="12"/>
      <c r="UMO172" s="11"/>
      <c r="UMP172" s="12"/>
      <c r="UMY172" s="11"/>
      <c r="UMZ172" s="12"/>
      <c r="UNI172" s="11"/>
      <c r="UNJ172" s="12"/>
      <c r="UNS172" s="11"/>
      <c r="UNT172" s="12"/>
      <c r="UOC172" s="11"/>
      <c r="UOD172" s="12"/>
      <c r="UOM172" s="11"/>
      <c r="UON172" s="12"/>
      <c r="UOW172" s="11"/>
      <c r="UOX172" s="12"/>
      <c r="UPG172" s="11"/>
      <c r="UPH172" s="12"/>
      <c r="UPQ172" s="11"/>
      <c r="UPR172" s="12"/>
      <c r="UQA172" s="11"/>
      <c r="UQB172" s="12"/>
      <c r="UQK172" s="11"/>
      <c r="UQL172" s="12"/>
      <c r="UQU172" s="11"/>
      <c r="UQV172" s="12"/>
      <c r="URE172" s="11"/>
      <c r="URF172" s="12"/>
      <c r="URO172" s="11"/>
      <c r="URP172" s="12"/>
      <c r="URY172" s="11"/>
      <c r="URZ172" s="12"/>
      <c r="USI172" s="11"/>
      <c r="USJ172" s="12"/>
      <c r="USS172" s="11"/>
      <c r="UST172" s="12"/>
      <c r="UTC172" s="11"/>
      <c r="UTD172" s="12"/>
      <c r="UTM172" s="11"/>
      <c r="UTN172" s="12"/>
      <c r="UTW172" s="11"/>
      <c r="UTX172" s="12"/>
      <c r="UUG172" s="11"/>
      <c r="UUH172" s="12"/>
      <c r="UUQ172" s="11"/>
      <c r="UUR172" s="12"/>
      <c r="UVA172" s="11"/>
      <c r="UVB172" s="12"/>
      <c r="UVK172" s="11"/>
      <c r="UVL172" s="12"/>
      <c r="UVU172" s="11"/>
      <c r="UVV172" s="12"/>
      <c r="UWE172" s="11"/>
      <c r="UWF172" s="12"/>
      <c r="UWO172" s="11"/>
      <c r="UWP172" s="12"/>
      <c r="UWY172" s="11"/>
      <c r="UWZ172" s="12"/>
      <c r="UXI172" s="11"/>
      <c r="UXJ172" s="12"/>
      <c r="UXS172" s="11"/>
      <c r="UXT172" s="12"/>
      <c r="UYC172" s="11"/>
      <c r="UYD172" s="12"/>
      <c r="UYM172" s="11"/>
      <c r="UYN172" s="12"/>
      <c r="UYW172" s="11"/>
      <c r="UYX172" s="12"/>
      <c r="UZG172" s="11"/>
      <c r="UZH172" s="12"/>
      <c r="UZQ172" s="11"/>
      <c r="UZR172" s="12"/>
      <c r="VAA172" s="11"/>
      <c r="VAB172" s="12"/>
      <c r="VAK172" s="11"/>
      <c r="VAL172" s="12"/>
      <c r="VAU172" s="11"/>
      <c r="VAV172" s="12"/>
      <c r="VBE172" s="11"/>
      <c r="VBF172" s="12"/>
      <c r="VBO172" s="11"/>
      <c r="VBP172" s="12"/>
      <c r="VBY172" s="11"/>
      <c r="VBZ172" s="12"/>
      <c r="VCI172" s="11"/>
      <c r="VCJ172" s="12"/>
      <c r="VCS172" s="11"/>
      <c r="VCT172" s="12"/>
      <c r="VDC172" s="11"/>
      <c r="VDD172" s="12"/>
      <c r="VDM172" s="11"/>
      <c r="VDN172" s="12"/>
      <c r="VDW172" s="11"/>
      <c r="VDX172" s="12"/>
      <c r="VEG172" s="11"/>
      <c r="VEH172" s="12"/>
      <c r="VEQ172" s="11"/>
      <c r="VER172" s="12"/>
      <c r="VFA172" s="11"/>
      <c r="VFB172" s="12"/>
      <c r="VFK172" s="11"/>
      <c r="VFL172" s="12"/>
      <c r="VFU172" s="11"/>
      <c r="VFV172" s="12"/>
      <c r="VGE172" s="11"/>
      <c r="VGF172" s="12"/>
      <c r="VGO172" s="11"/>
      <c r="VGP172" s="12"/>
      <c r="VGY172" s="11"/>
      <c r="VGZ172" s="12"/>
      <c r="VHI172" s="11"/>
      <c r="VHJ172" s="12"/>
      <c r="VHS172" s="11"/>
      <c r="VHT172" s="12"/>
      <c r="VIC172" s="11"/>
      <c r="VID172" s="12"/>
      <c r="VIM172" s="11"/>
      <c r="VIN172" s="12"/>
      <c r="VIW172" s="11"/>
      <c r="VIX172" s="12"/>
      <c r="VJG172" s="11"/>
      <c r="VJH172" s="12"/>
      <c r="VJQ172" s="11"/>
      <c r="VJR172" s="12"/>
      <c r="VKA172" s="11"/>
      <c r="VKB172" s="12"/>
      <c r="VKK172" s="11"/>
      <c r="VKL172" s="12"/>
      <c r="VKU172" s="11"/>
      <c r="VKV172" s="12"/>
      <c r="VLE172" s="11"/>
      <c r="VLF172" s="12"/>
      <c r="VLO172" s="11"/>
      <c r="VLP172" s="12"/>
      <c r="VLY172" s="11"/>
      <c r="VLZ172" s="12"/>
      <c r="VMI172" s="11"/>
      <c r="VMJ172" s="12"/>
      <c r="VMS172" s="11"/>
      <c r="VMT172" s="12"/>
      <c r="VNC172" s="11"/>
      <c r="VND172" s="12"/>
      <c r="VNM172" s="11"/>
      <c r="VNN172" s="12"/>
      <c r="VNW172" s="11"/>
      <c r="VNX172" s="12"/>
      <c r="VOG172" s="11"/>
      <c r="VOH172" s="12"/>
      <c r="VOQ172" s="11"/>
      <c r="VOR172" s="12"/>
      <c r="VPA172" s="11"/>
      <c r="VPB172" s="12"/>
      <c r="VPK172" s="11"/>
      <c r="VPL172" s="12"/>
      <c r="VPU172" s="11"/>
      <c r="VPV172" s="12"/>
      <c r="VQE172" s="11"/>
      <c r="VQF172" s="12"/>
      <c r="VQO172" s="11"/>
      <c r="VQP172" s="12"/>
      <c r="VQY172" s="11"/>
      <c r="VQZ172" s="12"/>
      <c r="VRI172" s="11"/>
      <c r="VRJ172" s="12"/>
      <c r="VRS172" s="11"/>
      <c r="VRT172" s="12"/>
      <c r="VSC172" s="11"/>
      <c r="VSD172" s="12"/>
      <c r="VSM172" s="11"/>
      <c r="VSN172" s="12"/>
      <c r="VSW172" s="11"/>
      <c r="VSX172" s="12"/>
      <c r="VTG172" s="11"/>
      <c r="VTH172" s="12"/>
      <c r="VTQ172" s="11"/>
      <c r="VTR172" s="12"/>
      <c r="VUA172" s="11"/>
      <c r="VUB172" s="12"/>
      <c r="VUK172" s="11"/>
      <c r="VUL172" s="12"/>
      <c r="VUU172" s="11"/>
      <c r="VUV172" s="12"/>
      <c r="VVE172" s="11"/>
      <c r="VVF172" s="12"/>
      <c r="VVO172" s="11"/>
      <c r="VVP172" s="12"/>
      <c r="VVY172" s="11"/>
      <c r="VVZ172" s="12"/>
      <c r="VWI172" s="11"/>
      <c r="VWJ172" s="12"/>
      <c r="VWS172" s="11"/>
      <c r="VWT172" s="12"/>
      <c r="VXC172" s="11"/>
      <c r="VXD172" s="12"/>
      <c r="VXM172" s="11"/>
      <c r="VXN172" s="12"/>
      <c r="VXW172" s="11"/>
      <c r="VXX172" s="12"/>
      <c r="VYG172" s="11"/>
      <c r="VYH172" s="12"/>
      <c r="VYQ172" s="11"/>
      <c r="VYR172" s="12"/>
      <c r="VZA172" s="11"/>
      <c r="VZB172" s="12"/>
      <c r="VZK172" s="11"/>
      <c r="VZL172" s="12"/>
      <c r="VZU172" s="11"/>
      <c r="VZV172" s="12"/>
      <c r="WAE172" s="11"/>
      <c r="WAF172" s="12"/>
      <c r="WAO172" s="11"/>
      <c r="WAP172" s="12"/>
      <c r="WAY172" s="11"/>
      <c r="WAZ172" s="12"/>
      <c r="WBI172" s="11"/>
      <c r="WBJ172" s="12"/>
      <c r="WBS172" s="11"/>
      <c r="WBT172" s="12"/>
      <c r="WCC172" s="11"/>
      <c r="WCD172" s="12"/>
      <c r="WCM172" s="11"/>
      <c r="WCN172" s="12"/>
      <c r="WCW172" s="11"/>
      <c r="WCX172" s="12"/>
      <c r="WDG172" s="11"/>
      <c r="WDH172" s="12"/>
      <c r="WDQ172" s="11"/>
      <c r="WDR172" s="12"/>
      <c r="WEA172" s="11"/>
      <c r="WEB172" s="12"/>
      <c r="WEK172" s="11"/>
      <c r="WEL172" s="12"/>
      <c r="WEU172" s="11"/>
      <c r="WEV172" s="12"/>
      <c r="WFE172" s="11"/>
      <c r="WFF172" s="12"/>
      <c r="WFO172" s="11"/>
      <c r="WFP172" s="12"/>
      <c r="WFY172" s="11"/>
      <c r="WFZ172" s="12"/>
      <c r="WGI172" s="11"/>
      <c r="WGJ172" s="12"/>
      <c r="WGS172" s="11"/>
      <c r="WGT172" s="12"/>
      <c r="WHC172" s="11"/>
      <c r="WHD172" s="12"/>
      <c r="WHM172" s="11"/>
      <c r="WHN172" s="12"/>
      <c r="WHW172" s="11"/>
      <c r="WHX172" s="12"/>
      <c r="WIG172" s="11"/>
      <c r="WIH172" s="12"/>
      <c r="WIQ172" s="11"/>
      <c r="WIR172" s="12"/>
      <c r="WJA172" s="11"/>
      <c r="WJB172" s="12"/>
      <c r="WJK172" s="11"/>
      <c r="WJL172" s="12"/>
      <c r="WJU172" s="11"/>
      <c r="WJV172" s="12"/>
      <c r="WKE172" s="11"/>
      <c r="WKF172" s="12"/>
      <c r="WKO172" s="11"/>
      <c r="WKP172" s="12"/>
      <c r="WKY172" s="11"/>
      <c r="WKZ172" s="12"/>
      <c r="WLI172" s="11"/>
      <c r="WLJ172" s="12"/>
      <c r="WLS172" s="11"/>
      <c r="WLT172" s="12"/>
      <c r="WMC172" s="11"/>
      <c r="WMD172" s="12"/>
      <c r="WMM172" s="11"/>
      <c r="WMN172" s="12"/>
      <c r="WMW172" s="11"/>
      <c r="WMX172" s="12"/>
      <c r="WNG172" s="11"/>
      <c r="WNH172" s="12"/>
      <c r="WNQ172" s="11"/>
      <c r="WNR172" s="12"/>
      <c r="WOA172" s="11"/>
      <c r="WOB172" s="12"/>
      <c r="WOK172" s="11"/>
      <c r="WOL172" s="12"/>
      <c r="WOU172" s="11"/>
      <c r="WOV172" s="12"/>
      <c r="WPE172" s="11"/>
      <c r="WPF172" s="12"/>
      <c r="WPO172" s="11"/>
      <c r="WPP172" s="12"/>
      <c r="WPY172" s="11"/>
      <c r="WPZ172" s="12"/>
      <c r="WQI172" s="11"/>
      <c r="WQJ172" s="12"/>
      <c r="WQS172" s="11"/>
      <c r="WQT172" s="12"/>
      <c r="WRC172" s="11"/>
      <c r="WRD172" s="12"/>
      <c r="WRM172" s="11"/>
      <c r="WRN172" s="12"/>
      <c r="WRW172" s="11"/>
      <c r="WRX172" s="12"/>
      <c r="WSG172" s="11"/>
      <c r="WSH172" s="12"/>
      <c r="WSQ172" s="11"/>
      <c r="WSR172" s="12"/>
      <c r="WTA172" s="11"/>
      <c r="WTB172" s="12"/>
      <c r="WTK172" s="11"/>
      <c r="WTL172" s="12"/>
      <c r="WTU172" s="11"/>
      <c r="WTV172" s="12"/>
      <c r="WUE172" s="11"/>
      <c r="WUF172" s="12"/>
      <c r="WUO172" s="11"/>
      <c r="WUP172" s="12"/>
      <c r="WUY172" s="11"/>
      <c r="WUZ172" s="12"/>
      <c r="WVI172" s="11"/>
      <c r="WVJ172" s="12"/>
      <c r="WVS172" s="11"/>
      <c r="WVT172" s="12"/>
      <c r="WWC172" s="11"/>
      <c r="WWD172" s="12"/>
      <c r="WWM172" s="11"/>
      <c r="WWN172" s="12"/>
      <c r="WWW172" s="11"/>
      <c r="WWX172" s="12"/>
      <c r="WXG172" s="11"/>
      <c r="WXH172" s="12"/>
      <c r="WXQ172" s="11"/>
      <c r="WXR172" s="12"/>
      <c r="WYA172" s="11"/>
      <c r="WYB172" s="12"/>
      <c r="WYK172" s="11"/>
      <c r="WYL172" s="12"/>
      <c r="WYU172" s="11"/>
      <c r="WYV172" s="12"/>
      <c r="WZE172" s="11"/>
      <c r="WZF172" s="12"/>
      <c r="WZO172" s="11"/>
      <c r="WZP172" s="12"/>
      <c r="WZY172" s="11"/>
      <c r="WZZ172" s="12"/>
      <c r="XAI172" s="11"/>
      <c r="XAJ172" s="12"/>
      <c r="XAS172" s="11"/>
      <c r="XAT172" s="12"/>
      <c r="XBC172" s="11"/>
      <c r="XBD172" s="12"/>
      <c r="XBM172" s="11"/>
      <c r="XBN172" s="12"/>
      <c r="XBW172" s="11"/>
      <c r="XBX172" s="12"/>
      <c r="XCG172" s="11"/>
      <c r="XCH172" s="12"/>
      <c r="XCQ172" s="11"/>
      <c r="XCR172" s="12"/>
      <c r="XDA172" s="11"/>
      <c r="XDB172" s="12"/>
      <c r="XDK172" s="11"/>
      <c r="XDL172" s="12"/>
      <c r="XDU172" s="11"/>
      <c r="XDV172" s="12"/>
      <c r="XEE172" s="11"/>
      <c r="XEF172" s="12"/>
      <c r="XEO172" s="11"/>
      <c r="XEP172" s="12"/>
      <c r="XEY172" s="11"/>
      <c r="XEZ172" s="12"/>
    </row>
    <row r="173" spans="1:1020 1029:2040 2049:3070 3079:4090 4099:5120 5129:6140 6149:7160 7169:8190 8199:9210 9219:10240 10249:11260 11269:12280 12289:13310 13319:14330 14339:15360 15369:16380" s="10" customFormat="1" ht="27.6" x14ac:dyDescent="0.3">
      <c r="A173"/>
      <c r="B173"/>
      <c r="C173"/>
      <c r="D173"/>
      <c r="E173"/>
      <c r="F173"/>
      <c r="G173"/>
      <c r="H173" s="32" t="s">
        <v>9</v>
      </c>
      <c r="I173" s="33" t="s">
        <v>38</v>
      </c>
      <c r="J173" s="34" t="s">
        <v>39</v>
      </c>
      <c r="K173" s="35" t="s">
        <v>0</v>
      </c>
      <c r="L173" s="33"/>
      <c r="M173" s="33"/>
      <c r="N173" s="36"/>
      <c r="O173" s="33">
        <v>3</v>
      </c>
      <c r="P173" s="33">
        <f>IF(Tabela1[[#This Row],[Status]]="✔️",Tabela1[[#This Row],[Peso]],IF(Tabela1[[#This Row],[Status]]="✔️✔️",Tabela1[[#This Row],[Peso]]/2,0))</f>
        <v>3</v>
      </c>
      <c r="Q17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3" s="33" t="s">
        <v>127</v>
      </c>
      <c r="S173" s="37" t="s">
        <v>128</v>
      </c>
      <c r="T173" s="12"/>
      <c r="AC173" s="11"/>
      <c r="AD173" s="12"/>
      <c r="AM173" s="11"/>
      <c r="AN173" s="12"/>
      <c r="AW173" s="11"/>
      <c r="AX173" s="12"/>
      <c r="BG173" s="11"/>
      <c r="BH173" s="12"/>
      <c r="BQ173" s="11"/>
      <c r="BR173" s="12"/>
      <c r="CA173" s="11"/>
      <c r="CB173" s="12"/>
      <c r="CK173" s="11"/>
      <c r="CL173" s="12"/>
      <c r="CU173" s="11"/>
      <c r="CV173" s="12"/>
      <c r="DE173" s="11"/>
      <c r="DF173" s="12"/>
      <c r="DO173" s="11"/>
      <c r="DP173" s="12"/>
      <c r="DY173" s="11"/>
      <c r="DZ173" s="12"/>
      <c r="EI173" s="11"/>
      <c r="EJ173" s="12"/>
      <c r="ES173" s="11"/>
      <c r="ET173" s="12"/>
      <c r="FC173" s="11"/>
      <c r="FD173" s="12"/>
      <c r="FM173" s="11"/>
      <c r="FN173" s="12"/>
      <c r="FW173" s="11"/>
      <c r="FX173" s="12"/>
      <c r="GG173" s="11"/>
      <c r="GH173" s="12"/>
      <c r="GQ173" s="11"/>
      <c r="GR173" s="12"/>
      <c r="HA173" s="11"/>
      <c r="HB173" s="12"/>
      <c r="HK173" s="11"/>
      <c r="HL173" s="12"/>
      <c r="HU173" s="11"/>
      <c r="HV173" s="12"/>
      <c r="IE173" s="11"/>
      <c r="IF173" s="12"/>
      <c r="IO173" s="11"/>
      <c r="IP173" s="12"/>
      <c r="IY173" s="11"/>
      <c r="IZ173" s="12"/>
      <c r="JI173" s="11"/>
      <c r="JJ173" s="12"/>
      <c r="JS173" s="11"/>
      <c r="JT173" s="12"/>
      <c r="KC173" s="11"/>
      <c r="KD173" s="12"/>
      <c r="KM173" s="11"/>
      <c r="KN173" s="12"/>
      <c r="KW173" s="11"/>
      <c r="KX173" s="12"/>
      <c r="LG173" s="11"/>
      <c r="LH173" s="12"/>
      <c r="LQ173" s="11"/>
      <c r="LR173" s="12"/>
      <c r="MA173" s="11"/>
      <c r="MB173" s="12"/>
      <c r="MK173" s="11"/>
      <c r="ML173" s="12"/>
      <c r="MU173" s="11"/>
      <c r="MV173" s="12"/>
      <c r="NE173" s="11"/>
      <c r="NF173" s="12"/>
      <c r="NO173" s="11"/>
      <c r="NP173" s="12"/>
      <c r="NY173" s="11"/>
      <c r="NZ173" s="12"/>
      <c r="OI173" s="11"/>
      <c r="OJ173" s="12"/>
      <c r="OS173" s="11"/>
      <c r="OT173" s="12"/>
      <c r="PC173" s="11"/>
      <c r="PD173" s="12"/>
      <c r="PM173" s="11"/>
      <c r="PN173" s="12"/>
      <c r="PW173" s="11"/>
      <c r="PX173" s="12"/>
      <c r="QG173" s="11"/>
      <c r="QH173" s="12"/>
      <c r="QQ173" s="11"/>
      <c r="QR173" s="12"/>
      <c r="RA173" s="11"/>
      <c r="RB173" s="12"/>
      <c r="RK173" s="11"/>
      <c r="RL173" s="12"/>
      <c r="RU173" s="11"/>
      <c r="RV173" s="12"/>
      <c r="SE173" s="11"/>
      <c r="SF173" s="12"/>
      <c r="SO173" s="11"/>
      <c r="SP173" s="12"/>
      <c r="SY173" s="11"/>
      <c r="SZ173" s="12"/>
      <c r="TI173" s="11"/>
      <c r="TJ173" s="12"/>
      <c r="TS173" s="11"/>
      <c r="TT173" s="12"/>
      <c r="UC173" s="11"/>
      <c r="UD173" s="12"/>
      <c r="UM173" s="11"/>
      <c r="UN173" s="12"/>
      <c r="UW173" s="11"/>
      <c r="UX173" s="12"/>
      <c r="VG173" s="11"/>
      <c r="VH173" s="12"/>
      <c r="VQ173" s="11"/>
      <c r="VR173" s="12"/>
      <c r="WA173" s="11"/>
      <c r="WB173" s="12"/>
      <c r="WK173" s="11"/>
      <c r="WL173" s="12"/>
      <c r="WU173" s="11"/>
      <c r="WV173" s="12"/>
      <c r="XE173" s="11"/>
      <c r="XF173" s="12"/>
      <c r="XO173" s="11"/>
      <c r="XP173" s="12"/>
      <c r="XY173" s="11"/>
      <c r="XZ173" s="12"/>
      <c r="YI173" s="11"/>
      <c r="YJ173" s="12"/>
      <c r="YS173" s="11"/>
      <c r="YT173" s="12"/>
      <c r="ZC173" s="11"/>
      <c r="ZD173" s="12"/>
      <c r="ZM173" s="11"/>
      <c r="ZN173" s="12"/>
      <c r="ZW173" s="11"/>
      <c r="ZX173" s="12"/>
      <c r="AAG173" s="11"/>
      <c r="AAH173" s="12"/>
      <c r="AAQ173" s="11"/>
      <c r="AAR173" s="12"/>
      <c r="ABA173" s="11"/>
      <c r="ABB173" s="12"/>
      <c r="ABK173" s="11"/>
      <c r="ABL173" s="12"/>
      <c r="ABU173" s="11"/>
      <c r="ABV173" s="12"/>
      <c r="ACE173" s="11"/>
      <c r="ACF173" s="12"/>
      <c r="ACO173" s="11"/>
      <c r="ACP173" s="12"/>
      <c r="ACY173" s="11"/>
      <c r="ACZ173" s="12"/>
      <c r="ADI173" s="11"/>
      <c r="ADJ173" s="12"/>
      <c r="ADS173" s="11"/>
      <c r="ADT173" s="12"/>
      <c r="AEC173" s="11"/>
      <c r="AED173" s="12"/>
      <c r="AEM173" s="11"/>
      <c r="AEN173" s="12"/>
      <c r="AEW173" s="11"/>
      <c r="AEX173" s="12"/>
      <c r="AFG173" s="11"/>
      <c r="AFH173" s="12"/>
      <c r="AFQ173" s="11"/>
      <c r="AFR173" s="12"/>
      <c r="AGA173" s="11"/>
      <c r="AGB173" s="12"/>
      <c r="AGK173" s="11"/>
      <c r="AGL173" s="12"/>
      <c r="AGU173" s="11"/>
      <c r="AGV173" s="12"/>
      <c r="AHE173" s="11"/>
      <c r="AHF173" s="12"/>
      <c r="AHO173" s="11"/>
      <c r="AHP173" s="12"/>
      <c r="AHY173" s="11"/>
      <c r="AHZ173" s="12"/>
      <c r="AII173" s="11"/>
      <c r="AIJ173" s="12"/>
      <c r="AIS173" s="11"/>
      <c r="AIT173" s="12"/>
      <c r="AJC173" s="11"/>
      <c r="AJD173" s="12"/>
      <c r="AJM173" s="11"/>
      <c r="AJN173" s="12"/>
      <c r="AJW173" s="11"/>
      <c r="AJX173" s="12"/>
      <c r="AKG173" s="11"/>
      <c r="AKH173" s="12"/>
      <c r="AKQ173" s="11"/>
      <c r="AKR173" s="12"/>
      <c r="ALA173" s="11"/>
      <c r="ALB173" s="12"/>
      <c r="ALK173" s="11"/>
      <c r="ALL173" s="12"/>
      <c r="ALU173" s="11"/>
      <c r="ALV173" s="12"/>
      <c r="AME173" s="11"/>
      <c r="AMF173" s="12"/>
      <c r="AMO173" s="11"/>
      <c r="AMP173" s="12"/>
      <c r="AMY173" s="11"/>
      <c r="AMZ173" s="12"/>
      <c r="ANI173" s="11"/>
      <c r="ANJ173" s="12"/>
      <c r="ANS173" s="11"/>
      <c r="ANT173" s="12"/>
      <c r="AOC173" s="11"/>
      <c r="AOD173" s="12"/>
      <c r="AOM173" s="11"/>
      <c r="AON173" s="12"/>
      <c r="AOW173" s="11"/>
      <c r="AOX173" s="12"/>
      <c r="APG173" s="11"/>
      <c r="APH173" s="12"/>
      <c r="APQ173" s="11"/>
      <c r="APR173" s="12"/>
      <c r="AQA173" s="11"/>
      <c r="AQB173" s="12"/>
      <c r="AQK173" s="11"/>
      <c r="AQL173" s="12"/>
      <c r="AQU173" s="11"/>
      <c r="AQV173" s="12"/>
      <c r="ARE173" s="11"/>
      <c r="ARF173" s="12"/>
      <c r="ARO173" s="11"/>
      <c r="ARP173" s="12"/>
      <c r="ARY173" s="11"/>
      <c r="ARZ173" s="12"/>
      <c r="ASI173" s="11"/>
      <c r="ASJ173" s="12"/>
      <c r="ASS173" s="11"/>
      <c r="AST173" s="12"/>
      <c r="ATC173" s="11"/>
      <c r="ATD173" s="12"/>
      <c r="ATM173" s="11"/>
      <c r="ATN173" s="12"/>
      <c r="ATW173" s="11"/>
      <c r="ATX173" s="12"/>
      <c r="AUG173" s="11"/>
      <c r="AUH173" s="12"/>
      <c r="AUQ173" s="11"/>
      <c r="AUR173" s="12"/>
      <c r="AVA173" s="11"/>
      <c r="AVB173" s="12"/>
      <c r="AVK173" s="11"/>
      <c r="AVL173" s="12"/>
      <c r="AVU173" s="11"/>
      <c r="AVV173" s="12"/>
      <c r="AWE173" s="11"/>
      <c r="AWF173" s="12"/>
      <c r="AWO173" s="11"/>
      <c r="AWP173" s="12"/>
      <c r="AWY173" s="11"/>
      <c r="AWZ173" s="12"/>
      <c r="AXI173" s="11"/>
      <c r="AXJ173" s="12"/>
      <c r="AXS173" s="11"/>
      <c r="AXT173" s="12"/>
      <c r="AYC173" s="11"/>
      <c r="AYD173" s="12"/>
      <c r="AYM173" s="11"/>
      <c r="AYN173" s="12"/>
      <c r="AYW173" s="11"/>
      <c r="AYX173" s="12"/>
      <c r="AZG173" s="11"/>
      <c r="AZH173" s="12"/>
      <c r="AZQ173" s="11"/>
      <c r="AZR173" s="12"/>
      <c r="BAA173" s="11"/>
      <c r="BAB173" s="12"/>
      <c r="BAK173" s="11"/>
      <c r="BAL173" s="12"/>
      <c r="BAU173" s="11"/>
      <c r="BAV173" s="12"/>
      <c r="BBE173" s="11"/>
      <c r="BBF173" s="12"/>
      <c r="BBO173" s="11"/>
      <c r="BBP173" s="12"/>
      <c r="BBY173" s="11"/>
      <c r="BBZ173" s="12"/>
      <c r="BCI173" s="11"/>
      <c r="BCJ173" s="12"/>
      <c r="BCS173" s="11"/>
      <c r="BCT173" s="12"/>
      <c r="BDC173" s="11"/>
      <c r="BDD173" s="12"/>
      <c r="BDM173" s="11"/>
      <c r="BDN173" s="12"/>
      <c r="BDW173" s="11"/>
      <c r="BDX173" s="12"/>
      <c r="BEG173" s="11"/>
      <c r="BEH173" s="12"/>
      <c r="BEQ173" s="11"/>
      <c r="BER173" s="12"/>
      <c r="BFA173" s="11"/>
      <c r="BFB173" s="12"/>
      <c r="BFK173" s="11"/>
      <c r="BFL173" s="12"/>
      <c r="BFU173" s="11"/>
      <c r="BFV173" s="12"/>
      <c r="BGE173" s="11"/>
      <c r="BGF173" s="12"/>
      <c r="BGO173" s="11"/>
      <c r="BGP173" s="12"/>
      <c r="BGY173" s="11"/>
      <c r="BGZ173" s="12"/>
      <c r="BHI173" s="11"/>
      <c r="BHJ173" s="12"/>
      <c r="BHS173" s="11"/>
      <c r="BHT173" s="12"/>
      <c r="BIC173" s="11"/>
      <c r="BID173" s="12"/>
      <c r="BIM173" s="11"/>
      <c r="BIN173" s="12"/>
      <c r="BIW173" s="11"/>
      <c r="BIX173" s="12"/>
      <c r="BJG173" s="11"/>
      <c r="BJH173" s="12"/>
      <c r="BJQ173" s="11"/>
      <c r="BJR173" s="12"/>
      <c r="BKA173" s="11"/>
      <c r="BKB173" s="12"/>
      <c r="BKK173" s="11"/>
      <c r="BKL173" s="12"/>
      <c r="BKU173" s="11"/>
      <c r="BKV173" s="12"/>
      <c r="BLE173" s="11"/>
      <c r="BLF173" s="12"/>
      <c r="BLO173" s="11"/>
      <c r="BLP173" s="12"/>
      <c r="BLY173" s="11"/>
      <c r="BLZ173" s="12"/>
      <c r="BMI173" s="11"/>
      <c r="BMJ173" s="12"/>
      <c r="BMS173" s="11"/>
      <c r="BMT173" s="12"/>
      <c r="BNC173" s="11"/>
      <c r="BND173" s="12"/>
      <c r="BNM173" s="11"/>
      <c r="BNN173" s="12"/>
      <c r="BNW173" s="11"/>
      <c r="BNX173" s="12"/>
      <c r="BOG173" s="11"/>
      <c r="BOH173" s="12"/>
      <c r="BOQ173" s="11"/>
      <c r="BOR173" s="12"/>
      <c r="BPA173" s="11"/>
      <c r="BPB173" s="12"/>
      <c r="BPK173" s="11"/>
      <c r="BPL173" s="12"/>
      <c r="BPU173" s="11"/>
      <c r="BPV173" s="12"/>
      <c r="BQE173" s="11"/>
      <c r="BQF173" s="12"/>
      <c r="BQO173" s="11"/>
      <c r="BQP173" s="12"/>
      <c r="BQY173" s="11"/>
      <c r="BQZ173" s="12"/>
      <c r="BRI173" s="11"/>
      <c r="BRJ173" s="12"/>
      <c r="BRS173" s="11"/>
      <c r="BRT173" s="12"/>
      <c r="BSC173" s="11"/>
      <c r="BSD173" s="12"/>
      <c r="BSM173" s="11"/>
      <c r="BSN173" s="12"/>
      <c r="BSW173" s="11"/>
      <c r="BSX173" s="12"/>
      <c r="BTG173" s="11"/>
      <c r="BTH173" s="12"/>
      <c r="BTQ173" s="11"/>
      <c r="BTR173" s="12"/>
      <c r="BUA173" s="11"/>
      <c r="BUB173" s="12"/>
      <c r="BUK173" s="11"/>
      <c r="BUL173" s="12"/>
      <c r="BUU173" s="11"/>
      <c r="BUV173" s="12"/>
      <c r="BVE173" s="11"/>
      <c r="BVF173" s="12"/>
      <c r="BVO173" s="11"/>
      <c r="BVP173" s="12"/>
      <c r="BVY173" s="11"/>
      <c r="BVZ173" s="12"/>
      <c r="BWI173" s="11"/>
      <c r="BWJ173" s="12"/>
      <c r="BWS173" s="11"/>
      <c r="BWT173" s="12"/>
      <c r="BXC173" s="11"/>
      <c r="BXD173" s="12"/>
      <c r="BXM173" s="11"/>
      <c r="BXN173" s="12"/>
      <c r="BXW173" s="11"/>
      <c r="BXX173" s="12"/>
      <c r="BYG173" s="11"/>
      <c r="BYH173" s="12"/>
      <c r="BYQ173" s="11"/>
      <c r="BYR173" s="12"/>
      <c r="BZA173" s="11"/>
      <c r="BZB173" s="12"/>
      <c r="BZK173" s="11"/>
      <c r="BZL173" s="12"/>
      <c r="BZU173" s="11"/>
      <c r="BZV173" s="12"/>
      <c r="CAE173" s="11"/>
      <c r="CAF173" s="12"/>
      <c r="CAO173" s="11"/>
      <c r="CAP173" s="12"/>
      <c r="CAY173" s="11"/>
      <c r="CAZ173" s="12"/>
      <c r="CBI173" s="11"/>
      <c r="CBJ173" s="12"/>
      <c r="CBS173" s="11"/>
      <c r="CBT173" s="12"/>
      <c r="CCC173" s="11"/>
      <c r="CCD173" s="12"/>
      <c r="CCM173" s="11"/>
      <c r="CCN173" s="12"/>
      <c r="CCW173" s="11"/>
      <c r="CCX173" s="12"/>
      <c r="CDG173" s="11"/>
      <c r="CDH173" s="12"/>
      <c r="CDQ173" s="11"/>
      <c r="CDR173" s="12"/>
      <c r="CEA173" s="11"/>
      <c r="CEB173" s="12"/>
      <c r="CEK173" s="11"/>
      <c r="CEL173" s="12"/>
      <c r="CEU173" s="11"/>
      <c r="CEV173" s="12"/>
      <c r="CFE173" s="11"/>
      <c r="CFF173" s="12"/>
      <c r="CFO173" s="11"/>
      <c r="CFP173" s="12"/>
      <c r="CFY173" s="11"/>
      <c r="CFZ173" s="12"/>
      <c r="CGI173" s="11"/>
      <c r="CGJ173" s="12"/>
      <c r="CGS173" s="11"/>
      <c r="CGT173" s="12"/>
      <c r="CHC173" s="11"/>
      <c r="CHD173" s="12"/>
      <c r="CHM173" s="11"/>
      <c r="CHN173" s="12"/>
      <c r="CHW173" s="11"/>
      <c r="CHX173" s="12"/>
      <c r="CIG173" s="11"/>
      <c r="CIH173" s="12"/>
      <c r="CIQ173" s="11"/>
      <c r="CIR173" s="12"/>
      <c r="CJA173" s="11"/>
      <c r="CJB173" s="12"/>
      <c r="CJK173" s="11"/>
      <c r="CJL173" s="12"/>
      <c r="CJU173" s="11"/>
      <c r="CJV173" s="12"/>
      <c r="CKE173" s="11"/>
      <c r="CKF173" s="12"/>
      <c r="CKO173" s="11"/>
      <c r="CKP173" s="12"/>
      <c r="CKY173" s="11"/>
      <c r="CKZ173" s="12"/>
      <c r="CLI173" s="11"/>
      <c r="CLJ173" s="12"/>
      <c r="CLS173" s="11"/>
      <c r="CLT173" s="12"/>
      <c r="CMC173" s="11"/>
      <c r="CMD173" s="12"/>
      <c r="CMM173" s="11"/>
      <c r="CMN173" s="12"/>
      <c r="CMW173" s="11"/>
      <c r="CMX173" s="12"/>
      <c r="CNG173" s="11"/>
      <c r="CNH173" s="12"/>
      <c r="CNQ173" s="11"/>
      <c r="CNR173" s="12"/>
      <c r="COA173" s="11"/>
      <c r="COB173" s="12"/>
      <c r="COK173" s="11"/>
      <c r="COL173" s="12"/>
      <c r="COU173" s="11"/>
      <c r="COV173" s="12"/>
      <c r="CPE173" s="11"/>
      <c r="CPF173" s="12"/>
      <c r="CPO173" s="11"/>
      <c r="CPP173" s="12"/>
      <c r="CPY173" s="11"/>
      <c r="CPZ173" s="12"/>
      <c r="CQI173" s="11"/>
      <c r="CQJ173" s="12"/>
      <c r="CQS173" s="11"/>
      <c r="CQT173" s="12"/>
      <c r="CRC173" s="11"/>
      <c r="CRD173" s="12"/>
      <c r="CRM173" s="11"/>
      <c r="CRN173" s="12"/>
      <c r="CRW173" s="11"/>
      <c r="CRX173" s="12"/>
      <c r="CSG173" s="11"/>
      <c r="CSH173" s="12"/>
      <c r="CSQ173" s="11"/>
      <c r="CSR173" s="12"/>
      <c r="CTA173" s="11"/>
      <c r="CTB173" s="12"/>
      <c r="CTK173" s="11"/>
      <c r="CTL173" s="12"/>
      <c r="CTU173" s="11"/>
      <c r="CTV173" s="12"/>
      <c r="CUE173" s="11"/>
      <c r="CUF173" s="12"/>
      <c r="CUO173" s="11"/>
      <c r="CUP173" s="12"/>
      <c r="CUY173" s="11"/>
      <c r="CUZ173" s="12"/>
      <c r="CVI173" s="11"/>
      <c r="CVJ173" s="12"/>
      <c r="CVS173" s="11"/>
      <c r="CVT173" s="12"/>
      <c r="CWC173" s="11"/>
      <c r="CWD173" s="12"/>
      <c r="CWM173" s="11"/>
      <c r="CWN173" s="12"/>
      <c r="CWW173" s="11"/>
      <c r="CWX173" s="12"/>
      <c r="CXG173" s="11"/>
      <c r="CXH173" s="12"/>
      <c r="CXQ173" s="11"/>
      <c r="CXR173" s="12"/>
      <c r="CYA173" s="11"/>
      <c r="CYB173" s="12"/>
      <c r="CYK173" s="11"/>
      <c r="CYL173" s="12"/>
      <c r="CYU173" s="11"/>
      <c r="CYV173" s="12"/>
      <c r="CZE173" s="11"/>
      <c r="CZF173" s="12"/>
      <c r="CZO173" s="11"/>
      <c r="CZP173" s="12"/>
      <c r="CZY173" s="11"/>
      <c r="CZZ173" s="12"/>
      <c r="DAI173" s="11"/>
      <c r="DAJ173" s="12"/>
      <c r="DAS173" s="11"/>
      <c r="DAT173" s="12"/>
      <c r="DBC173" s="11"/>
      <c r="DBD173" s="12"/>
      <c r="DBM173" s="11"/>
      <c r="DBN173" s="12"/>
      <c r="DBW173" s="11"/>
      <c r="DBX173" s="12"/>
      <c r="DCG173" s="11"/>
      <c r="DCH173" s="12"/>
      <c r="DCQ173" s="11"/>
      <c r="DCR173" s="12"/>
      <c r="DDA173" s="11"/>
      <c r="DDB173" s="12"/>
      <c r="DDK173" s="11"/>
      <c r="DDL173" s="12"/>
      <c r="DDU173" s="11"/>
      <c r="DDV173" s="12"/>
      <c r="DEE173" s="11"/>
      <c r="DEF173" s="12"/>
      <c r="DEO173" s="11"/>
      <c r="DEP173" s="12"/>
      <c r="DEY173" s="11"/>
      <c r="DEZ173" s="12"/>
      <c r="DFI173" s="11"/>
      <c r="DFJ173" s="12"/>
      <c r="DFS173" s="11"/>
      <c r="DFT173" s="12"/>
      <c r="DGC173" s="11"/>
      <c r="DGD173" s="12"/>
      <c r="DGM173" s="11"/>
      <c r="DGN173" s="12"/>
      <c r="DGW173" s="11"/>
      <c r="DGX173" s="12"/>
      <c r="DHG173" s="11"/>
      <c r="DHH173" s="12"/>
      <c r="DHQ173" s="11"/>
      <c r="DHR173" s="12"/>
      <c r="DIA173" s="11"/>
      <c r="DIB173" s="12"/>
      <c r="DIK173" s="11"/>
      <c r="DIL173" s="12"/>
      <c r="DIU173" s="11"/>
      <c r="DIV173" s="12"/>
      <c r="DJE173" s="11"/>
      <c r="DJF173" s="12"/>
      <c r="DJO173" s="11"/>
      <c r="DJP173" s="12"/>
      <c r="DJY173" s="11"/>
      <c r="DJZ173" s="12"/>
      <c r="DKI173" s="11"/>
      <c r="DKJ173" s="12"/>
      <c r="DKS173" s="11"/>
      <c r="DKT173" s="12"/>
      <c r="DLC173" s="11"/>
      <c r="DLD173" s="12"/>
      <c r="DLM173" s="11"/>
      <c r="DLN173" s="12"/>
      <c r="DLW173" s="11"/>
      <c r="DLX173" s="12"/>
      <c r="DMG173" s="11"/>
      <c r="DMH173" s="12"/>
      <c r="DMQ173" s="11"/>
      <c r="DMR173" s="12"/>
      <c r="DNA173" s="11"/>
      <c r="DNB173" s="12"/>
      <c r="DNK173" s="11"/>
      <c r="DNL173" s="12"/>
      <c r="DNU173" s="11"/>
      <c r="DNV173" s="12"/>
      <c r="DOE173" s="11"/>
      <c r="DOF173" s="12"/>
      <c r="DOO173" s="11"/>
      <c r="DOP173" s="12"/>
      <c r="DOY173" s="11"/>
      <c r="DOZ173" s="12"/>
      <c r="DPI173" s="11"/>
      <c r="DPJ173" s="12"/>
      <c r="DPS173" s="11"/>
      <c r="DPT173" s="12"/>
      <c r="DQC173" s="11"/>
      <c r="DQD173" s="12"/>
      <c r="DQM173" s="11"/>
      <c r="DQN173" s="12"/>
      <c r="DQW173" s="11"/>
      <c r="DQX173" s="12"/>
      <c r="DRG173" s="11"/>
      <c r="DRH173" s="12"/>
      <c r="DRQ173" s="11"/>
      <c r="DRR173" s="12"/>
      <c r="DSA173" s="11"/>
      <c r="DSB173" s="12"/>
      <c r="DSK173" s="11"/>
      <c r="DSL173" s="12"/>
      <c r="DSU173" s="11"/>
      <c r="DSV173" s="12"/>
      <c r="DTE173" s="11"/>
      <c r="DTF173" s="12"/>
      <c r="DTO173" s="11"/>
      <c r="DTP173" s="12"/>
      <c r="DTY173" s="11"/>
      <c r="DTZ173" s="12"/>
      <c r="DUI173" s="11"/>
      <c r="DUJ173" s="12"/>
      <c r="DUS173" s="11"/>
      <c r="DUT173" s="12"/>
      <c r="DVC173" s="11"/>
      <c r="DVD173" s="12"/>
      <c r="DVM173" s="11"/>
      <c r="DVN173" s="12"/>
      <c r="DVW173" s="11"/>
      <c r="DVX173" s="12"/>
      <c r="DWG173" s="11"/>
      <c r="DWH173" s="12"/>
      <c r="DWQ173" s="11"/>
      <c r="DWR173" s="12"/>
      <c r="DXA173" s="11"/>
      <c r="DXB173" s="12"/>
      <c r="DXK173" s="11"/>
      <c r="DXL173" s="12"/>
      <c r="DXU173" s="11"/>
      <c r="DXV173" s="12"/>
      <c r="DYE173" s="11"/>
      <c r="DYF173" s="12"/>
      <c r="DYO173" s="11"/>
      <c r="DYP173" s="12"/>
      <c r="DYY173" s="11"/>
      <c r="DYZ173" s="12"/>
      <c r="DZI173" s="11"/>
      <c r="DZJ173" s="12"/>
      <c r="DZS173" s="11"/>
      <c r="DZT173" s="12"/>
      <c r="EAC173" s="11"/>
      <c r="EAD173" s="12"/>
      <c r="EAM173" s="11"/>
      <c r="EAN173" s="12"/>
      <c r="EAW173" s="11"/>
      <c r="EAX173" s="12"/>
      <c r="EBG173" s="11"/>
      <c r="EBH173" s="12"/>
      <c r="EBQ173" s="11"/>
      <c r="EBR173" s="12"/>
      <c r="ECA173" s="11"/>
      <c r="ECB173" s="12"/>
      <c r="ECK173" s="11"/>
      <c r="ECL173" s="12"/>
      <c r="ECU173" s="11"/>
      <c r="ECV173" s="12"/>
      <c r="EDE173" s="11"/>
      <c r="EDF173" s="12"/>
      <c r="EDO173" s="11"/>
      <c r="EDP173" s="12"/>
      <c r="EDY173" s="11"/>
      <c r="EDZ173" s="12"/>
      <c r="EEI173" s="11"/>
      <c r="EEJ173" s="12"/>
      <c r="EES173" s="11"/>
      <c r="EET173" s="12"/>
      <c r="EFC173" s="11"/>
      <c r="EFD173" s="12"/>
      <c r="EFM173" s="11"/>
      <c r="EFN173" s="12"/>
      <c r="EFW173" s="11"/>
      <c r="EFX173" s="12"/>
      <c r="EGG173" s="11"/>
      <c r="EGH173" s="12"/>
      <c r="EGQ173" s="11"/>
      <c r="EGR173" s="12"/>
      <c r="EHA173" s="11"/>
      <c r="EHB173" s="12"/>
      <c r="EHK173" s="11"/>
      <c r="EHL173" s="12"/>
      <c r="EHU173" s="11"/>
      <c r="EHV173" s="12"/>
      <c r="EIE173" s="11"/>
      <c r="EIF173" s="12"/>
      <c r="EIO173" s="11"/>
      <c r="EIP173" s="12"/>
      <c r="EIY173" s="11"/>
      <c r="EIZ173" s="12"/>
      <c r="EJI173" s="11"/>
      <c r="EJJ173" s="12"/>
      <c r="EJS173" s="11"/>
      <c r="EJT173" s="12"/>
      <c r="EKC173" s="11"/>
      <c r="EKD173" s="12"/>
      <c r="EKM173" s="11"/>
      <c r="EKN173" s="12"/>
      <c r="EKW173" s="11"/>
      <c r="EKX173" s="12"/>
      <c r="ELG173" s="11"/>
      <c r="ELH173" s="12"/>
      <c r="ELQ173" s="11"/>
      <c r="ELR173" s="12"/>
      <c r="EMA173" s="11"/>
      <c r="EMB173" s="12"/>
      <c r="EMK173" s="11"/>
      <c r="EML173" s="12"/>
      <c r="EMU173" s="11"/>
      <c r="EMV173" s="12"/>
      <c r="ENE173" s="11"/>
      <c r="ENF173" s="12"/>
      <c r="ENO173" s="11"/>
      <c r="ENP173" s="12"/>
      <c r="ENY173" s="11"/>
      <c r="ENZ173" s="12"/>
      <c r="EOI173" s="11"/>
      <c r="EOJ173" s="12"/>
      <c r="EOS173" s="11"/>
      <c r="EOT173" s="12"/>
      <c r="EPC173" s="11"/>
      <c r="EPD173" s="12"/>
      <c r="EPM173" s="11"/>
      <c r="EPN173" s="12"/>
      <c r="EPW173" s="11"/>
      <c r="EPX173" s="12"/>
      <c r="EQG173" s="11"/>
      <c r="EQH173" s="12"/>
      <c r="EQQ173" s="11"/>
      <c r="EQR173" s="12"/>
      <c r="ERA173" s="11"/>
      <c r="ERB173" s="12"/>
      <c r="ERK173" s="11"/>
      <c r="ERL173" s="12"/>
      <c r="ERU173" s="11"/>
      <c r="ERV173" s="12"/>
      <c r="ESE173" s="11"/>
      <c r="ESF173" s="12"/>
      <c r="ESO173" s="11"/>
      <c r="ESP173" s="12"/>
      <c r="ESY173" s="11"/>
      <c r="ESZ173" s="12"/>
      <c r="ETI173" s="11"/>
      <c r="ETJ173" s="12"/>
      <c r="ETS173" s="11"/>
      <c r="ETT173" s="12"/>
      <c r="EUC173" s="11"/>
      <c r="EUD173" s="12"/>
      <c r="EUM173" s="11"/>
      <c r="EUN173" s="12"/>
      <c r="EUW173" s="11"/>
      <c r="EUX173" s="12"/>
      <c r="EVG173" s="11"/>
      <c r="EVH173" s="12"/>
      <c r="EVQ173" s="11"/>
      <c r="EVR173" s="12"/>
      <c r="EWA173" s="11"/>
      <c r="EWB173" s="12"/>
      <c r="EWK173" s="11"/>
      <c r="EWL173" s="12"/>
      <c r="EWU173" s="11"/>
      <c r="EWV173" s="12"/>
      <c r="EXE173" s="11"/>
      <c r="EXF173" s="12"/>
      <c r="EXO173" s="11"/>
      <c r="EXP173" s="12"/>
      <c r="EXY173" s="11"/>
      <c r="EXZ173" s="12"/>
      <c r="EYI173" s="11"/>
      <c r="EYJ173" s="12"/>
      <c r="EYS173" s="11"/>
      <c r="EYT173" s="12"/>
      <c r="EZC173" s="11"/>
      <c r="EZD173" s="12"/>
      <c r="EZM173" s="11"/>
      <c r="EZN173" s="12"/>
      <c r="EZW173" s="11"/>
      <c r="EZX173" s="12"/>
      <c r="FAG173" s="11"/>
      <c r="FAH173" s="12"/>
      <c r="FAQ173" s="11"/>
      <c r="FAR173" s="12"/>
      <c r="FBA173" s="11"/>
      <c r="FBB173" s="12"/>
      <c r="FBK173" s="11"/>
      <c r="FBL173" s="12"/>
      <c r="FBU173" s="11"/>
      <c r="FBV173" s="12"/>
      <c r="FCE173" s="11"/>
      <c r="FCF173" s="12"/>
      <c r="FCO173" s="11"/>
      <c r="FCP173" s="12"/>
      <c r="FCY173" s="11"/>
      <c r="FCZ173" s="12"/>
      <c r="FDI173" s="11"/>
      <c r="FDJ173" s="12"/>
      <c r="FDS173" s="11"/>
      <c r="FDT173" s="12"/>
      <c r="FEC173" s="11"/>
      <c r="FED173" s="12"/>
      <c r="FEM173" s="11"/>
      <c r="FEN173" s="12"/>
      <c r="FEW173" s="11"/>
      <c r="FEX173" s="12"/>
      <c r="FFG173" s="11"/>
      <c r="FFH173" s="12"/>
      <c r="FFQ173" s="11"/>
      <c r="FFR173" s="12"/>
      <c r="FGA173" s="11"/>
      <c r="FGB173" s="12"/>
      <c r="FGK173" s="11"/>
      <c r="FGL173" s="12"/>
      <c r="FGU173" s="11"/>
      <c r="FGV173" s="12"/>
      <c r="FHE173" s="11"/>
      <c r="FHF173" s="12"/>
      <c r="FHO173" s="11"/>
      <c r="FHP173" s="12"/>
      <c r="FHY173" s="11"/>
      <c r="FHZ173" s="12"/>
      <c r="FII173" s="11"/>
      <c r="FIJ173" s="12"/>
      <c r="FIS173" s="11"/>
      <c r="FIT173" s="12"/>
      <c r="FJC173" s="11"/>
      <c r="FJD173" s="12"/>
      <c r="FJM173" s="11"/>
      <c r="FJN173" s="12"/>
      <c r="FJW173" s="11"/>
      <c r="FJX173" s="12"/>
      <c r="FKG173" s="11"/>
      <c r="FKH173" s="12"/>
      <c r="FKQ173" s="11"/>
      <c r="FKR173" s="12"/>
      <c r="FLA173" s="11"/>
      <c r="FLB173" s="12"/>
      <c r="FLK173" s="11"/>
      <c r="FLL173" s="12"/>
      <c r="FLU173" s="11"/>
      <c r="FLV173" s="12"/>
      <c r="FME173" s="11"/>
      <c r="FMF173" s="12"/>
      <c r="FMO173" s="11"/>
      <c r="FMP173" s="12"/>
      <c r="FMY173" s="11"/>
      <c r="FMZ173" s="12"/>
      <c r="FNI173" s="11"/>
      <c r="FNJ173" s="12"/>
      <c r="FNS173" s="11"/>
      <c r="FNT173" s="12"/>
      <c r="FOC173" s="11"/>
      <c r="FOD173" s="12"/>
      <c r="FOM173" s="11"/>
      <c r="FON173" s="12"/>
      <c r="FOW173" s="11"/>
      <c r="FOX173" s="12"/>
      <c r="FPG173" s="11"/>
      <c r="FPH173" s="12"/>
      <c r="FPQ173" s="11"/>
      <c r="FPR173" s="12"/>
      <c r="FQA173" s="11"/>
      <c r="FQB173" s="12"/>
      <c r="FQK173" s="11"/>
      <c r="FQL173" s="12"/>
      <c r="FQU173" s="11"/>
      <c r="FQV173" s="12"/>
      <c r="FRE173" s="11"/>
      <c r="FRF173" s="12"/>
      <c r="FRO173" s="11"/>
      <c r="FRP173" s="12"/>
      <c r="FRY173" s="11"/>
      <c r="FRZ173" s="12"/>
      <c r="FSI173" s="11"/>
      <c r="FSJ173" s="12"/>
      <c r="FSS173" s="11"/>
      <c r="FST173" s="12"/>
      <c r="FTC173" s="11"/>
      <c r="FTD173" s="12"/>
      <c r="FTM173" s="11"/>
      <c r="FTN173" s="12"/>
      <c r="FTW173" s="11"/>
      <c r="FTX173" s="12"/>
      <c r="FUG173" s="11"/>
      <c r="FUH173" s="12"/>
      <c r="FUQ173" s="11"/>
      <c r="FUR173" s="12"/>
      <c r="FVA173" s="11"/>
      <c r="FVB173" s="12"/>
      <c r="FVK173" s="11"/>
      <c r="FVL173" s="12"/>
      <c r="FVU173" s="11"/>
      <c r="FVV173" s="12"/>
      <c r="FWE173" s="11"/>
      <c r="FWF173" s="12"/>
      <c r="FWO173" s="11"/>
      <c r="FWP173" s="12"/>
      <c r="FWY173" s="11"/>
      <c r="FWZ173" s="12"/>
      <c r="FXI173" s="11"/>
      <c r="FXJ173" s="12"/>
      <c r="FXS173" s="11"/>
      <c r="FXT173" s="12"/>
      <c r="FYC173" s="11"/>
      <c r="FYD173" s="12"/>
      <c r="FYM173" s="11"/>
      <c r="FYN173" s="12"/>
      <c r="FYW173" s="11"/>
      <c r="FYX173" s="12"/>
      <c r="FZG173" s="11"/>
      <c r="FZH173" s="12"/>
      <c r="FZQ173" s="11"/>
      <c r="FZR173" s="12"/>
      <c r="GAA173" s="11"/>
      <c r="GAB173" s="12"/>
      <c r="GAK173" s="11"/>
      <c r="GAL173" s="12"/>
      <c r="GAU173" s="11"/>
      <c r="GAV173" s="12"/>
      <c r="GBE173" s="11"/>
      <c r="GBF173" s="12"/>
      <c r="GBO173" s="11"/>
      <c r="GBP173" s="12"/>
      <c r="GBY173" s="11"/>
      <c r="GBZ173" s="12"/>
      <c r="GCI173" s="11"/>
      <c r="GCJ173" s="12"/>
      <c r="GCS173" s="11"/>
      <c r="GCT173" s="12"/>
      <c r="GDC173" s="11"/>
      <c r="GDD173" s="12"/>
      <c r="GDM173" s="11"/>
      <c r="GDN173" s="12"/>
      <c r="GDW173" s="11"/>
      <c r="GDX173" s="12"/>
      <c r="GEG173" s="11"/>
      <c r="GEH173" s="12"/>
      <c r="GEQ173" s="11"/>
      <c r="GER173" s="12"/>
      <c r="GFA173" s="11"/>
      <c r="GFB173" s="12"/>
      <c r="GFK173" s="11"/>
      <c r="GFL173" s="12"/>
      <c r="GFU173" s="11"/>
      <c r="GFV173" s="12"/>
      <c r="GGE173" s="11"/>
      <c r="GGF173" s="12"/>
      <c r="GGO173" s="11"/>
      <c r="GGP173" s="12"/>
      <c r="GGY173" s="11"/>
      <c r="GGZ173" s="12"/>
      <c r="GHI173" s="11"/>
      <c r="GHJ173" s="12"/>
      <c r="GHS173" s="11"/>
      <c r="GHT173" s="12"/>
      <c r="GIC173" s="11"/>
      <c r="GID173" s="12"/>
      <c r="GIM173" s="11"/>
      <c r="GIN173" s="12"/>
      <c r="GIW173" s="11"/>
      <c r="GIX173" s="12"/>
      <c r="GJG173" s="11"/>
      <c r="GJH173" s="12"/>
      <c r="GJQ173" s="11"/>
      <c r="GJR173" s="12"/>
      <c r="GKA173" s="11"/>
      <c r="GKB173" s="12"/>
      <c r="GKK173" s="11"/>
      <c r="GKL173" s="12"/>
      <c r="GKU173" s="11"/>
      <c r="GKV173" s="12"/>
      <c r="GLE173" s="11"/>
      <c r="GLF173" s="12"/>
      <c r="GLO173" s="11"/>
      <c r="GLP173" s="12"/>
      <c r="GLY173" s="11"/>
      <c r="GLZ173" s="12"/>
      <c r="GMI173" s="11"/>
      <c r="GMJ173" s="12"/>
      <c r="GMS173" s="11"/>
      <c r="GMT173" s="12"/>
      <c r="GNC173" s="11"/>
      <c r="GND173" s="12"/>
      <c r="GNM173" s="11"/>
      <c r="GNN173" s="12"/>
      <c r="GNW173" s="11"/>
      <c r="GNX173" s="12"/>
      <c r="GOG173" s="11"/>
      <c r="GOH173" s="12"/>
      <c r="GOQ173" s="11"/>
      <c r="GOR173" s="12"/>
      <c r="GPA173" s="11"/>
      <c r="GPB173" s="12"/>
      <c r="GPK173" s="11"/>
      <c r="GPL173" s="12"/>
      <c r="GPU173" s="11"/>
      <c r="GPV173" s="12"/>
      <c r="GQE173" s="11"/>
      <c r="GQF173" s="12"/>
      <c r="GQO173" s="11"/>
      <c r="GQP173" s="12"/>
      <c r="GQY173" s="11"/>
      <c r="GQZ173" s="12"/>
      <c r="GRI173" s="11"/>
      <c r="GRJ173" s="12"/>
      <c r="GRS173" s="11"/>
      <c r="GRT173" s="12"/>
      <c r="GSC173" s="11"/>
      <c r="GSD173" s="12"/>
      <c r="GSM173" s="11"/>
      <c r="GSN173" s="12"/>
      <c r="GSW173" s="11"/>
      <c r="GSX173" s="12"/>
      <c r="GTG173" s="11"/>
      <c r="GTH173" s="12"/>
      <c r="GTQ173" s="11"/>
      <c r="GTR173" s="12"/>
      <c r="GUA173" s="11"/>
      <c r="GUB173" s="12"/>
      <c r="GUK173" s="11"/>
      <c r="GUL173" s="12"/>
      <c r="GUU173" s="11"/>
      <c r="GUV173" s="12"/>
      <c r="GVE173" s="11"/>
      <c r="GVF173" s="12"/>
      <c r="GVO173" s="11"/>
      <c r="GVP173" s="12"/>
      <c r="GVY173" s="11"/>
      <c r="GVZ173" s="12"/>
      <c r="GWI173" s="11"/>
      <c r="GWJ173" s="12"/>
      <c r="GWS173" s="11"/>
      <c r="GWT173" s="12"/>
      <c r="GXC173" s="11"/>
      <c r="GXD173" s="12"/>
      <c r="GXM173" s="11"/>
      <c r="GXN173" s="12"/>
      <c r="GXW173" s="11"/>
      <c r="GXX173" s="12"/>
      <c r="GYG173" s="11"/>
      <c r="GYH173" s="12"/>
      <c r="GYQ173" s="11"/>
      <c r="GYR173" s="12"/>
      <c r="GZA173" s="11"/>
      <c r="GZB173" s="12"/>
      <c r="GZK173" s="11"/>
      <c r="GZL173" s="12"/>
      <c r="GZU173" s="11"/>
      <c r="GZV173" s="12"/>
      <c r="HAE173" s="11"/>
      <c r="HAF173" s="12"/>
      <c r="HAO173" s="11"/>
      <c r="HAP173" s="12"/>
      <c r="HAY173" s="11"/>
      <c r="HAZ173" s="12"/>
      <c r="HBI173" s="11"/>
      <c r="HBJ173" s="12"/>
      <c r="HBS173" s="11"/>
      <c r="HBT173" s="12"/>
      <c r="HCC173" s="11"/>
      <c r="HCD173" s="12"/>
      <c r="HCM173" s="11"/>
      <c r="HCN173" s="12"/>
      <c r="HCW173" s="11"/>
      <c r="HCX173" s="12"/>
      <c r="HDG173" s="11"/>
      <c r="HDH173" s="12"/>
      <c r="HDQ173" s="11"/>
      <c r="HDR173" s="12"/>
      <c r="HEA173" s="11"/>
      <c r="HEB173" s="12"/>
      <c r="HEK173" s="11"/>
      <c r="HEL173" s="12"/>
      <c r="HEU173" s="11"/>
      <c r="HEV173" s="12"/>
      <c r="HFE173" s="11"/>
      <c r="HFF173" s="12"/>
      <c r="HFO173" s="11"/>
      <c r="HFP173" s="12"/>
      <c r="HFY173" s="11"/>
      <c r="HFZ173" s="12"/>
      <c r="HGI173" s="11"/>
      <c r="HGJ173" s="12"/>
      <c r="HGS173" s="11"/>
      <c r="HGT173" s="12"/>
      <c r="HHC173" s="11"/>
      <c r="HHD173" s="12"/>
      <c r="HHM173" s="11"/>
      <c r="HHN173" s="12"/>
      <c r="HHW173" s="11"/>
      <c r="HHX173" s="12"/>
      <c r="HIG173" s="11"/>
      <c r="HIH173" s="12"/>
      <c r="HIQ173" s="11"/>
      <c r="HIR173" s="12"/>
      <c r="HJA173" s="11"/>
      <c r="HJB173" s="12"/>
      <c r="HJK173" s="11"/>
      <c r="HJL173" s="12"/>
      <c r="HJU173" s="11"/>
      <c r="HJV173" s="12"/>
      <c r="HKE173" s="11"/>
      <c r="HKF173" s="12"/>
      <c r="HKO173" s="11"/>
      <c r="HKP173" s="12"/>
      <c r="HKY173" s="11"/>
      <c r="HKZ173" s="12"/>
      <c r="HLI173" s="11"/>
      <c r="HLJ173" s="12"/>
      <c r="HLS173" s="11"/>
      <c r="HLT173" s="12"/>
      <c r="HMC173" s="11"/>
      <c r="HMD173" s="12"/>
      <c r="HMM173" s="11"/>
      <c r="HMN173" s="12"/>
      <c r="HMW173" s="11"/>
      <c r="HMX173" s="12"/>
      <c r="HNG173" s="11"/>
      <c r="HNH173" s="12"/>
      <c r="HNQ173" s="11"/>
      <c r="HNR173" s="12"/>
      <c r="HOA173" s="11"/>
      <c r="HOB173" s="12"/>
      <c r="HOK173" s="11"/>
      <c r="HOL173" s="12"/>
      <c r="HOU173" s="11"/>
      <c r="HOV173" s="12"/>
      <c r="HPE173" s="11"/>
      <c r="HPF173" s="12"/>
      <c r="HPO173" s="11"/>
      <c r="HPP173" s="12"/>
      <c r="HPY173" s="11"/>
      <c r="HPZ173" s="12"/>
      <c r="HQI173" s="11"/>
      <c r="HQJ173" s="12"/>
      <c r="HQS173" s="11"/>
      <c r="HQT173" s="12"/>
      <c r="HRC173" s="11"/>
      <c r="HRD173" s="12"/>
      <c r="HRM173" s="11"/>
      <c r="HRN173" s="12"/>
      <c r="HRW173" s="11"/>
      <c r="HRX173" s="12"/>
      <c r="HSG173" s="11"/>
      <c r="HSH173" s="12"/>
      <c r="HSQ173" s="11"/>
      <c r="HSR173" s="12"/>
      <c r="HTA173" s="11"/>
      <c r="HTB173" s="12"/>
      <c r="HTK173" s="11"/>
      <c r="HTL173" s="12"/>
      <c r="HTU173" s="11"/>
      <c r="HTV173" s="12"/>
      <c r="HUE173" s="11"/>
      <c r="HUF173" s="12"/>
      <c r="HUO173" s="11"/>
      <c r="HUP173" s="12"/>
      <c r="HUY173" s="11"/>
      <c r="HUZ173" s="12"/>
      <c r="HVI173" s="11"/>
      <c r="HVJ173" s="12"/>
      <c r="HVS173" s="11"/>
      <c r="HVT173" s="12"/>
      <c r="HWC173" s="11"/>
      <c r="HWD173" s="12"/>
      <c r="HWM173" s="11"/>
      <c r="HWN173" s="12"/>
      <c r="HWW173" s="11"/>
      <c r="HWX173" s="12"/>
      <c r="HXG173" s="11"/>
      <c r="HXH173" s="12"/>
      <c r="HXQ173" s="11"/>
      <c r="HXR173" s="12"/>
      <c r="HYA173" s="11"/>
      <c r="HYB173" s="12"/>
      <c r="HYK173" s="11"/>
      <c r="HYL173" s="12"/>
      <c r="HYU173" s="11"/>
      <c r="HYV173" s="12"/>
      <c r="HZE173" s="11"/>
      <c r="HZF173" s="12"/>
      <c r="HZO173" s="11"/>
      <c r="HZP173" s="12"/>
      <c r="HZY173" s="11"/>
      <c r="HZZ173" s="12"/>
      <c r="IAI173" s="11"/>
      <c r="IAJ173" s="12"/>
      <c r="IAS173" s="11"/>
      <c r="IAT173" s="12"/>
      <c r="IBC173" s="11"/>
      <c r="IBD173" s="12"/>
      <c r="IBM173" s="11"/>
      <c r="IBN173" s="12"/>
      <c r="IBW173" s="11"/>
      <c r="IBX173" s="12"/>
      <c r="ICG173" s="11"/>
      <c r="ICH173" s="12"/>
      <c r="ICQ173" s="11"/>
      <c r="ICR173" s="12"/>
      <c r="IDA173" s="11"/>
      <c r="IDB173" s="12"/>
      <c r="IDK173" s="11"/>
      <c r="IDL173" s="12"/>
      <c r="IDU173" s="11"/>
      <c r="IDV173" s="12"/>
      <c r="IEE173" s="11"/>
      <c r="IEF173" s="12"/>
      <c r="IEO173" s="11"/>
      <c r="IEP173" s="12"/>
      <c r="IEY173" s="11"/>
      <c r="IEZ173" s="12"/>
      <c r="IFI173" s="11"/>
      <c r="IFJ173" s="12"/>
      <c r="IFS173" s="11"/>
      <c r="IFT173" s="12"/>
      <c r="IGC173" s="11"/>
      <c r="IGD173" s="12"/>
      <c r="IGM173" s="11"/>
      <c r="IGN173" s="12"/>
      <c r="IGW173" s="11"/>
      <c r="IGX173" s="12"/>
      <c r="IHG173" s="11"/>
      <c r="IHH173" s="12"/>
      <c r="IHQ173" s="11"/>
      <c r="IHR173" s="12"/>
      <c r="IIA173" s="11"/>
      <c r="IIB173" s="12"/>
      <c r="IIK173" s="11"/>
      <c r="IIL173" s="12"/>
      <c r="IIU173" s="11"/>
      <c r="IIV173" s="12"/>
      <c r="IJE173" s="11"/>
      <c r="IJF173" s="12"/>
      <c r="IJO173" s="11"/>
      <c r="IJP173" s="12"/>
      <c r="IJY173" s="11"/>
      <c r="IJZ173" s="12"/>
      <c r="IKI173" s="11"/>
      <c r="IKJ173" s="12"/>
      <c r="IKS173" s="11"/>
      <c r="IKT173" s="12"/>
      <c r="ILC173" s="11"/>
      <c r="ILD173" s="12"/>
      <c r="ILM173" s="11"/>
      <c r="ILN173" s="12"/>
      <c r="ILW173" s="11"/>
      <c r="ILX173" s="12"/>
      <c r="IMG173" s="11"/>
      <c r="IMH173" s="12"/>
      <c r="IMQ173" s="11"/>
      <c r="IMR173" s="12"/>
      <c r="INA173" s="11"/>
      <c r="INB173" s="12"/>
      <c r="INK173" s="11"/>
      <c r="INL173" s="12"/>
      <c r="INU173" s="11"/>
      <c r="INV173" s="12"/>
      <c r="IOE173" s="11"/>
      <c r="IOF173" s="12"/>
      <c r="IOO173" s="11"/>
      <c r="IOP173" s="12"/>
      <c r="IOY173" s="11"/>
      <c r="IOZ173" s="12"/>
      <c r="IPI173" s="11"/>
      <c r="IPJ173" s="12"/>
      <c r="IPS173" s="11"/>
      <c r="IPT173" s="12"/>
      <c r="IQC173" s="11"/>
      <c r="IQD173" s="12"/>
      <c r="IQM173" s="11"/>
      <c r="IQN173" s="12"/>
      <c r="IQW173" s="11"/>
      <c r="IQX173" s="12"/>
      <c r="IRG173" s="11"/>
      <c r="IRH173" s="12"/>
      <c r="IRQ173" s="11"/>
      <c r="IRR173" s="12"/>
      <c r="ISA173" s="11"/>
      <c r="ISB173" s="12"/>
      <c r="ISK173" s="11"/>
      <c r="ISL173" s="12"/>
      <c r="ISU173" s="11"/>
      <c r="ISV173" s="12"/>
      <c r="ITE173" s="11"/>
      <c r="ITF173" s="12"/>
      <c r="ITO173" s="11"/>
      <c r="ITP173" s="12"/>
      <c r="ITY173" s="11"/>
      <c r="ITZ173" s="12"/>
      <c r="IUI173" s="11"/>
      <c r="IUJ173" s="12"/>
      <c r="IUS173" s="11"/>
      <c r="IUT173" s="12"/>
      <c r="IVC173" s="11"/>
      <c r="IVD173" s="12"/>
      <c r="IVM173" s="11"/>
      <c r="IVN173" s="12"/>
      <c r="IVW173" s="11"/>
      <c r="IVX173" s="12"/>
      <c r="IWG173" s="11"/>
      <c r="IWH173" s="12"/>
      <c r="IWQ173" s="11"/>
      <c r="IWR173" s="12"/>
      <c r="IXA173" s="11"/>
      <c r="IXB173" s="12"/>
      <c r="IXK173" s="11"/>
      <c r="IXL173" s="12"/>
      <c r="IXU173" s="11"/>
      <c r="IXV173" s="12"/>
      <c r="IYE173" s="11"/>
      <c r="IYF173" s="12"/>
      <c r="IYO173" s="11"/>
      <c r="IYP173" s="12"/>
      <c r="IYY173" s="11"/>
      <c r="IYZ173" s="12"/>
      <c r="IZI173" s="11"/>
      <c r="IZJ173" s="12"/>
      <c r="IZS173" s="11"/>
      <c r="IZT173" s="12"/>
      <c r="JAC173" s="11"/>
      <c r="JAD173" s="12"/>
      <c r="JAM173" s="11"/>
      <c r="JAN173" s="12"/>
      <c r="JAW173" s="11"/>
      <c r="JAX173" s="12"/>
      <c r="JBG173" s="11"/>
      <c r="JBH173" s="12"/>
      <c r="JBQ173" s="11"/>
      <c r="JBR173" s="12"/>
      <c r="JCA173" s="11"/>
      <c r="JCB173" s="12"/>
      <c r="JCK173" s="11"/>
      <c r="JCL173" s="12"/>
      <c r="JCU173" s="11"/>
      <c r="JCV173" s="12"/>
      <c r="JDE173" s="11"/>
      <c r="JDF173" s="12"/>
      <c r="JDO173" s="11"/>
      <c r="JDP173" s="12"/>
      <c r="JDY173" s="11"/>
      <c r="JDZ173" s="12"/>
      <c r="JEI173" s="11"/>
      <c r="JEJ173" s="12"/>
      <c r="JES173" s="11"/>
      <c r="JET173" s="12"/>
      <c r="JFC173" s="11"/>
      <c r="JFD173" s="12"/>
      <c r="JFM173" s="11"/>
      <c r="JFN173" s="12"/>
      <c r="JFW173" s="11"/>
      <c r="JFX173" s="12"/>
      <c r="JGG173" s="11"/>
      <c r="JGH173" s="12"/>
      <c r="JGQ173" s="11"/>
      <c r="JGR173" s="12"/>
      <c r="JHA173" s="11"/>
      <c r="JHB173" s="12"/>
      <c r="JHK173" s="11"/>
      <c r="JHL173" s="12"/>
      <c r="JHU173" s="11"/>
      <c r="JHV173" s="12"/>
      <c r="JIE173" s="11"/>
      <c r="JIF173" s="12"/>
      <c r="JIO173" s="11"/>
      <c r="JIP173" s="12"/>
      <c r="JIY173" s="11"/>
      <c r="JIZ173" s="12"/>
      <c r="JJI173" s="11"/>
      <c r="JJJ173" s="12"/>
      <c r="JJS173" s="11"/>
      <c r="JJT173" s="12"/>
      <c r="JKC173" s="11"/>
      <c r="JKD173" s="12"/>
      <c r="JKM173" s="11"/>
      <c r="JKN173" s="12"/>
      <c r="JKW173" s="11"/>
      <c r="JKX173" s="12"/>
      <c r="JLG173" s="11"/>
      <c r="JLH173" s="12"/>
      <c r="JLQ173" s="11"/>
      <c r="JLR173" s="12"/>
      <c r="JMA173" s="11"/>
      <c r="JMB173" s="12"/>
      <c r="JMK173" s="11"/>
      <c r="JML173" s="12"/>
      <c r="JMU173" s="11"/>
      <c r="JMV173" s="12"/>
      <c r="JNE173" s="11"/>
      <c r="JNF173" s="12"/>
      <c r="JNO173" s="11"/>
      <c r="JNP173" s="12"/>
      <c r="JNY173" s="11"/>
      <c r="JNZ173" s="12"/>
      <c r="JOI173" s="11"/>
      <c r="JOJ173" s="12"/>
      <c r="JOS173" s="11"/>
      <c r="JOT173" s="12"/>
      <c r="JPC173" s="11"/>
      <c r="JPD173" s="12"/>
      <c r="JPM173" s="11"/>
      <c r="JPN173" s="12"/>
      <c r="JPW173" s="11"/>
      <c r="JPX173" s="12"/>
      <c r="JQG173" s="11"/>
      <c r="JQH173" s="12"/>
      <c r="JQQ173" s="11"/>
      <c r="JQR173" s="12"/>
      <c r="JRA173" s="11"/>
      <c r="JRB173" s="12"/>
      <c r="JRK173" s="11"/>
      <c r="JRL173" s="12"/>
      <c r="JRU173" s="11"/>
      <c r="JRV173" s="12"/>
      <c r="JSE173" s="11"/>
      <c r="JSF173" s="12"/>
      <c r="JSO173" s="11"/>
      <c r="JSP173" s="12"/>
      <c r="JSY173" s="11"/>
      <c r="JSZ173" s="12"/>
      <c r="JTI173" s="11"/>
      <c r="JTJ173" s="12"/>
      <c r="JTS173" s="11"/>
      <c r="JTT173" s="12"/>
      <c r="JUC173" s="11"/>
      <c r="JUD173" s="12"/>
      <c r="JUM173" s="11"/>
      <c r="JUN173" s="12"/>
      <c r="JUW173" s="11"/>
      <c r="JUX173" s="12"/>
      <c r="JVG173" s="11"/>
      <c r="JVH173" s="12"/>
      <c r="JVQ173" s="11"/>
      <c r="JVR173" s="12"/>
      <c r="JWA173" s="11"/>
      <c r="JWB173" s="12"/>
      <c r="JWK173" s="11"/>
      <c r="JWL173" s="12"/>
      <c r="JWU173" s="11"/>
      <c r="JWV173" s="12"/>
      <c r="JXE173" s="11"/>
      <c r="JXF173" s="12"/>
      <c r="JXO173" s="11"/>
      <c r="JXP173" s="12"/>
      <c r="JXY173" s="11"/>
      <c r="JXZ173" s="12"/>
      <c r="JYI173" s="11"/>
      <c r="JYJ173" s="12"/>
      <c r="JYS173" s="11"/>
      <c r="JYT173" s="12"/>
      <c r="JZC173" s="11"/>
      <c r="JZD173" s="12"/>
      <c r="JZM173" s="11"/>
      <c r="JZN173" s="12"/>
      <c r="JZW173" s="11"/>
      <c r="JZX173" s="12"/>
      <c r="KAG173" s="11"/>
      <c r="KAH173" s="12"/>
      <c r="KAQ173" s="11"/>
      <c r="KAR173" s="12"/>
      <c r="KBA173" s="11"/>
      <c r="KBB173" s="12"/>
      <c r="KBK173" s="11"/>
      <c r="KBL173" s="12"/>
      <c r="KBU173" s="11"/>
      <c r="KBV173" s="12"/>
      <c r="KCE173" s="11"/>
      <c r="KCF173" s="12"/>
      <c r="KCO173" s="11"/>
      <c r="KCP173" s="12"/>
      <c r="KCY173" s="11"/>
      <c r="KCZ173" s="12"/>
      <c r="KDI173" s="11"/>
      <c r="KDJ173" s="12"/>
      <c r="KDS173" s="11"/>
      <c r="KDT173" s="12"/>
      <c r="KEC173" s="11"/>
      <c r="KED173" s="12"/>
      <c r="KEM173" s="11"/>
      <c r="KEN173" s="12"/>
      <c r="KEW173" s="11"/>
      <c r="KEX173" s="12"/>
      <c r="KFG173" s="11"/>
      <c r="KFH173" s="12"/>
      <c r="KFQ173" s="11"/>
      <c r="KFR173" s="12"/>
      <c r="KGA173" s="11"/>
      <c r="KGB173" s="12"/>
      <c r="KGK173" s="11"/>
      <c r="KGL173" s="12"/>
      <c r="KGU173" s="11"/>
      <c r="KGV173" s="12"/>
      <c r="KHE173" s="11"/>
      <c r="KHF173" s="12"/>
      <c r="KHO173" s="11"/>
      <c r="KHP173" s="12"/>
      <c r="KHY173" s="11"/>
      <c r="KHZ173" s="12"/>
      <c r="KII173" s="11"/>
      <c r="KIJ173" s="12"/>
      <c r="KIS173" s="11"/>
      <c r="KIT173" s="12"/>
      <c r="KJC173" s="11"/>
      <c r="KJD173" s="12"/>
      <c r="KJM173" s="11"/>
      <c r="KJN173" s="12"/>
      <c r="KJW173" s="11"/>
      <c r="KJX173" s="12"/>
      <c r="KKG173" s="11"/>
      <c r="KKH173" s="12"/>
      <c r="KKQ173" s="11"/>
      <c r="KKR173" s="12"/>
      <c r="KLA173" s="11"/>
      <c r="KLB173" s="12"/>
      <c r="KLK173" s="11"/>
      <c r="KLL173" s="12"/>
      <c r="KLU173" s="11"/>
      <c r="KLV173" s="12"/>
      <c r="KME173" s="11"/>
      <c r="KMF173" s="12"/>
      <c r="KMO173" s="11"/>
      <c r="KMP173" s="12"/>
      <c r="KMY173" s="11"/>
      <c r="KMZ173" s="12"/>
      <c r="KNI173" s="11"/>
      <c r="KNJ173" s="12"/>
      <c r="KNS173" s="11"/>
      <c r="KNT173" s="12"/>
      <c r="KOC173" s="11"/>
      <c r="KOD173" s="12"/>
      <c r="KOM173" s="11"/>
      <c r="KON173" s="12"/>
      <c r="KOW173" s="11"/>
      <c r="KOX173" s="12"/>
      <c r="KPG173" s="11"/>
      <c r="KPH173" s="12"/>
      <c r="KPQ173" s="11"/>
      <c r="KPR173" s="12"/>
      <c r="KQA173" s="11"/>
      <c r="KQB173" s="12"/>
      <c r="KQK173" s="11"/>
      <c r="KQL173" s="12"/>
      <c r="KQU173" s="11"/>
      <c r="KQV173" s="12"/>
      <c r="KRE173" s="11"/>
      <c r="KRF173" s="12"/>
      <c r="KRO173" s="11"/>
      <c r="KRP173" s="12"/>
      <c r="KRY173" s="11"/>
      <c r="KRZ173" s="12"/>
      <c r="KSI173" s="11"/>
      <c r="KSJ173" s="12"/>
      <c r="KSS173" s="11"/>
      <c r="KST173" s="12"/>
      <c r="KTC173" s="11"/>
      <c r="KTD173" s="12"/>
      <c r="KTM173" s="11"/>
      <c r="KTN173" s="12"/>
      <c r="KTW173" s="11"/>
      <c r="KTX173" s="12"/>
      <c r="KUG173" s="11"/>
      <c r="KUH173" s="12"/>
      <c r="KUQ173" s="11"/>
      <c r="KUR173" s="12"/>
      <c r="KVA173" s="11"/>
      <c r="KVB173" s="12"/>
      <c r="KVK173" s="11"/>
      <c r="KVL173" s="12"/>
      <c r="KVU173" s="11"/>
      <c r="KVV173" s="12"/>
      <c r="KWE173" s="11"/>
      <c r="KWF173" s="12"/>
      <c r="KWO173" s="11"/>
      <c r="KWP173" s="12"/>
      <c r="KWY173" s="11"/>
      <c r="KWZ173" s="12"/>
      <c r="KXI173" s="11"/>
      <c r="KXJ173" s="12"/>
      <c r="KXS173" s="11"/>
      <c r="KXT173" s="12"/>
      <c r="KYC173" s="11"/>
      <c r="KYD173" s="12"/>
      <c r="KYM173" s="11"/>
      <c r="KYN173" s="12"/>
      <c r="KYW173" s="11"/>
      <c r="KYX173" s="12"/>
      <c r="KZG173" s="11"/>
      <c r="KZH173" s="12"/>
      <c r="KZQ173" s="11"/>
      <c r="KZR173" s="12"/>
      <c r="LAA173" s="11"/>
      <c r="LAB173" s="12"/>
      <c r="LAK173" s="11"/>
      <c r="LAL173" s="12"/>
      <c r="LAU173" s="11"/>
      <c r="LAV173" s="12"/>
      <c r="LBE173" s="11"/>
      <c r="LBF173" s="12"/>
      <c r="LBO173" s="11"/>
      <c r="LBP173" s="12"/>
      <c r="LBY173" s="11"/>
      <c r="LBZ173" s="12"/>
      <c r="LCI173" s="11"/>
      <c r="LCJ173" s="12"/>
      <c r="LCS173" s="11"/>
      <c r="LCT173" s="12"/>
      <c r="LDC173" s="11"/>
      <c r="LDD173" s="12"/>
      <c r="LDM173" s="11"/>
      <c r="LDN173" s="12"/>
      <c r="LDW173" s="11"/>
      <c r="LDX173" s="12"/>
      <c r="LEG173" s="11"/>
      <c r="LEH173" s="12"/>
      <c r="LEQ173" s="11"/>
      <c r="LER173" s="12"/>
      <c r="LFA173" s="11"/>
      <c r="LFB173" s="12"/>
      <c r="LFK173" s="11"/>
      <c r="LFL173" s="12"/>
      <c r="LFU173" s="11"/>
      <c r="LFV173" s="12"/>
      <c r="LGE173" s="11"/>
      <c r="LGF173" s="12"/>
      <c r="LGO173" s="11"/>
      <c r="LGP173" s="12"/>
      <c r="LGY173" s="11"/>
      <c r="LGZ173" s="12"/>
      <c r="LHI173" s="11"/>
      <c r="LHJ173" s="12"/>
      <c r="LHS173" s="11"/>
      <c r="LHT173" s="12"/>
      <c r="LIC173" s="11"/>
      <c r="LID173" s="12"/>
      <c r="LIM173" s="11"/>
      <c r="LIN173" s="12"/>
      <c r="LIW173" s="11"/>
      <c r="LIX173" s="12"/>
      <c r="LJG173" s="11"/>
      <c r="LJH173" s="12"/>
      <c r="LJQ173" s="11"/>
      <c r="LJR173" s="12"/>
      <c r="LKA173" s="11"/>
      <c r="LKB173" s="12"/>
      <c r="LKK173" s="11"/>
      <c r="LKL173" s="12"/>
      <c r="LKU173" s="11"/>
      <c r="LKV173" s="12"/>
      <c r="LLE173" s="11"/>
      <c r="LLF173" s="12"/>
      <c r="LLO173" s="11"/>
      <c r="LLP173" s="12"/>
      <c r="LLY173" s="11"/>
      <c r="LLZ173" s="12"/>
      <c r="LMI173" s="11"/>
      <c r="LMJ173" s="12"/>
      <c r="LMS173" s="11"/>
      <c r="LMT173" s="12"/>
      <c r="LNC173" s="11"/>
      <c r="LND173" s="12"/>
      <c r="LNM173" s="11"/>
      <c r="LNN173" s="12"/>
      <c r="LNW173" s="11"/>
      <c r="LNX173" s="12"/>
      <c r="LOG173" s="11"/>
      <c r="LOH173" s="12"/>
      <c r="LOQ173" s="11"/>
      <c r="LOR173" s="12"/>
      <c r="LPA173" s="11"/>
      <c r="LPB173" s="12"/>
      <c r="LPK173" s="11"/>
      <c r="LPL173" s="12"/>
      <c r="LPU173" s="11"/>
      <c r="LPV173" s="12"/>
      <c r="LQE173" s="11"/>
      <c r="LQF173" s="12"/>
      <c r="LQO173" s="11"/>
      <c r="LQP173" s="12"/>
      <c r="LQY173" s="11"/>
      <c r="LQZ173" s="12"/>
      <c r="LRI173" s="11"/>
      <c r="LRJ173" s="12"/>
      <c r="LRS173" s="11"/>
      <c r="LRT173" s="12"/>
      <c r="LSC173" s="11"/>
      <c r="LSD173" s="12"/>
      <c r="LSM173" s="11"/>
      <c r="LSN173" s="12"/>
      <c r="LSW173" s="11"/>
      <c r="LSX173" s="12"/>
      <c r="LTG173" s="11"/>
      <c r="LTH173" s="12"/>
      <c r="LTQ173" s="11"/>
      <c r="LTR173" s="12"/>
      <c r="LUA173" s="11"/>
      <c r="LUB173" s="12"/>
      <c r="LUK173" s="11"/>
      <c r="LUL173" s="12"/>
      <c r="LUU173" s="11"/>
      <c r="LUV173" s="12"/>
      <c r="LVE173" s="11"/>
      <c r="LVF173" s="12"/>
      <c r="LVO173" s="11"/>
      <c r="LVP173" s="12"/>
      <c r="LVY173" s="11"/>
      <c r="LVZ173" s="12"/>
      <c r="LWI173" s="11"/>
      <c r="LWJ173" s="12"/>
      <c r="LWS173" s="11"/>
      <c r="LWT173" s="12"/>
      <c r="LXC173" s="11"/>
      <c r="LXD173" s="12"/>
      <c r="LXM173" s="11"/>
      <c r="LXN173" s="12"/>
      <c r="LXW173" s="11"/>
      <c r="LXX173" s="12"/>
      <c r="LYG173" s="11"/>
      <c r="LYH173" s="12"/>
      <c r="LYQ173" s="11"/>
      <c r="LYR173" s="12"/>
      <c r="LZA173" s="11"/>
      <c r="LZB173" s="12"/>
      <c r="LZK173" s="11"/>
      <c r="LZL173" s="12"/>
      <c r="LZU173" s="11"/>
      <c r="LZV173" s="12"/>
      <c r="MAE173" s="11"/>
      <c r="MAF173" s="12"/>
      <c r="MAO173" s="11"/>
      <c r="MAP173" s="12"/>
      <c r="MAY173" s="11"/>
      <c r="MAZ173" s="12"/>
      <c r="MBI173" s="11"/>
      <c r="MBJ173" s="12"/>
      <c r="MBS173" s="11"/>
      <c r="MBT173" s="12"/>
      <c r="MCC173" s="11"/>
      <c r="MCD173" s="12"/>
      <c r="MCM173" s="11"/>
      <c r="MCN173" s="12"/>
      <c r="MCW173" s="11"/>
      <c r="MCX173" s="12"/>
      <c r="MDG173" s="11"/>
      <c r="MDH173" s="12"/>
      <c r="MDQ173" s="11"/>
      <c r="MDR173" s="12"/>
      <c r="MEA173" s="11"/>
      <c r="MEB173" s="12"/>
      <c r="MEK173" s="11"/>
      <c r="MEL173" s="12"/>
      <c r="MEU173" s="11"/>
      <c r="MEV173" s="12"/>
      <c r="MFE173" s="11"/>
      <c r="MFF173" s="12"/>
      <c r="MFO173" s="11"/>
      <c r="MFP173" s="12"/>
      <c r="MFY173" s="11"/>
      <c r="MFZ173" s="12"/>
      <c r="MGI173" s="11"/>
      <c r="MGJ173" s="12"/>
      <c r="MGS173" s="11"/>
      <c r="MGT173" s="12"/>
      <c r="MHC173" s="11"/>
      <c r="MHD173" s="12"/>
      <c r="MHM173" s="11"/>
      <c r="MHN173" s="12"/>
      <c r="MHW173" s="11"/>
      <c r="MHX173" s="12"/>
      <c r="MIG173" s="11"/>
      <c r="MIH173" s="12"/>
      <c r="MIQ173" s="11"/>
      <c r="MIR173" s="12"/>
      <c r="MJA173" s="11"/>
      <c r="MJB173" s="12"/>
      <c r="MJK173" s="11"/>
      <c r="MJL173" s="12"/>
      <c r="MJU173" s="11"/>
      <c r="MJV173" s="12"/>
      <c r="MKE173" s="11"/>
      <c r="MKF173" s="12"/>
      <c r="MKO173" s="11"/>
      <c r="MKP173" s="12"/>
      <c r="MKY173" s="11"/>
      <c r="MKZ173" s="12"/>
      <c r="MLI173" s="11"/>
      <c r="MLJ173" s="12"/>
      <c r="MLS173" s="11"/>
      <c r="MLT173" s="12"/>
      <c r="MMC173" s="11"/>
      <c r="MMD173" s="12"/>
      <c r="MMM173" s="11"/>
      <c r="MMN173" s="12"/>
      <c r="MMW173" s="11"/>
      <c r="MMX173" s="12"/>
      <c r="MNG173" s="11"/>
      <c r="MNH173" s="12"/>
      <c r="MNQ173" s="11"/>
      <c r="MNR173" s="12"/>
      <c r="MOA173" s="11"/>
      <c r="MOB173" s="12"/>
      <c r="MOK173" s="11"/>
      <c r="MOL173" s="12"/>
      <c r="MOU173" s="11"/>
      <c r="MOV173" s="12"/>
      <c r="MPE173" s="11"/>
      <c r="MPF173" s="12"/>
      <c r="MPO173" s="11"/>
      <c r="MPP173" s="12"/>
      <c r="MPY173" s="11"/>
      <c r="MPZ173" s="12"/>
      <c r="MQI173" s="11"/>
      <c r="MQJ173" s="12"/>
      <c r="MQS173" s="11"/>
      <c r="MQT173" s="12"/>
      <c r="MRC173" s="11"/>
      <c r="MRD173" s="12"/>
      <c r="MRM173" s="11"/>
      <c r="MRN173" s="12"/>
      <c r="MRW173" s="11"/>
      <c r="MRX173" s="12"/>
      <c r="MSG173" s="11"/>
      <c r="MSH173" s="12"/>
      <c r="MSQ173" s="11"/>
      <c r="MSR173" s="12"/>
      <c r="MTA173" s="11"/>
      <c r="MTB173" s="12"/>
      <c r="MTK173" s="11"/>
      <c r="MTL173" s="12"/>
      <c r="MTU173" s="11"/>
      <c r="MTV173" s="12"/>
      <c r="MUE173" s="11"/>
      <c r="MUF173" s="12"/>
      <c r="MUO173" s="11"/>
      <c r="MUP173" s="12"/>
      <c r="MUY173" s="11"/>
      <c r="MUZ173" s="12"/>
      <c r="MVI173" s="11"/>
      <c r="MVJ173" s="12"/>
      <c r="MVS173" s="11"/>
      <c r="MVT173" s="12"/>
      <c r="MWC173" s="11"/>
      <c r="MWD173" s="12"/>
      <c r="MWM173" s="11"/>
      <c r="MWN173" s="12"/>
      <c r="MWW173" s="11"/>
      <c r="MWX173" s="12"/>
      <c r="MXG173" s="11"/>
      <c r="MXH173" s="12"/>
      <c r="MXQ173" s="11"/>
      <c r="MXR173" s="12"/>
      <c r="MYA173" s="11"/>
      <c r="MYB173" s="12"/>
      <c r="MYK173" s="11"/>
      <c r="MYL173" s="12"/>
      <c r="MYU173" s="11"/>
      <c r="MYV173" s="12"/>
      <c r="MZE173" s="11"/>
      <c r="MZF173" s="12"/>
      <c r="MZO173" s="11"/>
      <c r="MZP173" s="12"/>
      <c r="MZY173" s="11"/>
      <c r="MZZ173" s="12"/>
      <c r="NAI173" s="11"/>
      <c r="NAJ173" s="12"/>
      <c r="NAS173" s="11"/>
      <c r="NAT173" s="12"/>
      <c r="NBC173" s="11"/>
      <c r="NBD173" s="12"/>
      <c r="NBM173" s="11"/>
      <c r="NBN173" s="12"/>
      <c r="NBW173" s="11"/>
      <c r="NBX173" s="12"/>
      <c r="NCG173" s="11"/>
      <c r="NCH173" s="12"/>
      <c r="NCQ173" s="11"/>
      <c r="NCR173" s="12"/>
      <c r="NDA173" s="11"/>
      <c r="NDB173" s="12"/>
      <c r="NDK173" s="11"/>
      <c r="NDL173" s="12"/>
      <c r="NDU173" s="11"/>
      <c r="NDV173" s="12"/>
      <c r="NEE173" s="11"/>
      <c r="NEF173" s="12"/>
      <c r="NEO173" s="11"/>
      <c r="NEP173" s="12"/>
      <c r="NEY173" s="11"/>
      <c r="NEZ173" s="12"/>
      <c r="NFI173" s="11"/>
      <c r="NFJ173" s="12"/>
      <c r="NFS173" s="11"/>
      <c r="NFT173" s="12"/>
      <c r="NGC173" s="11"/>
      <c r="NGD173" s="12"/>
      <c r="NGM173" s="11"/>
      <c r="NGN173" s="12"/>
      <c r="NGW173" s="11"/>
      <c r="NGX173" s="12"/>
      <c r="NHG173" s="11"/>
      <c r="NHH173" s="12"/>
      <c r="NHQ173" s="11"/>
      <c r="NHR173" s="12"/>
      <c r="NIA173" s="11"/>
      <c r="NIB173" s="12"/>
      <c r="NIK173" s="11"/>
      <c r="NIL173" s="12"/>
      <c r="NIU173" s="11"/>
      <c r="NIV173" s="12"/>
      <c r="NJE173" s="11"/>
      <c r="NJF173" s="12"/>
      <c r="NJO173" s="11"/>
      <c r="NJP173" s="12"/>
      <c r="NJY173" s="11"/>
      <c r="NJZ173" s="12"/>
      <c r="NKI173" s="11"/>
      <c r="NKJ173" s="12"/>
      <c r="NKS173" s="11"/>
      <c r="NKT173" s="12"/>
      <c r="NLC173" s="11"/>
      <c r="NLD173" s="12"/>
      <c r="NLM173" s="11"/>
      <c r="NLN173" s="12"/>
      <c r="NLW173" s="11"/>
      <c r="NLX173" s="12"/>
      <c r="NMG173" s="11"/>
      <c r="NMH173" s="12"/>
      <c r="NMQ173" s="11"/>
      <c r="NMR173" s="12"/>
      <c r="NNA173" s="11"/>
      <c r="NNB173" s="12"/>
      <c r="NNK173" s="11"/>
      <c r="NNL173" s="12"/>
      <c r="NNU173" s="11"/>
      <c r="NNV173" s="12"/>
      <c r="NOE173" s="11"/>
      <c r="NOF173" s="12"/>
      <c r="NOO173" s="11"/>
      <c r="NOP173" s="12"/>
      <c r="NOY173" s="11"/>
      <c r="NOZ173" s="12"/>
      <c r="NPI173" s="11"/>
      <c r="NPJ173" s="12"/>
      <c r="NPS173" s="11"/>
      <c r="NPT173" s="12"/>
      <c r="NQC173" s="11"/>
      <c r="NQD173" s="12"/>
      <c r="NQM173" s="11"/>
      <c r="NQN173" s="12"/>
      <c r="NQW173" s="11"/>
      <c r="NQX173" s="12"/>
      <c r="NRG173" s="11"/>
      <c r="NRH173" s="12"/>
      <c r="NRQ173" s="11"/>
      <c r="NRR173" s="12"/>
      <c r="NSA173" s="11"/>
      <c r="NSB173" s="12"/>
      <c r="NSK173" s="11"/>
      <c r="NSL173" s="12"/>
      <c r="NSU173" s="11"/>
      <c r="NSV173" s="12"/>
      <c r="NTE173" s="11"/>
      <c r="NTF173" s="12"/>
      <c r="NTO173" s="11"/>
      <c r="NTP173" s="12"/>
      <c r="NTY173" s="11"/>
      <c r="NTZ173" s="12"/>
      <c r="NUI173" s="11"/>
      <c r="NUJ173" s="12"/>
      <c r="NUS173" s="11"/>
      <c r="NUT173" s="12"/>
      <c r="NVC173" s="11"/>
      <c r="NVD173" s="12"/>
      <c r="NVM173" s="11"/>
      <c r="NVN173" s="12"/>
      <c r="NVW173" s="11"/>
      <c r="NVX173" s="12"/>
      <c r="NWG173" s="11"/>
      <c r="NWH173" s="12"/>
      <c r="NWQ173" s="11"/>
      <c r="NWR173" s="12"/>
      <c r="NXA173" s="11"/>
      <c r="NXB173" s="12"/>
      <c r="NXK173" s="11"/>
      <c r="NXL173" s="12"/>
      <c r="NXU173" s="11"/>
      <c r="NXV173" s="12"/>
      <c r="NYE173" s="11"/>
      <c r="NYF173" s="12"/>
      <c r="NYO173" s="11"/>
      <c r="NYP173" s="12"/>
      <c r="NYY173" s="11"/>
      <c r="NYZ173" s="12"/>
      <c r="NZI173" s="11"/>
      <c r="NZJ173" s="12"/>
      <c r="NZS173" s="11"/>
      <c r="NZT173" s="12"/>
      <c r="OAC173" s="11"/>
      <c r="OAD173" s="12"/>
      <c r="OAM173" s="11"/>
      <c r="OAN173" s="12"/>
      <c r="OAW173" s="11"/>
      <c r="OAX173" s="12"/>
      <c r="OBG173" s="11"/>
      <c r="OBH173" s="12"/>
      <c r="OBQ173" s="11"/>
      <c r="OBR173" s="12"/>
      <c r="OCA173" s="11"/>
      <c r="OCB173" s="12"/>
      <c r="OCK173" s="11"/>
      <c r="OCL173" s="12"/>
      <c r="OCU173" s="11"/>
      <c r="OCV173" s="12"/>
      <c r="ODE173" s="11"/>
      <c r="ODF173" s="12"/>
      <c r="ODO173" s="11"/>
      <c r="ODP173" s="12"/>
      <c r="ODY173" s="11"/>
      <c r="ODZ173" s="12"/>
      <c r="OEI173" s="11"/>
      <c r="OEJ173" s="12"/>
      <c r="OES173" s="11"/>
      <c r="OET173" s="12"/>
      <c r="OFC173" s="11"/>
      <c r="OFD173" s="12"/>
      <c r="OFM173" s="11"/>
      <c r="OFN173" s="12"/>
      <c r="OFW173" s="11"/>
      <c r="OFX173" s="12"/>
      <c r="OGG173" s="11"/>
      <c r="OGH173" s="12"/>
      <c r="OGQ173" s="11"/>
      <c r="OGR173" s="12"/>
      <c r="OHA173" s="11"/>
      <c r="OHB173" s="12"/>
      <c r="OHK173" s="11"/>
      <c r="OHL173" s="12"/>
      <c r="OHU173" s="11"/>
      <c r="OHV173" s="12"/>
      <c r="OIE173" s="11"/>
      <c r="OIF173" s="12"/>
      <c r="OIO173" s="11"/>
      <c r="OIP173" s="12"/>
      <c r="OIY173" s="11"/>
      <c r="OIZ173" s="12"/>
      <c r="OJI173" s="11"/>
      <c r="OJJ173" s="12"/>
      <c r="OJS173" s="11"/>
      <c r="OJT173" s="12"/>
      <c r="OKC173" s="11"/>
      <c r="OKD173" s="12"/>
      <c r="OKM173" s="11"/>
      <c r="OKN173" s="12"/>
      <c r="OKW173" s="11"/>
      <c r="OKX173" s="12"/>
      <c r="OLG173" s="11"/>
      <c r="OLH173" s="12"/>
      <c r="OLQ173" s="11"/>
      <c r="OLR173" s="12"/>
      <c r="OMA173" s="11"/>
      <c r="OMB173" s="12"/>
      <c r="OMK173" s="11"/>
      <c r="OML173" s="12"/>
      <c r="OMU173" s="11"/>
      <c r="OMV173" s="12"/>
      <c r="ONE173" s="11"/>
      <c r="ONF173" s="12"/>
      <c r="ONO173" s="11"/>
      <c r="ONP173" s="12"/>
      <c r="ONY173" s="11"/>
      <c r="ONZ173" s="12"/>
      <c r="OOI173" s="11"/>
      <c r="OOJ173" s="12"/>
      <c r="OOS173" s="11"/>
      <c r="OOT173" s="12"/>
      <c r="OPC173" s="11"/>
      <c r="OPD173" s="12"/>
      <c r="OPM173" s="11"/>
      <c r="OPN173" s="12"/>
      <c r="OPW173" s="11"/>
      <c r="OPX173" s="12"/>
      <c r="OQG173" s="11"/>
      <c r="OQH173" s="12"/>
      <c r="OQQ173" s="11"/>
      <c r="OQR173" s="12"/>
      <c r="ORA173" s="11"/>
      <c r="ORB173" s="12"/>
      <c r="ORK173" s="11"/>
      <c r="ORL173" s="12"/>
      <c r="ORU173" s="11"/>
      <c r="ORV173" s="12"/>
      <c r="OSE173" s="11"/>
      <c r="OSF173" s="12"/>
      <c r="OSO173" s="11"/>
      <c r="OSP173" s="12"/>
      <c r="OSY173" s="11"/>
      <c r="OSZ173" s="12"/>
      <c r="OTI173" s="11"/>
      <c r="OTJ173" s="12"/>
      <c r="OTS173" s="11"/>
      <c r="OTT173" s="12"/>
      <c r="OUC173" s="11"/>
      <c r="OUD173" s="12"/>
      <c r="OUM173" s="11"/>
      <c r="OUN173" s="12"/>
      <c r="OUW173" s="11"/>
      <c r="OUX173" s="12"/>
      <c r="OVG173" s="11"/>
      <c r="OVH173" s="12"/>
      <c r="OVQ173" s="11"/>
      <c r="OVR173" s="12"/>
      <c r="OWA173" s="11"/>
      <c r="OWB173" s="12"/>
      <c r="OWK173" s="11"/>
      <c r="OWL173" s="12"/>
      <c r="OWU173" s="11"/>
      <c r="OWV173" s="12"/>
      <c r="OXE173" s="11"/>
      <c r="OXF173" s="12"/>
      <c r="OXO173" s="11"/>
      <c r="OXP173" s="12"/>
      <c r="OXY173" s="11"/>
      <c r="OXZ173" s="12"/>
      <c r="OYI173" s="11"/>
      <c r="OYJ173" s="12"/>
      <c r="OYS173" s="11"/>
      <c r="OYT173" s="12"/>
      <c r="OZC173" s="11"/>
      <c r="OZD173" s="12"/>
      <c r="OZM173" s="11"/>
      <c r="OZN173" s="12"/>
      <c r="OZW173" s="11"/>
      <c r="OZX173" s="12"/>
      <c r="PAG173" s="11"/>
      <c r="PAH173" s="12"/>
      <c r="PAQ173" s="11"/>
      <c r="PAR173" s="12"/>
      <c r="PBA173" s="11"/>
      <c r="PBB173" s="12"/>
      <c r="PBK173" s="11"/>
      <c r="PBL173" s="12"/>
      <c r="PBU173" s="11"/>
      <c r="PBV173" s="12"/>
      <c r="PCE173" s="11"/>
      <c r="PCF173" s="12"/>
      <c r="PCO173" s="11"/>
      <c r="PCP173" s="12"/>
      <c r="PCY173" s="11"/>
      <c r="PCZ173" s="12"/>
      <c r="PDI173" s="11"/>
      <c r="PDJ173" s="12"/>
      <c r="PDS173" s="11"/>
      <c r="PDT173" s="12"/>
      <c r="PEC173" s="11"/>
      <c r="PED173" s="12"/>
      <c r="PEM173" s="11"/>
      <c r="PEN173" s="12"/>
      <c r="PEW173" s="11"/>
      <c r="PEX173" s="12"/>
      <c r="PFG173" s="11"/>
      <c r="PFH173" s="12"/>
      <c r="PFQ173" s="11"/>
      <c r="PFR173" s="12"/>
      <c r="PGA173" s="11"/>
      <c r="PGB173" s="12"/>
      <c r="PGK173" s="11"/>
      <c r="PGL173" s="12"/>
      <c r="PGU173" s="11"/>
      <c r="PGV173" s="12"/>
      <c r="PHE173" s="11"/>
      <c r="PHF173" s="12"/>
      <c r="PHO173" s="11"/>
      <c r="PHP173" s="12"/>
      <c r="PHY173" s="11"/>
      <c r="PHZ173" s="12"/>
      <c r="PII173" s="11"/>
      <c r="PIJ173" s="12"/>
      <c r="PIS173" s="11"/>
      <c r="PIT173" s="12"/>
      <c r="PJC173" s="11"/>
      <c r="PJD173" s="12"/>
      <c r="PJM173" s="11"/>
      <c r="PJN173" s="12"/>
      <c r="PJW173" s="11"/>
      <c r="PJX173" s="12"/>
      <c r="PKG173" s="11"/>
      <c r="PKH173" s="12"/>
      <c r="PKQ173" s="11"/>
      <c r="PKR173" s="12"/>
      <c r="PLA173" s="11"/>
      <c r="PLB173" s="12"/>
      <c r="PLK173" s="11"/>
      <c r="PLL173" s="12"/>
      <c r="PLU173" s="11"/>
      <c r="PLV173" s="12"/>
      <c r="PME173" s="11"/>
      <c r="PMF173" s="12"/>
      <c r="PMO173" s="11"/>
      <c r="PMP173" s="12"/>
      <c r="PMY173" s="11"/>
      <c r="PMZ173" s="12"/>
      <c r="PNI173" s="11"/>
      <c r="PNJ173" s="12"/>
      <c r="PNS173" s="11"/>
      <c r="PNT173" s="12"/>
      <c r="POC173" s="11"/>
      <c r="POD173" s="12"/>
      <c r="POM173" s="11"/>
      <c r="PON173" s="12"/>
      <c r="POW173" s="11"/>
      <c r="POX173" s="12"/>
      <c r="PPG173" s="11"/>
      <c r="PPH173" s="12"/>
      <c r="PPQ173" s="11"/>
      <c r="PPR173" s="12"/>
      <c r="PQA173" s="11"/>
      <c r="PQB173" s="12"/>
      <c r="PQK173" s="11"/>
      <c r="PQL173" s="12"/>
      <c r="PQU173" s="11"/>
      <c r="PQV173" s="12"/>
      <c r="PRE173" s="11"/>
      <c r="PRF173" s="12"/>
      <c r="PRO173" s="11"/>
      <c r="PRP173" s="12"/>
      <c r="PRY173" s="11"/>
      <c r="PRZ173" s="12"/>
      <c r="PSI173" s="11"/>
      <c r="PSJ173" s="12"/>
      <c r="PSS173" s="11"/>
      <c r="PST173" s="12"/>
      <c r="PTC173" s="11"/>
      <c r="PTD173" s="12"/>
      <c r="PTM173" s="11"/>
      <c r="PTN173" s="12"/>
      <c r="PTW173" s="11"/>
      <c r="PTX173" s="12"/>
      <c r="PUG173" s="11"/>
      <c r="PUH173" s="12"/>
      <c r="PUQ173" s="11"/>
      <c r="PUR173" s="12"/>
      <c r="PVA173" s="11"/>
      <c r="PVB173" s="12"/>
      <c r="PVK173" s="11"/>
      <c r="PVL173" s="12"/>
      <c r="PVU173" s="11"/>
      <c r="PVV173" s="12"/>
      <c r="PWE173" s="11"/>
      <c r="PWF173" s="12"/>
      <c r="PWO173" s="11"/>
      <c r="PWP173" s="12"/>
      <c r="PWY173" s="11"/>
      <c r="PWZ173" s="12"/>
      <c r="PXI173" s="11"/>
      <c r="PXJ173" s="12"/>
      <c r="PXS173" s="11"/>
      <c r="PXT173" s="12"/>
      <c r="PYC173" s="11"/>
      <c r="PYD173" s="12"/>
      <c r="PYM173" s="11"/>
      <c r="PYN173" s="12"/>
      <c r="PYW173" s="11"/>
      <c r="PYX173" s="12"/>
      <c r="PZG173" s="11"/>
      <c r="PZH173" s="12"/>
      <c r="PZQ173" s="11"/>
      <c r="PZR173" s="12"/>
      <c r="QAA173" s="11"/>
      <c r="QAB173" s="12"/>
      <c r="QAK173" s="11"/>
      <c r="QAL173" s="12"/>
      <c r="QAU173" s="11"/>
      <c r="QAV173" s="12"/>
      <c r="QBE173" s="11"/>
      <c r="QBF173" s="12"/>
      <c r="QBO173" s="11"/>
      <c r="QBP173" s="12"/>
      <c r="QBY173" s="11"/>
      <c r="QBZ173" s="12"/>
      <c r="QCI173" s="11"/>
      <c r="QCJ173" s="12"/>
      <c r="QCS173" s="11"/>
      <c r="QCT173" s="12"/>
      <c r="QDC173" s="11"/>
      <c r="QDD173" s="12"/>
      <c r="QDM173" s="11"/>
      <c r="QDN173" s="12"/>
      <c r="QDW173" s="11"/>
      <c r="QDX173" s="12"/>
      <c r="QEG173" s="11"/>
      <c r="QEH173" s="12"/>
      <c r="QEQ173" s="11"/>
      <c r="QER173" s="12"/>
      <c r="QFA173" s="11"/>
      <c r="QFB173" s="12"/>
      <c r="QFK173" s="11"/>
      <c r="QFL173" s="12"/>
      <c r="QFU173" s="11"/>
      <c r="QFV173" s="12"/>
      <c r="QGE173" s="11"/>
      <c r="QGF173" s="12"/>
      <c r="QGO173" s="11"/>
      <c r="QGP173" s="12"/>
      <c r="QGY173" s="11"/>
      <c r="QGZ173" s="12"/>
      <c r="QHI173" s="11"/>
      <c r="QHJ173" s="12"/>
      <c r="QHS173" s="11"/>
      <c r="QHT173" s="12"/>
      <c r="QIC173" s="11"/>
      <c r="QID173" s="12"/>
      <c r="QIM173" s="11"/>
      <c r="QIN173" s="12"/>
      <c r="QIW173" s="11"/>
      <c r="QIX173" s="12"/>
      <c r="QJG173" s="11"/>
      <c r="QJH173" s="12"/>
      <c r="QJQ173" s="11"/>
      <c r="QJR173" s="12"/>
      <c r="QKA173" s="11"/>
      <c r="QKB173" s="12"/>
      <c r="QKK173" s="11"/>
      <c r="QKL173" s="12"/>
      <c r="QKU173" s="11"/>
      <c r="QKV173" s="12"/>
      <c r="QLE173" s="11"/>
      <c r="QLF173" s="12"/>
      <c r="QLO173" s="11"/>
      <c r="QLP173" s="12"/>
      <c r="QLY173" s="11"/>
      <c r="QLZ173" s="12"/>
      <c r="QMI173" s="11"/>
      <c r="QMJ173" s="12"/>
      <c r="QMS173" s="11"/>
      <c r="QMT173" s="12"/>
      <c r="QNC173" s="11"/>
      <c r="QND173" s="12"/>
      <c r="QNM173" s="11"/>
      <c r="QNN173" s="12"/>
      <c r="QNW173" s="11"/>
      <c r="QNX173" s="12"/>
      <c r="QOG173" s="11"/>
      <c r="QOH173" s="12"/>
      <c r="QOQ173" s="11"/>
      <c r="QOR173" s="12"/>
      <c r="QPA173" s="11"/>
      <c r="QPB173" s="12"/>
      <c r="QPK173" s="11"/>
      <c r="QPL173" s="12"/>
      <c r="QPU173" s="11"/>
      <c r="QPV173" s="12"/>
      <c r="QQE173" s="11"/>
      <c r="QQF173" s="12"/>
      <c r="QQO173" s="11"/>
      <c r="QQP173" s="12"/>
      <c r="QQY173" s="11"/>
      <c r="QQZ173" s="12"/>
      <c r="QRI173" s="11"/>
      <c r="QRJ173" s="12"/>
      <c r="QRS173" s="11"/>
      <c r="QRT173" s="12"/>
      <c r="QSC173" s="11"/>
      <c r="QSD173" s="12"/>
      <c r="QSM173" s="11"/>
      <c r="QSN173" s="12"/>
      <c r="QSW173" s="11"/>
      <c r="QSX173" s="12"/>
      <c r="QTG173" s="11"/>
      <c r="QTH173" s="12"/>
      <c r="QTQ173" s="11"/>
      <c r="QTR173" s="12"/>
      <c r="QUA173" s="11"/>
      <c r="QUB173" s="12"/>
      <c r="QUK173" s="11"/>
      <c r="QUL173" s="12"/>
      <c r="QUU173" s="11"/>
      <c r="QUV173" s="12"/>
      <c r="QVE173" s="11"/>
      <c r="QVF173" s="12"/>
      <c r="QVO173" s="11"/>
      <c r="QVP173" s="12"/>
      <c r="QVY173" s="11"/>
      <c r="QVZ173" s="12"/>
      <c r="QWI173" s="11"/>
      <c r="QWJ173" s="12"/>
      <c r="QWS173" s="11"/>
      <c r="QWT173" s="12"/>
      <c r="QXC173" s="11"/>
      <c r="QXD173" s="12"/>
      <c r="QXM173" s="11"/>
      <c r="QXN173" s="12"/>
      <c r="QXW173" s="11"/>
      <c r="QXX173" s="12"/>
      <c r="QYG173" s="11"/>
      <c r="QYH173" s="12"/>
      <c r="QYQ173" s="11"/>
      <c r="QYR173" s="12"/>
      <c r="QZA173" s="11"/>
      <c r="QZB173" s="12"/>
      <c r="QZK173" s="11"/>
      <c r="QZL173" s="12"/>
      <c r="QZU173" s="11"/>
      <c r="QZV173" s="12"/>
      <c r="RAE173" s="11"/>
      <c r="RAF173" s="12"/>
      <c r="RAO173" s="11"/>
      <c r="RAP173" s="12"/>
      <c r="RAY173" s="11"/>
      <c r="RAZ173" s="12"/>
      <c r="RBI173" s="11"/>
      <c r="RBJ173" s="12"/>
      <c r="RBS173" s="11"/>
      <c r="RBT173" s="12"/>
      <c r="RCC173" s="11"/>
      <c r="RCD173" s="12"/>
      <c r="RCM173" s="11"/>
      <c r="RCN173" s="12"/>
      <c r="RCW173" s="11"/>
      <c r="RCX173" s="12"/>
      <c r="RDG173" s="11"/>
      <c r="RDH173" s="12"/>
      <c r="RDQ173" s="11"/>
      <c r="RDR173" s="12"/>
      <c r="REA173" s="11"/>
      <c r="REB173" s="12"/>
      <c r="REK173" s="11"/>
      <c r="REL173" s="12"/>
      <c r="REU173" s="11"/>
      <c r="REV173" s="12"/>
      <c r="RFE173" s="11"/>
      <c r="RFF173" s="12"/>
      <c r="RFO173" s="11"/>
      <c r="RFP173" s="12"/>
      <c r="RFY173" s="11"/>
      <c r="RFZ173" s="12"/>
      <c r="RGI173" s="11"/>
      <c r="RGJ173" s="12"/>
      <c r="RGS173" s="11"/>
      <c r="RGT173" s="12"/>
      <c r="RHC173" s="11"/>
      <c r="RHD173" s="12"/>
      <c r="RHM173" s="11"/>
      <c r="RHN173" s="12"/>
      <c r="RHW173" s="11"/>
      <c r="RHX173" s="12"/>
      <c r="RIG173" s="11"/>
      <c r="RIH173" s="12"/>
      <c r="RIQ173" s="11"/>
      <c r="RIR173" s="12"/>
      <c r="RJA173" s="11"/>
      <c r="RJB173" s="12"/>
      <c r="RJK173" s="11"/>
      <c r="RJL173" s="12"/>
      <c r="RJU173" s="11"/>
      <c r="RJV173" s="12"/>
      <c r="RKE173" s="11"/>
      <c r="RKF173" s="12"/>
      <c r="RKO173" s="11"/>
      <c r="RKP173" s="12"/>
      <c r="RKY173" s="11"/>
      <c r="RKZ173" s="12"/>
      <c r="RLI173" s="11"/>
      <c r="RLJ173" s="12"/>
      <c r="RLS173" s="11"/>
      <c r="RLT173" s="12"/>
      <c r="RMC173" s="11"/>
      <c r="RMD173" s="12"/>
      <c r="RMM173" s="11"/>
      <c r="RMN173" s="12"/>
      <c r="RMW173" s="11"/>
      <c r="RMX173" s="12"/>
      <c r="RNG173" s="11"/>
      <c r="RNH173" s="12"/>
      <c r="RNQ173" s="11"/>
      <c r="RNR173" s="12"/>
      <c r="ROA173" s="11"/>
      <c r="ROB173" s="12"/>
      <c r="ROK173" s="11"/>
      <c r="ROL173" s="12"/>
      <c r="ROU173" s="11"/>
      <c r="ROV173" s="12"/>
      <c r="RPE173" s="11"/>
      <c r="RPF173" s="12"/>
      <c r="RPO173" s="11"/>
      <c r="RPP173" s="12"/>
      <c r="RPY173" s="11"/>
      <c r="RPZ173" s="12"/>
      <c r="RQI173" s="11"/>
      <c r="RQJ173" s="12"/>
      <c r="RQS173" s="11"/>
      <c r="RQT173" s="12"/>
      <c r="RRC173" s="11"/>
      <c r="RRD173" s="12"/>
      <c r="RRM173" s="11"/>
      <c r="RRN173" s="12"/>
      <c r="RRW173" s="11"/>
      <c r="RRX173" s="12"/>
      <c r="RSG173" s="11"/>
      <c r="RSH173" s="12"/>
      <c r="RSQ173" s="11"/>
      <c r="RSR173" s="12"/>
      <c r="RTA173" s="11"/>
      <c r="RTB173" s="12"/>
      <c r="RTK173" s="11"/>
      <c r="RTL173" s="12"/>
      <c r="RTU173" s="11"/>
      <c r="RTV173" s="12"/>
      <c r="RUE173" s="11"/>
      <c r="RUF173" s="12"/>
      <c r="RUO173" s="11"/>
      <c r="RUP173" s="12"/>
      <c r="RUY173" s="11"/>
      <c r="RUZ173" s="12"/>
      <c r="RVI173" s="11"/>
      <c r="RVJ173" s="12"/>
      <c r="RVS173" s="11"/>
      <c r="RVT173" s="12"/>
      <c r="RWC173" s="11"/>
      <c r="RWD173" s="12"/>
      <c r="RWM173" s="11"/>
      <c r="RWN173" s="12"/>
      <c r="RWW173" s="11"/>
      <c r="RWX173" s="12"/>
      <c r="RXG173" s="11"/>
      <c r="RXH173" s="12"/>
      <c r="RXQ173" s="11"/>
      <c r="RXR173" s="12"/>
      <c r="RYA173" s="11"/>
      <c r="RYB173" s="12"/>
      <c r="RYK173" s="11"/>
      <c r="RYL173" s="12"/>
      <c r="RYU173" s="11"/>
      <c r="RYV173" s="12"/>
      <c r="RZE173" s="11"/>
      <c r="RZF173" s="12"/>
      <c r="RZO173" s="11"/>
      <c r="RZP173" s="12"/>
      <c r="RZY173" s="11"/>
      <c r="RZZ173" s="12"/>
      <c r="SAI173" s="11"/>
      <c r="SAJ173" s="12"/>
      <c r="SAS173" s="11"/>
      <c r="SAT173" s="12"/>
      <c r="SBC173" s="11"/>
      <c r="SBD173" s="12"/>
      <c r="SBM173" s="11"/>
      <c r="SBN173" s="12"/>
      <c r="SBW173" s="11"/>
      <c r="SBX173" s="12"/>
      <c r="SCG173" s="11"/>
      <c r="SCH173" s="12"/>
      <c r="SCQ173" s="11"/>
      <c r="SCR173" s="12"/>
      <c r="SDA173" s="11"/>
      <c r="SDB173" s="12"/>
      <c r="SDK173" s="11"/>
      <c r="SDL173" s="12"/>
      <c r="SDU173" s="11"/>
      <c r="SDV173" s="12"/>
      <c r="SEE173" s="11"/>
      <c r="SEF173" s="12"/>
      <c r="SEO173" s="11"/>
      <c r="SEP173" s="12"/>
      <c r="SEY173" s="11"/>
      <c r="SEZ173" s="12"/>
      <c r="SFI173" s="11"/>
      <c r="SFJ173" s="12"/>
      <c r="SFS173" s="11"/>
      <c r="SFT173" s="12"/>
      <c r="SGC173" s="11"/>
      <c r="SGD173" s="12"/>
      <c r="SGM173" s="11"/>
      <c r="SGN173" s="12"/>
      <c r="SGW173" s="11"/>
      <c r="SGX173" s="12"/>
      <c r="SHG173" s="11"/>
      <c r="SHH173" s="12"/>
      <c r="SHQ173" s="11"/>
      <c r="SHR173" s="12"/>
      <c r="SIA173" s="11"/>
      <c r="SIB173" s="12"/>
      <c r="SIK173" s="11"/>
      <c r="SIL173" s="12"/>
      <c r="SIU173" s="11"/>
      <c r="SIV173" s="12"/>
      <c r="SJE173" s="11"/>
      <c r="SJF173" s="12"/>
      <c r="SJO173" s="11"/>
      <c r="SJP173" s="12"/>
      <c r="SJY173" s="11"/>
      <c r="SJZ173" s="12"/>
      <c r="SKI173" s="11"/>
      <c r="SKJ173" s="12"/>
      <c r="SKS173" s="11"/>
      <c r="SKT173" s="12"/>
      <c r="SLC173" s="11"/>
      <c r="SLD173" s="12"/>
      <c r="SLM173" s="11"/>
      <c r="SLN173" s="12"/>
      <c r="SLW173" s="11"/>
      <c r="SLX173" s="12"/>
      <c r="SMG173" s="11"/>
      <c r="SMH173" s="12"/>
      <c r="SMQ173" s="11"/>
      <c r="SMR173" s="12"/>
      <c r="SNA173" s="11"/>
      <c r="SNB173" s="12"/>
      <c r="SNK173" s="11"/>
      <c r="SNL173" s="12"/>
      <c r="SNU173" s="11"/>
      <c r="SNV173" s="12"/>
      <c r="SOE173" s="11"/>
      <c r="SOF173" s="12"/>
      <c r="SOO173" s="11"/>
      <c r="SOP173" s="12"/>
      <c r="SOY173" s="11"/>
      <c r="SOZ173" s="12"/>
      <c r="SPI173" s="11"/>
      <c r="SPJ173" s="12"/>
      <c r="SPS173" s="11"/>
      <c r="SPT173" s="12"/>
      <c r="SQC173" s="11"/>
      <c r="SQD173" s="12"/>
      <c r="SQM173" s="11"/>
      <c r="SQN173" s="12"/>
      <c r="SQW173" s="11"/>
      <c r="SQX173" s="12"/>
      <c r="SRG173" s="11"/>
      <c r="SRH173" s="12"/>
      <c r="SRQ173" s="11"/>
      <c r="SRR173" s="12"/>
      <c r="SSA173" s="11"/>
      <c r="SSB173" s="12"/>
      <c r="SSK173" s="11"/>
      <c r="SSL173" s="12"/>
      <c r="SSU173" s="11"/>
      <c r="SSV173" s="12"/>
      <c r="STE173" s="11"/>
      <c r="STF173" s="12"/>
      <c r="STO173" s="11"/>
      <c r="STP173" s="12"/>
      <c r="STY173" s="11"/>
      <c r="STZ173" s="12"/>
      <c r="SUI173" s="11"/>
      <c r="SUJ173" s="12"/>
      <c r="SUS173" s="11"/>
      <c r="SUT173" s="12"/>
      <c r="SVC173" s="11"/>
      <c r="SVD173" s="12"/>
      <c r="SVM173" s="11"/>
      <c r="SVN173" s="12"/>
      <c r="SVW173" s="11"/>
      <c r="SVX173" s="12"/>
      <c r="SWG173" s="11"/>
      <c r="SWH173" s="12"/>
      <c r="SWQ173" s="11"/>
      <c r="SWR173" s="12"/>
      <c r="SXA173" s="11"/>
      <c r="SXB173" s="12"/>
      <c r="SXK173" s="11"/>
      <c r="SXL173" s="12"/>
      <c r="SXU173" s="11"/>
      <c r="SXV173" s="12"/>
      <c r="SYE173" s="11"/>
      <c r="SYF173" s="12"/>
      <c r="SYO173" s="11"/>
      <c r="SYP173" s="12"/>
      <c r="SYY173" s="11"/>
      <c r="SYZ173" s="12"/>
      <c r="SZI173" s="11"/>
      <c r="SZJ173" s="12"/>
      <c r="SZS173" s="11"/>
      <c r="SZT173" s="12"/>
      <c r="TAC173" s="11"/>
      <c r="TAD173" s="12"/>
      <c r="TAM173" s="11"/>
      <c r="TAN173" s="12"/>
      <c r="TAW173" s="11"/>
      <c r="TAX173" s="12"/>
      <c r="TBG173" s="11"/>
      <c r="TBH173" s="12"/>
      <c r="TBQ173" s="11"/>
      <c r="TBR173" s="12"/>
      <c r="TCA173" s="11"/>
      <c r="TCB173" s="12"/>
      <c r="TCK173" s="11"/>
      <c r="TCL173" s="12"/>
      <c r="TCU173" s="11"/>
      <c r="TCV173" s="12"/>
      <c r="TDE173" s="11"/>
      <c r="TDF173" s="12"/>
      <c r="TDO173" s="11"/>
      <c r="TDP173" s="12"/>
      <c r="TDY173" s="11"/>
      <c r="TDZ173" s="12"/>
      <c r="TEI173" s="11"/>
      <c r="TEJ173" s="12"/>
      <c r="TES173" s="11"/>
      <c r="TET173" s="12"/>
      <c r="TFC173" s="11"/>
      <c r="TFD173" s="12"/>
      <c r="TFM173" s="11"/>
      <c r="TFN173" s="12"/>
      <c r="TFW173" s="11"/>
      <c r="TFX173" s="12"/>
      <c r="TGG173" s="11"/>
      <c r="TGH173" s="12"/>
      <c r="TGQ173" s="11"/>
      <c r="TGR173" s="12"/>
      <c r="THA173" s="11"/>
      <c r="THB173" s="12"/>
      <c r="THK173" s="11"/>
      <c r="THL173" s="12"/>
      <c r="THU173" s="11"/>
      <c r="THV173" s="12"/>
      <c r="TIE173" s="11"/>
      <c r="TIF173" s="12"/>
      <c r="TIO173" s="11"/>
      <c r="TIP173" s="12"/>
      <c r="TIY173" s="11"/>
      <c r="TIZ173" s="12"/>
      <c r="TJI173" s="11"/>
      <c r="TJJ173" s="12"/>
      <c r="TJS173" s="11"/>
      <c r="TJT173" s="12"/>
      <c r="TKC173" s="11"/>
      <c r="TKD173" s="12"/>
      <c r="TKM173" s="11"/>
      <c r="TKN173" s="12"/>
      <c r="TKW173" s="11"/>
      <c r="TKX173" s="12"/>
      <c r="TLG173" s="11"/>
      <c r="TLH173" s="12"/>
      <c r="TLQ173" s="11"/>
      <c r="TLR173" s="12"/>
      <c r="TMA173" s="11"/>
      <c r="TMB173" s="12"/>
      <c r="TMK173" s="11"/>
      <c r="TML173" s="12"/>
      <c r="TMU173" s="11"/>
      <c r="TMV173" s="12"/>
      <c r="TNE173" s="11"/>
      <c r="TNF173" s="12"/>
      <c r="TNO173" s="11"/>
      <c r="TNP173" s="12"/>
      <c r="TNY173" s="11"/>
      <c r="TNZ173" s="12"/>
      <c r="TOI173" s="11"/>
      <c r="TOJ173" s="12"/>
      <c r="TOS173" s="11"/>
      <c r="TOT173" s="12"/>
      <c r="TPC173" s="11"/>
      <c r="TPD173" s="12"/>
      <c r="TPM173" s="11"/>
      <c r="TPN173" s="12"/>
      <c r="TPW173" s="11"/>
      <c r="TPX173" s="12"/>
      <c r="TQG173" s="11"/>
      <c r="TQH173" s="12"/>
      <c r="TQQ173" s="11"/>
      <c r="TQR173" s="12"/>
      <c r="TRA173" s="11"/>
      <c r="TRB173" s="12"/>
      <c r="TRK173" s="11"/>
      <c r="TRL173" s="12"/>
      <c r="TRU173" s="11"/>
      <c r="TRV173" s="12"/>
      <c r="TSE173" s="11"/>
      <c r="TSF173" s="12"/>
      <c r="TSO173" s="11"/>
      <c r="TSP173" s="12"/>
      <c r="TSY173" s="11"/>
      <c r="TSZ173" s="12"/>
      <c r="TTI173" s="11"/>
      <c r="TTJ173" s="12"/>
      <c r="TTS173" s="11"/>
      <c r="TTT173" s="12"/>
      <c r="TUC173" s="11"/>
      <c r="TUD173" s="12"/>
      <c r="TUM173" s="11"/>
      <c r="TUN173" s="12"/>
      <c r="TUW173" s="11"/>
      <c r="TUX173" s="12"/>
      <c r="TVG173" s="11"/>
      <c r="TVH173" s="12"/>
      <c r="TVQ173" s="11"/>
      <c r="TVR173" s="12"/>
      <c r="TWA173" s="11"/>
      <c r="TWB173" s="12"/>
      <c r="TWK173" s="11"/>
      <c r="TWL173" s="12"/>
      <c r="TWU173" s="11"/>
      <c r="TWV173" s="12"/>
      <c r="TXE173" s="11"/>
      <c r="TXF173" s="12"/>
      <c r="TXO173" s="11"/>
      <c r="TXP173" s="12"/>
      <c r="TXY173" s="11"/>
      <c r="TXZ173" s="12"/>
      <c r="TYI173" s="11"/>
      <c r="TYJ173" s="12"/>
      <c r="TYS173" s="11"/>
      <c r="TYT173" s="12"/>
      <c r="TZC173" s="11"/>
      <c r="TZD173" s="12"/>
      <c r="TZM173" s="11"/>
      <c r="TZN173" s="12"/>
      <c r="TZW173" s="11"/>
      <c r="TZX173" s="12"/>
      <c r="UAG173" s="11"/>
      <c r="UAH173" s="12"/>
      <c r="UAQ173" s="11"/>
      <c r="UAR173" s="12"/>
      <c r="UBA173" s="11"/>
      <c r="UBB173" s="12"/>
      <c r="UBK173" s="11"/>
      <c r="UBL173" s="12"/>
      <c r="UBU173" s="11"/>
      <c r="UBV173" s="12"/>
      <c r="UCE173" s="11"/>
      <c r="UCF173" s="12"/>
      <c r="UCO173" s="11"/>
      <c r="UCP173" s="12"/>
      <c r="UCY173" s="11"/>
      <c r="UCZ173" s="12"/>
      <c r="UDI173" s="11"/>
      <c r="UDJ173" s="12"/>
      <c r="UDS173" s="11"/>
      <c r="UDT173" s="12"/>
      <c r="UEC173" s="11"/>
      <c r="UED173" s="12"/>
      <c r="UEM173" s="11"/>
      <c r="UEN173" s="12"/>
      <c r="UEW173" s="11"/>
      <c r="UEX173" s="12"/>
      <c r="UFG173" s="11"/>
      <c r="UFH173" s="12"/>
      <c r="UFQ173" s="11"/>
      <c r="UFR173" s="12"/>
      <c r="UGA173" s="11"/>
      <c r="UGB173" s="12"/>
      <c r="UGK173" s="11"/>
      <c r="UGL173" s="12"/>
      <c r="UGU173" s="11"/>
      <c r="UGV173" s="12"/>
      <c r="UHE173" s="11"/>
      <c r="UHF173" s="12"/>
      <c r="UHO173" s="11"/>
      <c r="UHP173" s="12"/>
      <c r="UHY173" s="11"/>
      <c r="UHZ173" s="12"/>
      <c r="UII173" s="11"/>
      <c r="UIJ173" s="12"/>
      <c r="UIS173" s="11"/>
      <c r="UIT173" s="12"/>
      <c r="UJC173" s="11"/>
      <c r="UJD173" s="12"/>
      <c r="UJM173" s="11"/>
      <c r="UJN173" s="12"/>
      <c r="UJW173" s="11"/>
      <c r="UJX173" s="12"/>
      <c r="UKG173" s="11"/>
      <c r="UKH173" s="12"/>
      <c r="UKQ173" s="11"/>
      <c r="UKR173" s="12"/>
      <c r="ULA173" s="11"/>
      <c r="ULB173" s="12"/>
      <c r="ULK173" s="11"/>
      <c r="ULL173" s="12"/>
      <c r="ULU173" s="11"/>
      <c r="ULV173" s="12"/>
      <c r="UME173" s="11"/>
      <c r="UMF173" s="12"/>
      <c r="UMO173" s="11"/>
      <c r="UMP173" s="12"/>
      <c r="UMY173" s="11"/>
      <c r="UMZ173" s="12"/>
      <c r="UNI173" s="11"/>
      <c r="UNJ173" s="12"/>
      <c r="UNS173" s="11"/>
      <c r="UNT173" s="12"/>
      <c r="UOC173" s="11"/>
      <c r="UOD173" s="12"/>
      <c r="UOM173" s="11"/>
      <c r="UON173" s="12"/>
      <c r="UOW173" s="11"/>
      <c r="UOX173" s="12"/>
      <c r="UPG173" s="11"/>
      <c r="UPH173" s="12"/>
      <c r="UPQ173" s="11"/>
      <c r="UPR173" s="12"/>
      <c r="UQA173" s="11"/>
      <c r="UQB173" s="12"/>
      <c r="UQK173" s="11"/>
      <c r="UQL173" s="12"/>
      <c r="UQU173" s="11"/>
      <c r="UQV173" s="12"/>
      <c r="URE173" s="11"/>
      <c r="URF173" s="12"/>
      <c r="URO173" s="11"/>
      <c r="URP173" s="12"/>
      <c r="URY173" s="11"/>
      <c r="URZ173" s="12"/>
      <c r="USI173" s="11"/>
      <c r="USJ173" s="12"/>
      <c r="USS173" s="11"/>
      <c r="UST173" s="12"/>
      <c r="UTC173" s="11"/>
      <c r="UTD173" s="12"/>
      <c r="UTM173" s="11"/>
      <c r="UTN173" s="12"/>
      <c r="UTW173" s="11"/>
      <c r="UTX173" s="12"/>
      <c r="UUG173" s="11"/>
      <c r="UUH173" s="12"/>
      <c r="UUQ173" s="11"/>
      <c r="UUR173" s="12"/>
      <c r="UVA173" s="11"/>
      <c r="UVB173" s="12"/>
      <c r="UVK173" s="11"/>
      <c r="UVL173" s="12"/>
      <c r="UVU173" s="11"/>
      <c r="UVV173" s="12"/>
      <c r="UWE173" s="11"/>
      <c r="UWF173" s="12"/>
      <c r="UWO173" s="11"/>
      <c r="UWP173" s="12"/>
      <c r="UWY173" s="11"/>
      <c r="UWZ173" s="12"/>
      <c r="UXI173" s="11"/>
      <c r="UXJ173" s="12"/>
      <c r="UXS173" s="11"/>
      <c r="UXT173" s="12"/>
      <c r="UYC173" s="11"/>
      <c r="UYD173" s="12"/>
      <c r="UYM173" s="11"/>
      <c r="UYN173" s="12"/>
      <c r="UYW173" s="11"/>
      <c r="UYX173" s="12"/>
      <c r="UZG173" s="11"/>
      <c r="UZH173" s="12"/>
      <c r="UZQ173" s="11"/>
      <c r="UZR173" s="12"/>
      <c r="VAA173" s="11"/>
      <c r="VAB173" s="12"/>
      <c r="VAK173" s="11"/>
      <c r="VAL173" s="12"/>
      <c r="VAU173" s="11"/>
      <c r="VAV173" s="12"/>
      <c r="VBE173" s="11"/>
      <c r="VBF173" s="12"/>
      <c r="VBO173" s="11"/>
      <c r="VBP173" s="12"/>
      <c r="VBY173" s="11"/>
      <c r="VBZ173" s="12"/>
      <c r="VCI173" s="11"/>
      <c r="VCJ173" s="12"/>
      <c r="VCS173" s="11"/>
      <c r="VCT173" s="12"/>
      <c r="VDC173" s="11"/>
      <c r="VDD173" s="12"/>
      <c r="VDM173" s="11"/>
      <c r="VDN173" s="12"/>
      <c r="VDW173" s="11"/>
      <c r="VDX173" s="12"/>
      <c r="VEG173" s="11"/>
      <c r="VEH173" s="12"/>
      <c r="VEQ173" s="11"/>
      <c r="VER173" s="12"/>
      <c r="VFA173" s="11"/>
      <c r="VFB173" s="12"/>
      <c r="VFK173" s="11"/>
      <c r="VFL173" s="12"/>
      <c r="VFU173" s="11"/>
      <c r="VFV173" s="12"/>
      <c r="VGE173" s="11"/>
      <c r="VGF173" s="12"/>
      <c r="VGO173" s="11"/>
      <c r="VGP173" s="12"/>
      <c r="VGY173" s="11"/>
      <c r="VGZ173" s="12"/>
      <c r="VHI173" s="11"/>
      <c r="VHJ173" s="12"/>
      <c r="VHS173" s="11"/>
      <c r="VHT173" s="12"/>
      <c r="VIC173" s="11"/>
      <c r="VID173" s="12"/>
      <c r="VIM173" s="11"/>
      <c r="VIN173" s="12"/>
      <c r="VIW173" s="11"/>
      <c r="VIX173" s="12"/>
      <c r="VJG173" s="11"/>
      <c r="VJH173" s="12"/>
      <c r="VJQ173" s="11"/>
      <c r="VJR173" s="12"/>
      <c r="VKA173" s="11"/>
      <c r="VKB173" s="12"/>
      <c r="VKK173" s="11"/>
      <c r="VKL173" s="12"/>
      <c r="VKU173" s="11"/>
      <c r="VKV173" s="12"/>
      <c r="VLE173" s="11"/>
      <c r="VLF173" s="12"/>
      <c r="VLO173" s="11"/>
      <c r="VLP173" s="12"/>
      <c r="VLY173" s="11"/>
      <c r="VLZ173" s="12"/>
      <c r="VMI173" s="11"/>
      <c r="VMJ173" s="12"/>
      <c r="VMS173" s="11"/>
      <c r="VMT173" s="12"/>
      <c r="VNC173" s="11"/>
      <c r="VND173" s="12"/>
      <c r="VNM173" s="11"/>
      <c r="VNN173" s="12"/>
      <c r="VNW173" s="11"/>
      <c r="VNX173" s="12"/>
      <c r="VOG173" s="11"/>
      <c r="VOH173" s="12"/>
      <c r="VOQ173" s="11"/>
      <c r="VOR173" s="12"/>
      <c r="VPA173" s="11"/>
      <c r="VPB173" s="12"/>
      <c r="VPK173" s="11"/>
      <c r="VPL173" s="12"/>
      <c r="VPU173" s="11"/>
      <c r="VPV173" s="12"/>
      <c r="VQE173" s="11"/>
      <c r="VQF173" s="12"/>
      <c r="VQO173" s="11"/>
      <c r="VQP173" s="12"/>
      <c r="VQY173" s="11"/>
      <c r="VQZ173" s="12"/>
      <c r="VRI173" s="11"/>
      <c r="VRJ173" s="12"/>
      <c r="VRS173" s="11"/>
      <c r="VRT173" s="12"/>
      <c r="VSC173" s="11"/>
      <c r="VSD173" s="12"/>
      <c r="VSM173" s="11"/>
      <c r="VSN173" s="12"/>
      <c r="VSW173" s="11"/>
      <c r="VSX173" s="12"/>
      <c r="VTG173" s="11"/>
      <c r="VTH173" s="12"/>
      <c r="VTQ173" s="11"/>
      <c r="VTR173" s="12"/>
      <c r="VUA173" s="11"/>
      <c r="VUB173" s="12"/>
      <c r="VUK173" s="11"/>
      <c r="VUL173" s="12"/>
      <c r="VUU173" s="11"/>
      <c r="VUV173" s="12"/>
      <c r="VVE173" s="11"/>
      <c r="VVF173" s="12"/>
      <c r="VVO173" s="11"/>
      <c r="VVP173" s="12"/>
      <c r="VVY173" s="11"/>
      <c r="VVZ173" s="12"/>
      <c r="VWI173" s="11"/>
      <c r="VWJ173" s="12"/>
      <c r="VWS173" s="11"/>
      <c r="VWT173" s="12"/>
      <c r="VXC173" s="11"/>
      <c r="VXD173" s="12"/>
      <c r="VXM173" s="11"/>
      <c r="VXN173" s="12"/>
      <c r="VXW173" s="11"/>
      <c r="VXX173" s="12"/>
      <c r="VYG173" s="11"/>
      <c r="VYH173" s="12"/>
      <c r="VYQ173" s="11"/>
      <c r="VYR173" s="12"/>
      <c r="VZA173" s="11"/>
      <c r="VZB173" s="12"/>
      <c r="VZK173" s="11"/>
      <c r="VZL173" s="12"/>
      <c r="VZU173" s="11"/>
      <c r="VZV173" s="12"/>
      <c r="WAE173" s="11"/>
      <c r="WAF173" s="12"/>
      <c r="WAO173" s="11"/>
      <c r="WAP173" s="12"/>
      <c r="WAY173" s="11"/>
      <c r="WAZ173" s="12"/>
      <c r="WBI173" s="11"/>
      <c r="WBJ173" s="12"/>
      <c r="WBS173" s="11"/>
      <c r="WBT173" s="12"/>
      <c r="WCC173" s="11"/>
      <c r="WCD173" s="12"/>
      <c r="WCM173" s="11"/>
      <c r="WCN173" s="12"/>
      <c r="WCW173" s="11"/>
      <c r="WCX173" s="12"/>
      <c r="WDG173" s="11"/>
      <c r="WDH173" s="12"/>
      <c r="WDQ173" s="11"/>
      <c r="WDR173" s="12"/>
      <c r="WEA173" s="11"/>
      <c r="WEB173" s="12"/>
      <c r="WEK173" s="11"/>
      <c r="WEL173" s="12"/>
      <c r="WEU173" s="11"/>
      <c r="WEV173" s="12"/>
      <c r="WFE173" s="11"/>
      <c r="WFF173" s="12"/>
      <c r="WFO173" s="11"/>
      <c r="WFP173" s="12"/>
      <c r="WFY173" s="11"/>
      <c r="WFZ173" s="12"/>
      <c r="WGI173" s="11"/>
      <c r="WGJ173" s="12"/>
      <c r="WGS173" s="11"/>
      <c r="WGT173" s="12"/>
      <c r="WHC173" s="11"/>
      <c r="WHD173" s="12"/>
      <c r="WHM173" s="11"/>
      <c r="WHN173" s="12"/>
      <c r="WHW173" s="11"/>
      <c r="WHX173" s="12"/>
      <c r="WIG173" s="11"/>
      <c r="WIH173" s="12"/>
      <c r="WIQ173" s="11"/>
      <c r="WIR173" s="12"/>
      <c r="WJA173" s="11"/>
      <c r="WJB173" s="12"/>
      <c r="WJK173" s="11"/>
      <c r="WJL173" s="12"/>
      <c r="WJU173" s="11"/>
      <c r="WJV173" s="12"/>
      <c r="WKE173" s="11"/>
      <c r="WKF173" s="12"/>
      <c r="WKO173" s="11"/>
      <c r="WKP173" s="12"/>
      <c r="WKY173" s="11"/>
      <c r="WKZ173" s="12"/>
      <c r="WLI173" s="11"/>
      <c r="WLJ173" s="12"/>
      <c r="WLS173" s="11"/>
      <c r="WLT173" s="12"/>
      <c r="WMC173" s="11"/>
      <c r="WMD173" s="12"/>
      <c r="WMM173" s="11"/>
      <c r="WMN173" s="12"/>
      <c r="WMW173" s="11"/>
      <c r="WMX173" s="12"/>
      <c r="WNG173" s="11"/>
      <c r="WNH173" s="12"/>
      <c r="WNQ173" s="11"/>
      <c r="WNR173" s="12"/>
      <c r="WOA173" s="11"/>
      <c r="WOB173" s="12"/>
      <c r="WOK173" s="11"/>
      <c r="WOL173" s="12"/>
      <c r="WOU173" s="11"/>
      <c r="WOV173" s="12"/>
      <c r="WPE173" s="11"/>
      <c r="WPF173" s="12"/>
      <c r="WPO173" s="11"/>
      <c r="WPP173" s="12"/>
      <c r="WPY173" s="11"/>
      <c r="WPZ173" s="12"/>
      <c r="WQI173" s="11"/>
      <c r="WQJ173" s="12"/>
      <c r="WQS173" s="11"/>
      <c r="WQT173" s="12"/>
      <c r="WRC173" s="11"/>
      <c r="WRD173" s="12"/>
      <c r="WRM173" s="11"/>
      <c r="WRN173" s="12"/>
      <c r="WRW173" s="11"/>
      <c r="WRX173" s="12"/>
      <c r="WSG173" s="11"/>
      <c r="WSH173" s="12"/>
      <c r="WSQ173" s="11"/>
      <c r="WSR173" s="12"/>
      <c r="WTA173" s="11"/>
      <c r="WTB173" s="12"/>
      <c r="WTK173" s="11"/>
      <c r="WTL173" s="12"/>
      <c r="WTU173" s="11"/>
      <c r="WTV173" s="12"/>
      <c r="WUE173" s="11"/>
      <c r="WUF173" s="12"/>
      <c r="WUO173" s="11"/>
      <c r="WUP173" s="12"/>
      <c r="WUY173" s="11"/>
      <c r="WUZ173" s="12"/>
      <c r="WVI173" s="11"/>
      <c r="WVJ173" s="12"/>
      <c r="WVS173" s="11"/>
      <c r="WVT173" s="12"/>
      <c r="WWC173" s="11"/>
      <c r="WWD173" s="12"/>
      <c r="WWM173" s="11"/>
      <c r="WWN173" s="12"/>
      <c r="WWW173" s="11"/>
      <c r="WWX173" s="12"/>
      <c r="WXG173" s="11"/>
      <c r="WXH173" s="12"/>
      <c r="WXQ173" s="11"/>
      <c r="WXR173" s="12"/>
      <c r="WYA173" s="11"/>
      <c r="WYB173" s="12"/>
      <c r="WYK173" s="11"/>
      <c r="WYL173" s="12"/>
      <c r="WYU173" s="11"/>
      <c r="WYV173" s="12"/>
      <c r="WZE173" s="11"/>
      <c r="WZF173" s="12"/>
      <c r="WZO173" s="11"/>
      <c r="WZP173" s="12"/>
      <c r="WZY173" s="11"/>
      <c r="WZZ173" s="12"/>
      <c r="XAI173" s="11"/>
      <c r="XAJ173" s="12"/>
      <c r="XAS173" s="11"/>
      <c r="XAT173" s="12"/>
      <c r="XBC173" s="11"/>
      <c r="XBD173" s="12"/>
      <c r="XBM173" s="11"/>
      <c r="XBN173" s="12"/>
      <c r="XBW173" s="11"/>
      <c r="XBX173" s="12"/>
      <c r="XCG173" s="11"/>
      <c r="XCH173" s="12"/>
      <c r="XCQ173" s="11"/>
      <c r="XCR173" s="12"/>
      <c r="XDA173" s="11"/>
      <c r="XDB173" s="12"/>
      <c r="XDK173" s="11"/>
      <c r="XDL173" s="12"/>
      <c r="XDU173" s="11"/>
      <c r="XDV173" s="12"/>
      <c r="XEE173" s="11"/>
      <c r="XEF173" s="12"/>
      <c r="XEO173" s="11"/>
      <c r="XEP173" s="12"/>
      <c r="XEY173" s="11"/>
      <c r="XEZ173" s="12"/>
    </row>
    <row r="174" spans="1:1020 1029:2040 2049:3070 3079:4090 4099:5120 5129:6140 6149:7160 7169:8190 8199:9210 9219:10240 10249:11260 11269:12280 12289:13310 13319:14330 14339:15360 15369:16380" s="10" customFormat="1" ht="69" x14ac:dyDescent="0.3">
      <c r="A174"/>
      <c r="B174"/>
      <c r="C174"/>
      <c r="D174"/>
      <c r="E174"/>
      <c r="F174"/>
      <c r="G174"/>
      <c r="H174" s="32" t="s">
        <v>9</v>
      </c>
      <c r="I174" s="33" t="s">
        <v>38</v>
      </c>
      <c r="J174" s="34" t="s">
        <v>40</v>
      </c>
      <c r="K174" s="35" t="s">
        <v>290</v>
      </c>
      <c r="L174" s="33"/>
      <c r="M174" s="33">
        <v>8475</v>
      </c>
      <c r="N174" s="36"/>
      <c r="O174" s="33">
        <v>3</v>
      </c>
      <c r="P174" s="33">
        <f>IF(Tabela1[[#This Row],[Status]]="✔️",Tabela1[[#This Row],[Peso]],IF(Tabela1[[#This Row],[Status]]="✔️✔️",Tabela1[[#This Row],[Peso]]/2,0))</f>
        <v>0</v>
      </c>
      <c r="Q17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4" s="33" t="s">
        <v>127</v>
      </c>
      <c r="S174" s="37" t="s">
        <v>128</v>
      </c>
      <c r="T174" s="12"/>
      <c r="AC174" s="11"/>
      <c r="AD174" s="12"/>
      <c r="AM174" s="11"/>
      <c r="AN174" s="12"/>
      <c r="AW174" s="11"/>
      <c r="AX174" s="12"/>
      <c r="BG174" s="11"/>
      <c r="BH174" s="12"/>
      <c r="BQ174" s="11"/>
      <c r="BR174" s="12"/>
      <c r="CA174" s="11"/>
      <c r="CB174" s="12"/>
      <c r="CK174" s="11"/>
      <c r="CL174" s="12"/>
      <c r="CU174" s="11"/>
      <c r="CV174" s="12"/>
      <c r="DE174" s="11"/>
      <c r="DF174" s="12"/>
      <c r="DO174" s="11"/>
      <c r="DP174" s="12"/>
      <c r="DY174" s="11"/>
      <c r="DZ174" s="12"/>
      <c r="EI174" s="11"/>
      <c r="EJ174" s="12"/>
      <c r="ES174" s="11"/>
      <c r="ET174" s="12"/>
      <c r="FC174" s="11"/>
      <c r="FD174" s="12"/>
      <c r="FM174" s="11"/>
      <c r="FN174" s="12"/>
      <c r="FW174" s="11"/>
      <c r="FX174" s="12"/>
      <c r="GG174" s="11"/>
      <c r="GH174" s="12"/>
      <c r="GQ174" s="11"/>
      <c r="GR174" s="12"/>
      <c r="HA174" s="11"/>
      <c r="HB174" s="12"/>
      <c r="HK174" s="11"/>
      <c r="HL174" s="12"/>
      <c r="HU174" s="11"/>
      <c r="HV174" s="12"/>
      <c r="IE174" s="11"/>
      <c r="IF174" s="12"/>
      <c r="IO174" s="11"/>
      <c r="IP174" s="12"/>
      <c r="IY174" s="11"/>
      <c r="IZ174" s="12"/>
      <c r="JI174" s="11"/>
      <c r="JJ174" s="12"/>
      <c r="JS174" s="11"/>
      <c r="JT174" s="12"/>
      <c r="KC174" s="11"/>
      <c r="KD174" s="12"/>
      <c r="KM174" s="11"/>
      <c r="KN174" s="12"/>
      <c r="KW174" s="11"/>
      <c r="KX174" s="12"/>
      <c r="LG174" s="11"/>
      <c r="LH174" s="12"/>
      <c r="LQ174" s="11"/>
      <c r="LR174" s="12"/>
      <c r="MA174" s="11"/>
      <c r="MB174" s="12"/>
      <c r="MK174" s="11"/>
      <c r="ML174" s="12"/>
      <c r="MU174" s="11"/>
      <c r="MV174" s="12"/>
      <c r="NE174" s="11"/>
      <c r="NF174" s="12"/>
      <c r="NO174" s="11"/>
      <c r="NP174" s="12"/>
      <c r="NY174" s="11"/>
      <c r="NZ174" s="12"/>
      <c r="OI174" s="11"/>
      <c r="OJ174" s="12"/>
      <c r="OS174" s="11"/>
      <c r="OT174" s="12"/>
      <c r="PC174" s="11"/>
      <c r="PD174" s="12"/>
      <c r="PM174" s="11"/>
      <c r="PN174" s="12"/>
      <c r="PW174" s="11"/>
      <c r="PX174" s="12"/>
      <c r="QG174" s="11"/>
      <c r="QH174" s="12"/>
      <c r="QQ174" s="11"/>
      <c r="QR174" s="12"/>
      <c r="RA174" s="11"/>
      <c r="RB174" s="12"/>
      <c r="RK174" s="11"/>
      <c r="RL174" s="12"/>
      <c r="RU174" s="11"/>
      <c r="RV174" s="12"/>
      <c r="SE174" s="11"/>
      <c r="SF174" s="12"/>
      <c r="SO174" s="11"/>
      <c r="SP174" s="12"/>
      <c r="SY174" s="11"/>
      <c r="SZ174" s="12"/>
      <c r="TI174" s="11"/>
      <c r="TJ174" s="12"/>
      <c r="TS174" s="11"/>
      <c r="TT174" s="12"/>
      <c r="UC174" s="11"/>
      <c r="UD174" s="12"/>
      <c r="UM174" s="11"/>
      <c r="UN174" s="12"/>
      <c r="UW174" s="11"/>
      <c r="UX174" s="12"/>
      <c r="VG174" s="11"/>
      <c r="VH174" s="12"/>
      <c r="VQ174" s="11"/>
      <c r="VR174" s="12"/>
      <c r="WA174" s="11"/>
      <c r="WB174" s="12"/>
      <c r="WK174" s="11"/>
      <c r="WL174" s="12"/>
      <c r="WU174" s="11"/>
      <c r="WV174" s="12"/>
      <c r="XE174" s="11"/>
      <c r="XF174" s="12"/>
      <c r="XO174" s="11"/>
      <c r="XP174" s="12"/>
      <c r="XY174" s="11"/>
      <c r="XZ174" s="12"/>
      <c r="YI174" s="11"/>
      <c r="YJ174" s="12"/>
      <c r="YS174" s="11"/>
      <c r="YT174" s="12"/>
      <c r="ZC174" s="11"/>
      <c r="ZD174" s="12"/>
      <c r="ZM174" s="11"/>
      <c r="ZN174" s="12"/>
      <c r="ZW174" s="11"/>
      <c r="ZX174" s="12"/>
      <c r="AAG174" s="11"/>
      <c r="AAH174" s="12"/>
      <c r="AAQ174" s="11"/>
      <c r="AAR174" s="12"/>
      <c r="ABA174" s="11"/>
      <c r="ABB174" s="12"/>
      <c r="ABK174" s="11"/>
      <c r="ABL174" s="12"/>
      <c r="ABU174" s="11"/>
      <c r="ABV174" s="12"/>
      <c r="ACE174" s="11"/>
      <c r="ACF174" s="12"/>
      <c r="ACO174" s="11"/>
      <c r="ACP174" s="12"/>
      <c r="ACY174" s="11"/>
      <c r="ACZ174" s="12"/>
      <c r="ADI174" s="11"/>
      <c r="ADJ174" s="12"/>
      <c r="ADS174" s="11"/>
      <c r="ADT174" s="12"/>
      <c r="AEC174" s="11"/>
      <c r="AED174" s="12"/>
      <c r="AEM174" s="11"/>
      <c r="AEN174" s="12"/>
      <c r="AEW174" s="11"/>
      <c r="AEX174" s="12"/>
      <c r="AFG174" s="11"/>
      <c r="AFH174" s="12"/>
      <c r="AFQ174" s="11"/>
      <c r="AFR174" s="12"/>
      <c r="AGA174" s="11"/>
      <c r="AGB174" s="12"/>
      <c r="AGK174" s="11"/>
      <c r="AGL174" s="12"/>
      <c r="AGU174" s="11"/>
      <c r="AGV174" s="12"/>
      <c r="AHE174" s="11"/>
      <c r="AHF174" s="12"/>
      <c r="AHO174" s="11"/>
      <c r="AHP174" s="12"/>
      <c r="AHY174" s="11"/>
      <c r="AHZ174" s="12"/>
      <c r="AII174" s="11"/>
      <c r="AIJ174" s="12"/>
      <c r="AIS174" s="11"/>
      <c r="AIT174" s="12"/>
      <c r="AJC174" s="11"/>
      <c r="AJD174" s="12"/>
      <c r="AJM174" s="11"/>
      <c r="AJN174" s="12"/>
      <c r="AJW174" s="11"/>
      <c r="AJX174" s="12"/>
      <c r="AKG174" s="11"/>
      <c r="AKH174" s="12"/>
      <c r="AKQ174" s="11"/>
      <c r="AKR174" s="12"/>
      <c r="ALA174" s="11"/>
      <c r="ALB174" s="12"/>
      <c r="ALK174" s="11"/>
      <c r="ALL174" s="12"/>
      <c r="ALU174" s="11"/>
      <c r="ALV174" s="12"/>
      <c r="AME174" s="11"/>
      <c r="AMF174" s="12"/>
      <c r="AMO174" s="11"/>
      <c r="AMP174" s="12"/>
      <c r="AMY174" s="11"/>
      <c r="AMZ174" s="12"/>
      <c r="ANI174" s="11"/>
      <c r="ANJ174" s="12"/>
      <c r="ANS174" s="11"/>
      <c r="ANT174" s="12"/>
      <c r="AOC174" s="11"/>
      <c r="AOD174" s="12"/>
      <c r="AOM174" s="11"/>
      <c r="AON174" s="12"/>
      <c r="AOW174" s="11"/>
      <c r="AOX174" s="12"/>
      <c r="APG174" s="11"/>
      <c r="APH174" s="12"/>
      <c r="APQ174" s="11"/>
      <c r="APR174" s="12"/>
      <c r="AQA174" s="11"/>
      <c r="AQB174" s="12"/>
      <c r="AQK174" s="11"/>
      <c r="AQL174" s="12"/>
      <c r="AQU174" s="11"/>
      <c r="AQV174" s="12"/>
      <c r="ARE174" s="11"/>
      <c r="ARF174" s="12"/>
      <c r="ARO174" s="11"/>
      <c r="ARP174" s="12"/>
      <c r="ARY174" s="11"/>
      <c r="ARZ174" s="12"/>
      <c r="ASI174" s="11"/>
      <c r="ASJ174" s="12"/>
      <c r="ASS174" s="11"/>
      <c r="AST174" s="12"/>
      <c r="ATC174" s="11"/>
      <c r="ATD174" s="12"/>
      <c r="ATM174" s="11"/>
      <c r="ATN174" s="12"/>
      <c r="ATW174" s="11"/>
      <c r="ATX174" s="12"/>
      <c r="AUG174" s="11"/>
      <c r="AUH174" s="12"/>
      <c r="AUQ174" s="11"/>
      <c r="AUR174" s="12"/>
      <c r="AVA174" s="11"/>
      <c r="AVB174" s="12"/>
      <c r="AVK174" s="11"/>
      <c r="AVL174" s="12"/>
      <c r="AVU174" s="11"/>
      <c r="AVV174" s="12"/>
      <c r="AWE174" s="11"/>
      <c r="AWF174" s="12"/>
      <c r="AWO174" s="11"/>
      <c r="AWP174" s="12"/>
      <c r="AWY174" s="11"/>
      <c r="AWZ174" s="12"/>
      <c r="AXI174" s="11"/>
      <c r="AXJ174" s="12"/>
      <c r="AXS174" s="11"/>
      <c r="AXT174" s="12"/>
      <c r="AYC174" s="11"/>
      <c r="AYD174" s="12"/>
      <c r="AYM174" s="11"/>
      <c r="AYN174" s="12"/>
      <c r="AYW174" s="11"/>
      <c r="AYX174" s="12"/>
      <c r="AZG174" s="11"/>
      <c r="AZH174" s="12"/>
      <c r="AZQ174" s="11"/>
      <c r="AZR174" s="12"/>
      <c r="BAA174" s="11"/>
      <c r="BAB174" s="12"/>
      <c r="BAK174" s="11"/>
      <c r="BAL174" s="12"/>
      <c r="BAU174" s="11"/>
      <c r="BAV174" s="12"/>
      <c r="BBE174" s="11"/>
      <c r="BBF174" s="12"/>
      <c r="BBO174" s="11"/>
      <c r="BBP174" s="12"/>
      <c r="BBY174" s="11"/>
      <c r="BBZ174" s="12"/>
      <c r="BCI174" s="11"/>
      <c r="BCJ174" s="12"/>
      <c r="BCS174" s="11"/>
      <c r="BCT174" s="12"/>
      <c r="BDC174" s="11"/>
      <c r="BDD174" s="12"/>
      <c r="BDM174" s="11"/>
      <c r="BDN174" s="12"/>
      <c r="BDW174" s="11"/>
      <c r="BDX174" s="12"/>
      <c r="BEG174" s="11"/>
      <c r="BEH174" s="12"/>
      <c r="BEQ174" s="11"/>
      <c r="BER174" s="12"/>
      <c r="BFA174" s="11"/>
      <c r="BFB174" s="12"/>
      <c r="BFK174" s="11"/>
      <c r="BFL174" s="12"/>
      <c r="BFU174" s="11"/>
      <c r="BFV174" s="12"/>
      <c r="BGE174" s="11"/>
      <c r="BGF174" s="12"/>
      <c r="BGO174" s="11"/>
      <c r="BGP174" s="12"/>
      <c r="BGY174" s="11"/>
      <c r="BGZ174" s="12"/>
      <c r="BHI174" s="11"/>
      <c r="BHJ174" s="12"/>
      <c r="BHS174" s="11"/>
      <c r="BHT174" s="12"/>
      <c r="BIC174" s="11"/>
      <c r="BID174" s="12"/>
      <c r="BIM174" s="11"/>
      <c r="BIN174" s="12"/>
      <c r="BIW174" s="11"/>
      <c r="BIX174" s="12"/>
      <c r="BJG174" s="11"/>
      <c r="BJH174" s="12"/>
      <c r="BJQ174" s="11"/>
      <c r="BJR174" s="12"/>
      <c r="BKA174" s="11"/>
      <c r="BKB174" s="12"/>
      <c r="BKK174" s="11"/>
      <c r="BKL174" s="12"/>
      <c r="BKU174" s="11"/>
      <c r="BKV174" s="12"/>
      <c r="BLE174" s="11"/>
      <c r="BLF174" s="12"/>
      <c r="BLO174" s="11"/>
      <c r="BLP174" s="12"/>
      <c r="BLY174" s="11"/>
      <c r="BLZ174" s="12"/>
      <c r="BMI174" s="11"/>
      <c r="BMJ174" s="12"/>
      <c r="BMS174" s="11"/>
      <c r="BMT174" s="12"/>
      <c r="BNC174" s="11"/>
      <c r="BND174" s="12"/>
      <c r="BNM174" s="11"/>
      <c r="BNN174" s="12"/>
      <c r="BNW174" s="11"/>
      <c r="BNX174" s="12"/>
      <c r="BOG174" s="11"/>
      <c r="BOH174" s="12"/>
      <c r="BOQ174" s="11"/>
      <c r="BOR174" s="12"/>
      <c r="BPA174" s="11"/>
      <c r="BPB174" s="12"/>
      <c r="BPK174" s="11"/>
      <c r="BPL174" s="12"/>
      <c r="BPU174" s="11"/>
      <c r="BPV174" s="12"/>
      <c r="BQE174" s="11"/>
      <c r="BQF174" s="12"/>
      <c r="BQO174" s="11"/>
      <c r="BQP174" s="12"/>
      <c r="BQY174" s="11"/>
      <c r="BQZ174" s="12"/>
      <c r="BRI174" s="11"/>
      <c r="BRJ174" s="12"/>
      <c r="BRS174" s="11"/>
      <c r="BRT174" s="12"/>
      <c r="BSC174" s="11"/>
      <c r="BSD174" s="12"/>
      <c r="BSM174" s="11"/>
      <c r="BSN174" s="12"/>
      <c r="BSW174" s="11"/>
      <c r="BSX174" s="12"/>
      <c r="BTG174" s="11"/>
      <c r="BTH174" s="12"/>
      <c r="BTQ174" s="11"/>
      <c r="BTR174" s="12"/>
      <c r="BUA174" s="11"/>
      <c r="BUB174" s="12"/>
      <c r="BUK174" s="11"/>
      <c r="BUL174" s="12"/>
      <c r="BUU174" s="11"/>
      <c r="BUV174" s="12"/>
      <c r="BVE174" s="11"/>
      <c r="BVF174" s="12"/>
      <c r="BVO174" s="11"/>
      <c r="BVP174" s="12"/>
      <c r="BVY174" s="11"/>
      <c r="BVZ174" s="12"/>
      <c r="BWI174" s="11"/>
      <c r="BWJ174" s="12"/>
      <c r="BWS174" s="11"/>
      <c r="BWT174" s="12"/>
      <c r="BXC174" s="11"/>
      <c r="BXD174" s="12"/>
      <c r="BXM174" s="11"/>
      <c r="BXN174" s="12"/>
      <c r="BXW174" s="11"/>
      <c r="BXX174" s="12"/>
      <c r="BYG174" s="11"/>
      <c r="BYH174" s="12"/>
      <c r="BYQ174" s="11"/>
      <c r="BYR174" s="12"/>
      <c r="BZA174" s="11"/>
      <c r="BZB174" s="12"/>
      <c r="BZK174" s="11"/>
      <c r="BZL174" s="12"/>
      <c r="BZU174" s="11"/>
      <c r="BZV174" s="12"/>
      <c r="CAE174" s="11"/>
      <c r="CAF174" s="12"/>
      <c r="CAO174" s="11"/>
      <c r="CAP174" s="12"/>
      <c r="CAY174" s="11"/>
      <c r="CAZ174" s="12"/>
      <c r="CBI174" s="11"/>
      <c r="CBJ174" s="12"/>
      <c r="CBS174" s="11"/>
      <c r="CBT174" s="12"/>
      <c r="CCC174" s="11"/>
      <c r="CCD174" s="12"/>
      <c r="CCM174" s="11"/>
      <c r="CCN174" s="12"/>
      <c r="CCW174" s="11"/>
      <c r="CCX174" s="12"/>
      <c r="CDG174" s="11"/>
      <c r="CDH174" s="12"/>
      <c r="CDQ174" s="11"/>
      <c r="CDR174" s="12"/>
      <c r="CEA174" s="11"/>
      <c r="CEB174" s="12"/>
      <c r="CEK174" s="11"/>
      <c r="CEL174" s="12"/>
      <c r="CEU174" s="11"/>
      <c r="CEV174" s="12"/>
      <c r="CFE174" s="11"/>
      <c r="CFF174" s="12"/>
      <c r="CFO174" s="11"/>
      <c r="CFP174" s="12"/>
      <c r="CFY174" s="11"/>
      <c r="CFZ174" s="12"/>
      <c r="CGI174" s="11"/>
      <c r="CGJ174" s="12"/>
      <c r="CGS174" s="11"/>
      <c r="CGT174" s="12"/>
      <c r="CHC174" s="11"/>
      <c r="CHD174" s="12"/>
      <c r="CHM174" s="11"/>
      <c r="CHN174" s="12"/>
      <c r="CHW174" s="11"/>
      <c r="CHX174" s="12"/>
      <c r="CIG174" s="11"/>
      <c r="CIH174" s="12"/>
      <c r="CIQ174" s="11"/>
      <c r="CIR174" s="12"/>
      <c r="CJA174" s="11"/>
      <c r="CJB174" s="12"/>
      <c r="CJK174" s="11"/>
      <c r="CJL174" s="12"/>
      <c r="CJU174" s="11"/>
      <c r="CJV174" s="12"/>
      <c r="CKE174" s="11"/>
      <c r="CKF174" s="12"/>
      <c r="CKO174" s="11"/>
      <c r="CKP174" s="12"/>
      <c r="CKY174" s="11"/>
      <c r="CKZ174" s="12"/>
      <c r="CLI174" s="11"/>
      <c r="CLJ174" s="12"/>
      <c r="CLS174" s="11"/>
      <c r="CLT174" s="12"/>
      <c r="CMC174" s="11"/>
      <c r="CMD174" s="12"/>
      <c r="CMM174" s="11"/>
      <c r="CMN174" s="12"/>
      <c r="CMW174" s="11"/>
      <c r="CMX174" s="12"/>
      <c r="CNG174" s="11"/>
      <c r="CNH174" s="12"/>
      <c r="CNQ174" s="11"/>
      <c r="CNR174" s="12"/>
      <c r="COA174" s="11"/>
      <c r="COB174" s="12"/>
      <c r="COK174" s="11"/>
      <c r="COL174" s="12"/>
      <c r="COU174" s="11"/>
      <c r="COV174" s="12"/>
      <c r="CPE174" s="11"/>
      <c r="CPF174" s="12"/>
      <c r="CPO174" s="11"/>
      <c r="CPP174" s="12"/>
      <c r="CPY174" s="11"/>
      <c r="CPZ174" s="12"/>
      <c r="CQI174" s="11"/>
      <c r="CQJ174" s="12"/>
      <c r="CQS174" s="11"/>
      <c r="CQT174" s="12"/>
      <c r="CRC174" s="11"/>
      <c r="CRD174" s="12"/>
      <c r="CRM174" s="11"/>
      <c r="CRN174" s="12"/>
      <c r="CRW174" s="11"/>
      <c r="CRX174" s="12"/>
      <c r="CSG174" s="11"/>
      <c r="CSH174" s="12"/>
      <c r="CSQ174" s="11"/>
      <c r="CSR174" s="12"/>
      <c r="CTA174" s="11"/>
      <c r="CTB174" s="12"/>
      <c r="CTK174" s="11"/>
      <c r="CTL174" s="12"/>
      <c r="CTU174" s="11"/>
      <c r="CTV174" s="12"/>
      <c r="CUE174" s="11"/>
      <c r="CUF174" s="12"/>
      <c r="CUO174" s="11"/>
      <c r="CUP174" s="12"/>
      <c r="CUY174" s="11"/>
      <c r="CUZ174" s="12"/>
      <c r="CVI174" s="11"/>
      <c r="CVJ174" s="12"/>
      <c r="CVS174" s="11"/>
      <c r="CVT174" s="12"/>
      <c r="CWC174" s="11"/>
      <c r="CWD174" s="12"/>
      <c r="CWM174" s="11"/>
      <c r="CWN174" s="12"/>
      <c r="CWW174" s="11"/>
      <c r="CWX174" s="12"/>
      <c r="CXG174" s="11"/>
      <c r="CXH174" s="12"/>
      <c r="CXQ174" s="11"/>
      <c r="CXR174" s="12"/>
      <c r="CYA174" s="11"/>
      <c r="CYB174" s="12"/>
      <c r="CYK174" s="11"/>
      <c r="CYL174" s="12"/>
      <c r="CYU174" s="11"/>
      <c r="CYV174" s="12"/>
      <c r="CZE174" s="11"/>
      <c r="CZF174" s="12"/>
      <c r="CZO174" s="11"/>
      <c r="CZP174" s="12"/>
      <c r="CZY174" s="11"/>
      <c r="CZZ174" s="12"/>
      <c r="DAI174" s="11"/>
      <c r="DAJ174" s="12"/>
      <c r="DAS174" s="11"/>
      <c r="DAT174" s="12"/>
      <c r="DBC174" s="11"/>
      <c r="DBD174" s="12"/>
      <c r="DBM174" s="11"/>
      <c r="DBN174" s="12"/>
      <c r="DBW174" s="11"/>
      <c r="DBX174" s="12"/>
      <c r="DCG174" s="11"/>
      <c r="DCH174" s="12"/>
      <c r="DCQ174" s="11"/>
      <c r="DCR174" s="12"/>
      <c r="DDA174" s="11"/>
      <c r="DDB174" s="12"/>
      <c r="DDK174" s="11"/>
      <c r="DDL174" s="12"/>
      <c r="DDU174" s="11"/>
      <c r="DDV174" s="12"/>
      <c r="DEE174" s="11"/>
      <c r="DEF174" s="12"/>
      <c r="DEO174" s="11"/>
      <c r="DEP174" s="12"/>
      <c r="DEY174" s="11"/>
      <c r="DEZ174" s="12"/>
      <c r="DFI174" s="11"/>
      <c r="DFJ174" s="12"/>
      <c r="DFS174" s="11"/>
      <c r="DFT174" s="12"/>
      <c r="DGC174" s="11"/>
      <c r="DGD174" s="12"/>
      <c r="DGM174" s="11"/>
      <c r="DGN174" s="12"/>
      <c r="DGW174" s="11"/>
      <c r="DGX174" s="12"/>
      <c r="DHG174" s="11"/>
      <c r="DHH174" s="12"/>
      <c r="DHQ174" s="11"/>
      <c r="DHR174" s="12"/>
      <c r="DIA174" s="11"/>
      <c r="DIB174" s="12"/>
      <c r="DIK174" s="11"/>
      <c r="DIL174" s="12"/>
      <c r="DIU174" s="11"/>
      <c r="DIV174" s="12"/>
      <c r="DJE174" s="11"/>
      <c r="DJF174" s="12"/>
      <c r="DJO174" s="11"/>
      <c r="DJP174" s="12"/>
      <c r="DJY174" s="11"/>
      <c r="DJZ174" s="12"/>
      <c r="DKI174" s="11"/>
      <c r="DKJ174" s="12"/>
      <c r="DKS174" s="11"/>
      <c r="DKT174" s="12"/>
      <c r="DLC174" s="11"/>
      <c r="DLD174" s="12"/>
      <c r="DLM174" s="11"/>
      <c r="DLN174" s="12"/>
      <c r="DLW174" s="11"/>
      <c r="DLX174" s="12"/>
      <c r="DMG174" s="11"/>
      <c r="DMH174" s="12"/>
      <c r="DMQ174" s="11"/>
      <c r="DMR174" s="12"/>
      <c r="DNA174" s="11"/>
      <c r="DNB174" s="12"/>
      <c r="DNK174" s="11"/>
      <c r="DNL174" s="12"/>
      <c r="DNU174" s="11"/>
      <c r="DNV174" s="12"/>
      <c r="DOE174" s="11"/>
      <c r="DOF174" s="12"/>
      <c r="DOO174" s="11"/>
      <c r="DOP174" s="12"/>
      <c r="DOY174" s="11"/>
      <c r="DOZ174" s="12"/>
      <c r="DPI174" s="11"/>
      <c r="DPJ174" s="12"/>
      <c r="DPS174" s="11"/>
      <c r="DPT174" s="12"/>
      <c r="DQC174" s="11"/>
      <c r="DQD174" s="12"/>
      <c r="DQM174" s="11"/>
      <c r="DQN174" s="12"/>
      <c r="DQW174" s="11"/>
      <c r="DQX174" s="12"/>
      <c r="DRG174" s="11"/>
      <c r="DRH174" s="12"/>
      <c r="DRQ174" s="11"/>
      <c r="DRR174" s="12"/>
      <c r="DSA174" s="11"/>
      <c r="DSB174" s="12"/>
      <c r="DSK174" s="11"/>
      <c r="DSL174" s="12"/>
      <c r="DSU174" s="11"/>
      <c r="DSV174" s="12"/>
      <c r="DTE174" s="11"/>
      <c r="DTF174" s="12"/>
      <c r="DTO174" s="11"/>
      <c r="DTP174" s="12"/>
      <c r="DTY174" s="11"/>
      <c r="DTZ174" s="12"/>
      <c r="DUI174" s="11"/>
      <c r="DUJ174" s="12"/>
      <c r="DUS174" s="11"/>
      <c r="DUT174" s="12"/>
      <c r="DVC174" s="11"/>
      <c r="DVD174" s="12"/>
      <c r="DVM174" s="11"/>
      <c r="DVN174" s="12"/>
      <c r="DVW174" s="11"/>
      <c r="DVX174" s="12"/>
      <c r="DWG174" s="11"/>
      <c r="DWH174" s="12"/>
      <c r="DWQ174" s="11"/>
      <c r="DWR174" s="12"/>
      <c r="DXA174" s="11"/>
      <c r="DXB174" s="12"/>
      <c r="DXK174" s="11"/>
      <c r="DXL174" s="12"/>
      <c r="DXU174" s="11"/>
      <c r="DXV174" s="12"/>
      <c r="DYE174" s="11"/>
      <c r="DYF174" s="12"/>
      <c r="DYO174" s="11"/>
      <c r="DYP174" s="12"/>
      <c r="DYY174" s="11"/>
      <c r="DYZ174" s="12"/>
      <c r="DZI174" s="11"/>
      <c r="DZJ174" s="12"/>
      <c r="DZS174" s="11"/>
      <c r="DZT174" s="12"/>
      <c r="EAC174" s="11"/>
      <c r="EAD174" s="12"/>
      <c r="EAM174" s="11"/>
      <c r="EAN174" s="12"/>
      <c r="EAW174" s="11"/>
      <c r="EAX174" s="12"/>
      <c r="EBG174" s="11"/>
      <c r="EBH174" s="12"/>
      <c r="EBQ174" s="11"/>
      <c r="EBR174" s="12"/>
      <c r="ECA174" s="11"/>
      <c r="ECB174" s="12"/>
      <c r="ECK174" s="11"/>
      <c r="ECL174" s="12"/>
      <c r="ECU174" s="11"/>
      <c r="ECV174" s="12"/>
      <c r="EDE174" s="11"/>
      <c r="EDF174" s="12"/>
      <c r="EDO174" s="11"/>
      <c r="EDP174" s="12"/>
      <c r="EDY174" s="11"/>
      <c r="EDZ174" s="12"/>
      <c r="EEI174" s="11"/>
      <c r="EEJ174" s="12"/>
      <c r="EES174" s="11"/>
      <c r="EET174" s="12"/>
      <c r="EFC174" s="11"/>
      <c r="EFD174" s="12"/>
      <c r="EFM174" s="11"/>
      <c r="EFN174" s="12"/>
      <c r="EFW174" s="11"/>
      <c r="EFX174" s="12"/>
      <c r="EGG174" s="11"/>
      <c r="EGH174" s="12"/>
      <c r="EGQ174" s="11"/>
      <c r="EGR174" s="12"/>
      <c r="EHA174" s="11"/>
      <c r="EHB174" s="12"/>
      <c r="EHK174" s="11"/>
      <c r="EHL174" s="12"/>
      <c r="EHU174" s="11"/>
      <c r="EHV174" s="12"/>
      <c r="EIE174" s="11"/>
      <c r="EIF174" s="12"/>
      <c r="EIO174" s="11"/>
      <c r="EIP174" s="12"/>
      <c r="EIY174" s="11"/>
      <c r="EIZ174" s="12"/>
      <c r="EJI174" s="11"/>
      <c r="EJJ174" s="12"/>
      <c r="EJS174" s="11"/>
      <c r="EJT174" s="12"/>
      <c r="EKC174" s="11"/>
      <c r="EKD174" s="12"/>
      <c r="EKM174" s="11"/>
      <c r="EKN174" s="12"/>
      <c r="EKW174" s="11"/>
      <c r="EKX174" s="12"/>
      <c r="ELG174" s="11"/>
      <c r="ELH174" s="12"/>
      <c r="ELQ174" s="11"/>
      <c r="ELR174" s="12"/>
      <c r="EMA174" s="11"/>
      <c r="EMB174" s="12"/>
      <c r="EMK174" s="11"/>
      <c r="EML174" s="12"/>
      <c r="EMU174" s="11"/>
      <c r="EMV174" s="12"/>
      <c r="ENE174" s="11"/>
      <c r="ENF174" s="12"/>
      <c r="ENO174" s="11"/>
      <c r="ENP174" s="12"/>
      <c r="ENY174" s="11"/>
      <c r="ENZ174" s="12"/>
      <c r="EOI174" s="11"/>
      <c r="EOJ174" s="12"/>
      <c r="EOS174" s="11"/>
      <c r="EOT174" s="12"/>
      <c r="EPC174" s="11"/>
      <c r="EPD174" s="12"/>
      <c r="EPM174" s="11"/>
      <c r="EPN174" s="12"/>
      <c r="EPW174" s="11"/>
      <c r="EPX174" s="12"/>
      <c r="EQG174" s="11"/>
      <c r="EQH174" s="12"/>
      <c r="EQQ174" s="11"/>
      <c r="EQR174" s="12"/>
      <c r="ERA174" s="11"/>
      <c r="ERB174" s="12"/>
      <c r="ERK174" s="11"/>
      <c r="ERL174" s="12"/>
      <c r="ERU174" s="11"/>
      <c r="ERV174" s="12"/>
      <c r="ESE174" s="11"/>
      <c r="ESF174" s="12"/>
      <c r="ESO174" s="11"/>
      <c r="ESP174" s="12"/>
      <c r="ESY174" s="11"/>
      <c r="ESZ174" s="12"/>
      <c r="ETI174" s="11"/>
      <c r="ETJ174" s="12"/>
      <c r="ETS174" s="11"/>
      <c r="ETT174" s="12"/>
      <c r="EUC174" s="11"/>
      <c r="EUD174" s="12"/>
      <c r="EUM174" s="11"/>
      <c r="EUN174" s="12"/>
      <c r="EUW174" s="11"/>
      <c r="EUX174" s="12"/>
      <c r="EVG174" s="11"/>
      <c r="EVH174" s="12"/>
      <c r="EVQ174" s="11"/>
      <c r="EVR174" s="12"/>
      <c r="EWA174" s="11"/>
      <c r="EWB174" s="12"/>
      <c r="EWK174" s="11"/>
      <c r="EWL174" s="12"/>
      <c r="EWU174" s="11"/>
      <c r="EWV174" s="12"/>
      <c r="EXE174" s="11"/>
      <c r="EXF174" s="12"/>
      <c r="EXO174" s="11"/>
      <c r="EXP174" s="12"/>
      <c r="EXY174" s="11"/>
      <c r="EXZ174" s="12"/>
      <c r="EYI174" s="11"/>
      <c r="EYJ174" s="12"/>
      <c r="EYS174" s="11"/>
      <c r="EYT174" s="12"/>
      <c r="EZC174" s="11"/>
      <c r="EZD174" s="12"/>
      <c r="EZM174" s="11"/>
      <c r="EZN174" s="12"/>
      <c r="EZW174" s="11"/>
      <c r="EZX174" s="12"/>
      <c r="FAG174" s="11"/>
      <c r="FAH174" s="12"/>
      <c r="FAQ174" s="11"/>
      <c r="FAR174" s="12"/>
      <c r="FBA174" s="11"/>
      <c r="FBB174" s="12"/>
      <c r="FBK174" s="11"/>
      <c r="FBL174" s="12"/>
      <c r="FBU174" s="11"/>
      <c r="FBV174" s="12"/>
      <c r="FCE174" s="11"/>
      <c r="FCF174" s="12"/>
      <c r="FCO174" s="11"/>
      <c r="FCP174" s="12"/>
      <c r="FCY174" s="11"/>
      <c r="FCZ174" s="12"/>
      <c r="FDI174" s="11"/>
      <c r="FDJ174" s="12"/>
      <c r="FDS174" s="11"/>
      <c r="FDT174" s="12"/>
      <c r="FEC174" s="11"/>
      <c r="FED174" s="12"/>
      <c r="FEM174" s="11"/>
      <c r="FEN174" s="12"/>
      <c r="FEW174" s="11"/>
      <c r="FEX174" s="12"/>
      <c r="FFG174" s="11"/>
      <c r="FFH174" s="12"/>
      <c r="FFQ174" s="11"/>
      <c r="FFR174" s="12"/>
      <c r="FGA174" s="11"/>
      <c r="FGB174" s="12"/>
      <c r="FGK174" s="11"/>
      <c r="FGL174" s="12"/>
      <c r="FGU174" s="11"/>
      <c r="FGV174" s="12"/>
      <c r="FHE174" s="11"/>
      <c r="FHF174" s="12"/>
      <c r="FHO174" s="11"/>
      <c r="FHP174" s="12"/>
      <c r="FHY174" s="11"/>
      <c r="FHZ174" s="12"/>
      <c r="FII174" s="11"/>
      <c r="FIJ174" s="12"/>
      <c r="FIS174" s="11"/>
      <c r="FIT174" s="12"/>
      <c r="FJC174" s="11"/>
      <c r="FJD174" s="12"/>
      <c r="FJM174" s="11"/>
      <c r="FJN174" s="12"/>
      <c r="FJW174" s="11"/>
      <c r="FJX174" s="12"/>
      <c r="FKG174" s="11"/>
      <c r="FKH174" s="12"/>
      <c r="FKQ174" s="11"/>
      <c r="FKR174" s="12"/>
      <c r="FLA174" s="11"/>
      <c r="FLB174" s="12"/>
      <c r="FLK174" s="11"/>
      <c r="FLL174" s="12"/>
      <c r="FLU174" s="11"/>
      <c r="FLV174" s="12"/>
      <c r="FME174" s="11"/>
      <c r="FMF174" s="12"/>
      <c r="FMO174" s="11"/>
      <c r="FMP174" s="12"/>
      <c r="FMY174" s="11"/>
      <c r="FMZ174" s="12"/>
      <c r="FNI174" s="11"/>
      <c r="FNJ174" s="12"/>
      <c r="FNS174" s="11"/>
      <c r="FNT174" s="12"/>
      <c r="FOC174" s="11"/>
      <c r="FOD174" s="12"/>
      <c r="FOM174" s="11"/>
      <c r="FON174" s="12"/>
      <c r="FOW174" s="11"/>
      <c r="FOX174" s="12"/>
      <c r="FPG174" s="11"/>
      <c r="FPH174" s="12"/>
      <c r="FPQ174" s="11"/>
      <c r="FPR174" s="12"/>
      <c r="FQA174" s="11"/>
      <c r="FQB174" s="12"/>
      <c r="FQK174" s="11"/>
      <c r="FQL174" s="12"/>
      <c r="FQU174" s="11"/>
      <c r="FQV174" s="12"/>
      <c r="FRE174" s="11"/>
      <c r="FRF174" s="12"/>
      <c r="FRO174" s="11"/>
      <c r="FRP174" s="12"/>
      <c r="FRY174" s="11"/>
      <c r="FRZ174" s="12"/>
      <c r="FSI174" s="11"/>
      <c r="FSJ174" s="12"/>
      <c r="FSS174" s="11"/>
      <c r="FST174" s="12"/>
      <c r="FTC174" s="11"/>
      <c r="FTD174" s="12"/>
      <c r="FTM174" s="11"/>
      <c r="FTN174" s="12"/>
      <c r="FTW174" s="11"/>
      <c r="FTX174" s="12"/>
      <c r="FUG174" s="11"/>
      <c r="FUH174" s="12"/>
      <c r="FUQ174" s="11"/>
      <c r="FUR174" s="12"/>
      <c r="FVA174" s="11"/>
      <c r="FVB174" s="12"/>
      <c r="FVK174" s="11"/>
      <c r="FVL174" s="12"/>
      <c r="FVU174" s="11"/>
      <c r="FVV174" s="12"/>
      <c r="FWE174" s="11"/>
      <c r="FWF174" s="12"/>
      <c r="FWO174" s="11"/>
      <c r="FWP174" s="12"/>
      <c r="FWY174" s="11"/>
      <c r="FWZ174" s="12"/>
      <c r="FXI174" s="11"/>
      <c r="FXJ174" s="12"/>
      <c r="FXS174" s="11"/>
      <c r="FXT174" s="12"/>
      <c r="FYC174" s="11"/>
      <c r="FYD174" s="12"/>
      <c r="FYM174" s="11"/>
      <c r="FYN174" s="12"/>
      <c r="FYW174" s="11"/>
      <c r="FYX174" s="12"/>
      <c r="FZG174" s="11"/>
      <c r="FZH174" s="12"/>
      <c r="FZQ174" s="11"/>
      <c r="FZR174" s="12"/>
      <c r="GAA174" s="11"/>
      <c r="GAB174" s="12"/>
      <c r="GAK174" s="11"/>
      <c r="GAL174" s="12"/>
      <c r="GAU174" s="11"/>
      <c r="GAV174" s="12"/>
      <c r="GBE174" s="11"/>
      <c r="GBF174" s="12"/>
      <c r="GBO174" s="11"/>
      <c r="GBP174" s="12"/>
      <c r="GBY174" s="11"/>
      <c r="GBZ174" s="12"/>
      <c r="GCI174" s="11"/>
      <c r="GCJ174" s="12"/>
      <c r="GCS174" s="11"/>
      <c r="GCT174" s="12"/>
      <c r="GDC174" s="11"/>
      <c r="GDD174" s="12"/>
      <c r="GDM174" s="11"/>
      <c r="GDN174" s="12"/>
      <c r="GDW174" s="11"/>
      <c r="GDX174" s="12"/>
      <c r="GEG174" s="11"/>
      <c r="GEH174" s="12"/>
      <c r="GEQ174" s="11"/>
      <c r="GER174" s="12"/>
      <c r="GFA174" s="11"/>
      <c r="GFB174" s="12"/>
      <c r="GFK174" s="11"/>
      <c r="GFL174" s="12"/>
      <c r="GFU174" s="11"/>
      <c r="GFV174" s="12"/>
      <c r="GGE174" s="11"/>
      <c r="GGF174" s="12"/>
      <c r="GGO174" s="11"/>
      <c r="GGP174" s="12"/>
      <c r="GGY174" s="11"/>
      <c r="GGZ174" s="12"/>
      <c r="GHI174" s="11"/>
      <c r="GHJ174" s="12"/>
      <c r="GHS174" s="11"/>
      <c r="GHT174" s="12"/>
      <c r="GIC174" s="11"/>
      <c r="GID174" s="12"/>
      <c r="GIM174" s="11"/>
      <c r="GIN174" s="12"/>
      <c r="GIW174" s="11"/>
      <c r="GIX174" s="12"/>
      <c r="GJG174" s="11"/>
      <c r="GJH174" s="12"/>
      <c r="GJQ174" s="11"/>
      <c r="GJR174" s="12"/>
      <c r="GKA174" s="11"/>
      <c r="GKB174" s="12"/>
      <c r="GKK174" s="11"/>
      <c r="GKL174" s="12"/>
      <c r="GKU174" s="11"/>
      <c r="GKV174" s="12"/>
      <c r="GLE174" s="11"/>
      <c r="GLF174" s="12"/>
      <c r="GLO174" s="11"/>
      <c r="GLP174" s="12"/>
      <c r="GLY174" s="11"/>
      <c r="GLZ174" s="12"/>
      <c r="GMI174" s="11"/>
      <c r="GMJ174" s="12"/>
      <c r="GMS174" s="11"/>
      <c r="GMT174" s="12"/>
      <c r="GNC174" s="11"/>
      <c r="GND174" s="12"/>
      <c r="GNM174" s="11"/>
      <c r="GNN174" s="12"/>
      <c r="GNW174" s="11"/>
      <c r="GNX174" s="12"/>
      <c r="GOG174" s="11"/>
      <c r="GOH174" s="12"/>
      <c r="GOQ174" s="11"/>
      <c r="GOR174" s="12"/>
      <c r="GPA174" s="11"/>
      <c r="GPB174" s="12"/>
      <c r="GPK174" s="11"/>
      <c r="GPL174" s="12"/>
      <c r="GPU174" s="11"/>
      <c r="GPV174" s="12"/>
      <c r="GQE174" s="11"/>
      <c r="GQF174" s="12"/>
      <c r="GQO174" s="11"/>
      <c r="GQP174" s="12"/>
      <c r="GQY174" s="11"/>
      <c r="GQZ174" s="12"/>
      <c r="GRI174" s="11"/>
      <c r="GRJ174" s="12"/>
      <c r="GRS174" s="11"/>
      <c r="GRT174" s="12"/>
      <c r="GSC174" s="11"/>
      <c r="GSD174" s="12"/>
      <c r="GSM174" s="11"/>
      <c r="GSN174" s="12"/>
      <c r="GSW174" s="11"/>
      <c r="GSX174" s="12"/>
      <c r="GTG174" s="11"/>
      <c r="GTH174" s="12"/>
      <c r="GTQ174" s="11"/>
      <c r="GTR174" s="12"/>
      <c r="GUA174" s="11"/>
      <c r="GUB174" s="12"/>
      <c r="GUK174" s="11"/>
      <c r="GUL174" s="12"/>
      <c r="GUU174" s="11"/>
      <c r="GUV174" s="12"/>
      <c r="GVE174" s="11"/>
      <c r="GVF174" s="12"/>
      <c r="GVO174" s="11"/>
      <c r="GVP174" s="12"/>
      <c r="GVY174" s="11"/>
      <c r="GVZ174" s="12"/>
      <c r="GWI174" s="11"/>
      <c r="GWJ174" s="12"/>
      <c r="GWS174" s="11"/>
      <c r="GWT174" s="12"/>
      <c r="GXC174" s="11"/>
      <c r="GXD174" s="12"/>
      <c r="GXM174" s="11"/>
      <c r="GXN174" s="12"/>
      <c r="GXW174" s="11"/>
      <c r="GXX174" s="12"/>
      <c r="GYG174" s="11"/>
      <c r="GYH174" s="12"/>
      <c r="GYQ174" s="11"/>
      <c r="GYR174" s="12"/>
      <c r="GZA174" s="11"/>
      <c r="GZB174" s="12"/>
      <c r="GZK174" s="11"/>
      <c r="GZL174" s="12"/>
      <c r="GZU174" s="11"/>
      <c r="GZV174" s="12"/>
      <c r="HAE174" s="11"/>
      <c r="HAF174" s="12"/>
      <c r="HAO174" s="11"/>
      <c r="HAP174" s="12"/>
      <c r="HAY174" s="11"/>
      <c r="HAZ174" s="12"/>
      <c r="HBI174" s="11"/>
      <c r="HBJ174" s="12"/>
      <c r="HBS174" s="11"/>
      <c r="HBT174" s="12"/>
      <c r="HCC174" s="11"/>
      <c r="HCD174" s="12"/>
      <c r="HCM174" s="11"/>
      <c r="HCN174" s="12"/>
      <c r="HCW174" s="11"/>
      <c r="HCX174" s="12"/>
      <c r="HDG174" s="11"/>
      <c r="HDH174" s="12"/>
      <c r="HDQ174" s="11"/>
      <c r="HDR174" s="12"/>
      <c r="HEA174" s="11"/>
      <c r="HEB174" s="12"/>
      <c r="HEK174" s="11"/>
      <c r="HEL174" s="12"/>
      <c r="HEU174" s="11"/>
      <c r="HEV174" s="12"/>
      <c r="HFE174" s="11"/>
      <c r="HFF174" s="12"/>
      <c r="HFO174" s="11"/>
      <c r="HFP174" s="12"/>
      <c r="HFY174" s="11"/>
      <c r="HFZ174" s="12"/>
      <c r="HGI174" s="11"/>
      <c r="HGJ174" s="12"/>
      <c r="HGS174" s="11"/>
      <c r="HGT174" s="12"/>
      <c r="HHC174" s="11"/>
      <c r="HHD174" s="12"/>
      <c r="HHM174" s="11"/>
      <c r="HHN174" s="12"/>
      <c r="HHW174" s="11"/>
      <c r="HHX174" s="12"/>
      <c r="HIG174" s="11"/>
      <c r="HIH174" s="12"/>
      <c r="HIQ174" s="11"/>
      <c r="HIR174" s="12"/>
      <c r="HJA174" s="11"/>
      <c r="HJB174" s="12"/>
      <c r="HJK174" s="11"/>
      <c r="HJL174" s="12"/>
      <c r="HJU174" s="11"/>
      <c r="HJV174" s="12"/>
      <c r="HKE174" s="11"/>
      <c r="HKF174" s="12"/>
      <c r="HKO174" s="11"/>
      <c r="HKP174" s="12"/>
      <c r="HKY174" s="11"/>
      <c r="HKZ174" s="12"/>
      <c r="HLI174" s="11"/>
      <c r="HLJ174" s="12"/>
      <c r="HLS174" s="11"/>
      <c r="HLT174" s="12"/>
      <c r="HMC174" s="11"/>
      <c r="HMD174" s="12"/>
      <c r="HMM174" s="11"/>
      <c r="HMN174" s="12"/>
      <c r="HMW174" s="11"/>
      <c r="HMX174" s="12"/>
      <c r="HNG174" s="11"/>
      <c r="HNH174" s="12"/>
      <c r="HNQ174" s="11"/>
      <c r="HNR174" s="12"/>
      <c r="HOA174" s="11"/>
      <c r="HOB174" s="12"/>
      <c r="HOK174" s="11"/>
      <c r="HOL174" s="12"/>
      <c r="HOU174" s="11"/>
      <c r="HOV174" s="12"/>
      <c r="HPE174" s="11"/>
      <c r="HPF174" s="12"/>
      <c r="HPO174" s="11"/>
      <c r="HPP174" s="12"/>
      <c r="HPY174" s="11"/>
      <c r="HPZ174" s="12"/>
      <c r="HQI174" s="11"/>
      <c r="HQJ174" s="12"/>
      <c r="HQS174" s="11"/>
      <c r="HQT174" s="12"/>
      <c r="HRC174" s="11"/>
      <c r="HRD174" s="12"/>
      <c r="HRM174" s="11"/>
      <c r="HRN174" s="12"/>
      <c r="HRW174" s="11"/>
      <c r="HRX174" s="12"/>
      <c r="HSG174" s="11"/>
      <c r="HSH174" s="12"/>
      <c r="HSQ174" s="11"/>
      <c r="HSR174" s="12"/>
      <c r="HTA174" s="11"/>
      <c r="HTB174" s="12"/>
      <c r="HTK174" s="11"/>
      <c r="HTL174" s="12"/>
      <c r="HTU174" s="11"/>
      <c r="HTV174" s="12"/>
      <c r="HUE174" s="11"/>
      <c r="HUF174" s="12"/>
      <c r="HUO174" s="11"/>
      <c r="HUP174" s="12"/>
      <c r="HUY174" s="11"/>
      <c r="HUZ174" s="12"/>
      <c r="HVI174" s="11"/>
      <c r="HVJ174" s="12"/>
      <c r="HVS174" s="11"/>
      <c r="HVT174" s="12"/>
      <c r="HWC174" s="11"/>
      <c r="HWD174" s="12"/>
      <c r="HWM174" s="11"/>
      <c r="HWN174" s="12"/>
      <c r="HWW174" s="11"/>
      <c r="HWX174" s="12"/>
      <c r="HXG174" s="11"/>
      <c r="HXH174" s="12"/>
      <c r="HXQ174" s="11"/>
      <c r="HXR174" s="12"/>
      <c r="HYA174" s="11"/>
      <c r="HYB174" s="12"/>
      <c r="HYK174" s="11"/>
      <c r="HYL174" s="12"/>
      <c r="HYU174" s="11"/>
      <c r="HYV174" s="12"/>
      <c r="HZE174" s="11"/>
      <c r="HZF174" s="12"/>
      <c r="HZO174" s="11"/>
      <c r="HZP174" s="12"/>
      <c r="HZY174" s="11"/>
      <c r="HZZ174" s="12"/>
      <c r="IAI174" s="11"/>
      <c r="IAJ174" s="12"/>
      <c r="IAS174" s="11"/>
      <c r="IAT174" s="12"/>
      <c r="IBC174" s="11"/>
      <c r="IBD174" s="12"/>
      <c r="IBM174" s="11"/>
      <c r="IBN174" s="12"/>
      <c r="IBW174" s="11"/>
      <c r="IBX174" s="12"/>
      <c r="ICG174" s="11"/>
      <c r="ICH174" s="12"/>
      <c r="ICQ174" s="11"/>
      <c r="ICR174" s="12"/>
      <c r="IDA174" s="11"/>
      <c r="IDB174" s="12"/>
      <c r="IDK174" s="11"/>
      <c r="IDL174" s="12"/>
      <c r="IDU174" s="11"/>
      <c r="IDV174" s="12"/>
      <c r="IEE174" s="11"/>
      <c r="IEF174" s="12"/>
      <c r="IEO174" s="11"/>
      <c r="IEP174" s="12"/>
      <c r="IEY174" s="11"/>
      <c r="IEZ174" s="12"/>
      <c r="IFI174" s="11"/>
      <c r="IFJ174" s="12"/>
      <c r="IFS174" s="11"/>
      <c r="IFT174" s="12"/>
      <c r="IGC174" s="11"/>
      <c r="IGD174" s="12"/>
      <c r="IGM174" s="11"/>
      <c r="IGN174" s="12"/>
      <c r="IGW174" s="11"/>
      <c r="IGX174" s="12"/>
      <c r="IHG174" s="11"/>
      <c r="IHH174" s="12"/>
      <c r="IHQ174" s="11"/>
      <c r="IHR174" s="12"/>
      <c r="IIA174" s="11"/>
      <c r="IIB174" s="12"/>
      <c r="IIK174" s="11"/>
      <c r="IIL174" s="12"/>
      <c r="IIU174" s="11"/>
      <c r="IIV174" s="12"/>
      <c r="IJE174" s="11"/>
      <c r="IJF174" s="12"/>
      <c r="IJO174" s="11"/>
      <c r="IJP174" s="12"/>
      <c r="IJY174" s="11"/>
      <c r="IJZ174" s="12"/>
      <c r="IKI174" s="11"/>
      <c r="IKJ174" s="12"/>
      <c r="IKS174" s="11"/>
      <c r="IKT174" s="12"/>
      <c r="ILC174" s="11"/>
      <c r="ILD174" s="12"/>
      <c r="ILM174" s="11"/>
      <c r="ILN174" s="12"/>
      <c r="ILW174" s="11"/>
      <c r="ILX174" s="12"/>
      <c r="IMG174" s="11"/>
      <c r="IMH174" s="12"/>
      <c r="IMQ174" s="11"/>
      <c r="IMR174" s="12"/>
      <c r="INA174" s="11"/>
      <c r="INB174" s="12"/>
      <c r="INK174" s="11"/>
      <c r="INL174" s="12"/>
      <c r="INU174" s="11"/>
      <c r="INV174" s="12"/>
      <c r="IOE174" s="11"/>
      <c r="IOF174" s="12"/>
      <c r="IOO174" s="11"/>
      <c r="IOP174" s="12"/>
      <c r="IOY174" s="11"/>
      <c r="IOZ174" s="12"/>
      <c r="IPI174" s="11"/>
      <c r="IPJ174" s="12"/>
      <c r="IPS174" s="11"/>
      <c r="IPT174" s="12"/>
      <c r="IQC174" s="11"/>
      <c r="IQD174" s="12"/>
      <c r="IQM174" s="11"/>
      <c r="IQN174" s="12"/>
      <c r="IQW174" s="11"/>
      <c r="IQX174" s="12"/>
      <c r="IRG174" s="11"/>
      <c r="IRH174" s="12"/>
      <c r="IRQ174" s="11"/>
      <c r="IRR174" s="12"/>
      <c r="ISA174" s="11"/>
      <c r="ISB174" s="12"/>
      <c r="ISK174" s="11"/>
      <c r="ISL174" s="12"/>
      <c r="ISU174" s="11"/>
      <c r="ISV174" s="12"/>
      <c r="ITE174" s="11"/>
      <c r="ITF174" s="12"/>
      <c r="ITO174" s="11"/>
      <c r="ITP174" s="12"/>
      <c r="ITY174" s="11"/>
      <c r="ITZ174" s="12"/>
      <c r="IUI174" s="11"/>
      <c r="IUJ174" s="12"/>
      <c r="IUS174" s="11"/>
      <c r="IUT174" s="12"/>
      <c r="IVC174" s="11"/>
      <c r="IVD174" s="12"/>
      <c r="IVM174" s="11"/>
      <c r="IVN174" s="12"/>
      <c r="IVW174" s="11"/>
      <c r="IVX174" s="12"/>
      <c r="IWG174" s="11"/>
      <c r="IWH174" s="12"/>
      <c r="IWQ174" s="11"/>
      <c r="IWR174" s="12"/>
      <c r="IXA174" s="11"/>
      <c r="IXB174" s="12"/>
      <c r="IXK174" s="11"/>
      <c r="IXL174" s="12"/>
      <c r="IXU174" s="11"/>
      <c r="IXV174" s="12"/>
      <c r="IYE174" s="11"/>
      <c r="IYF174" s="12"/>
      <c r="IYO174" s="11"/>
      <c r="IYP174" s="12"/>
      <c r="IYY174" s="11"/>
      <c r="IYZ174" s="12"/>
      <c r="IZI174" s="11"/>
      <c r="IZJ174" s="12"/>
      <c r="IZS174" s="11"/>
      <c r="IZT174" s="12"/>
      <c r="JAC174" s="11"/>
      <c r="JAD174" s="12"/>
      <c r="JAM174" s="11"/>
      <c r="JAN174" s="12"/>
      <c r="JAW174" s="11"/>
      <c r="JAX174" s="12"/>
      <c r="JBG174" s="11"/>
      <c r="JBH174" s="12"/>
      <c r="JBQ174" s="11"/>
      <c r="JBR174" s="12"/>
      <c r="JCA174" s="11"/>
      <c r="JCB174" s="12"/>
      <c r="JCK174" s="11"/>
      <c r="JCL174" s="12"/>
      <c r="JCU174" s="11"/>
      <c r="JCV174" s="12"/>
      <c r="JDE174" s="11"/>
      <c r="JDF174" s="12"/>
      <c r="JDO174" s="11"/>
      <c r="JDP174" s="12"/>
      <c r="JDY174" s="11"/>
      <c r="JDZ174" s="12"/>
      <c r="JEI174" s="11"/>
      <c r="JEJ174" s="12"/>
      <c r="JES174" s="11"/>
      <c r="JET174" s="12"/>
      <c r="JFC174" s="11"/>
      <c r="JFD174" s="12"/>
      <c r="JFM174" s="11"/>
      <c r="JFN174" s="12"/>
      <c r="JFW174" s="11"/>
      <c r="JFX174" s="12"/>
      <c r="JGG174" s="11"/>
      <c r="JGH174" s="12"/>
      <c r="JGQ174" s="11"/>
      <c r="JGR174" s="12"/>
      <c r="JHA174" s="11"/>
      <c r="JHB174" s="12"/>
      <c r="JHK174" s="11"/>
      <c r="JHL174" s="12"/>
      <c r="JHU174" s="11"/>
      <c r="JHV174" s="12"/>
      <c r="JIE174" s="11"/>
      <c r="JIF174" s="12"/>
      <c r="JIO174" s="11"/>
      <c r="JIP174" s="12"/>
      <c r="JIY174" s="11"/>
      <c r="JIZ174" s="12"/>
      <c r="JJI174" s="11"/>
      <c r="JJJ174" s="12"/>
      <c r="JJS174" s="11"/>
      <c r="JJT174" s="12"/>
      <c r="JKC174" s="11"/>
      <c r="JKD174" s="12"/>
      <c r="JKM174" s="11"/>
      <c r="JKN174" s="12"/>
      <c r="JKW174" s="11"/>
      <c r="JKX174" s="12"/>
      <c r="JLG174" s="11"/>
      <c r="JLH174" s="12"/>
      <c r="JLQ174" s="11"/>
      <c r="JLR174" s="12"/>
      <c r="JMA174" s="11"/>
      <c r="JMB174" s="12"/>
      <c r="JMK174" s="11"/>
      <c r="JML174" s="12"/>
      <c r="JMU174" s="11"/>
      <c r="JMV174" s="12"/>
      <c r="JNE174" s="11"/>
      <c r="JNF174" s="12"/>
      <c r="JNO174" s="11"/>
      <c r="JNP174" s="12"/>
      <c r="JNY174" s="11"/>
      <c r="JNZ174" s="12"/>
      <c r="JOI174" s="11"/>
      <c r="JOJ174" s="12"/>
      <c r="JOS174" s="11"/>
      <c r="JOT174" s="12"/>
      <c r="JPC174" s="11"/>
      <c r="JPD174" s="12"/>
      <c r="JPM174" s="11"/>
      <c r="JPN174" s="12"/>
      <c r="JPW174" s="11"/>
      <c r="JPX174" s="12"/>
      <c r="JQG174" s="11"/>
      <c r="JQH174" s="12"/>
      <c r="JQQ174" s="11"/>
      <c r="JQR174" s="12"/>
      <c r="JRA174" s="11"/>
      <c r="JRB174" s="12"/>
      <c r="JRK174" s="11"/>
      <c r="JRL174" s="12"/>
      <c r="JRU174" s="11"/>
      <c r="JRV174" s="12"/>
      <c r="JSE174" s="11"/>
      <c r="JSF174" s="12"/>
      <c r="JSO174" s="11"/>
      <c r="JSP174" s="12"/>
      <c r="JSY174" s="11"/>
      <c r="JSZ174" s="12"/>
      <c r="JTI174" s="11"/>
      <c r="JTJ174" s="12"/>
      <c r="JTS174" s="11"/>
      <c r="JTT174" s="12"/>
      <c r="JUC174" s="11"/>
      <c r="JUD174" s="12"/>
      <c r="JUM174" s="11"/>
      <c r="JUN174" s="12"/>
      <c r="JUW174" s="11"/>
      <c r="JUX174" s="12"/>
      <c r="JVG174" s="11"/>
      <c r="JVH174" s="12"/>
      <c r="JVQ174" s="11"/>
      <c r="JVR174" s="12"/>
      <c r="JWA174" s="11"/>
      <c r="JWB174" s="12"/>
      <c r="JWK174" s="11"/>
      <c r="JWL174" s="12"/>
      <c r="JWU174" s="11"/>
      <c r="JWV174" s="12"/>
      <c r="JXE174" s="11"/>
      <c r="JXF174" s="12"/>
      <c r="JXO174" s="11"/>
      <c r="JXP174" s="12"/>
      <c r="JXY174" s="11"/>
      <c r="JXZ174" s="12"/>
      <c r="JYI174" s="11"/>
      <c r="JYJ174" s="12"/>
      <c r="JYS174" s="11"/>
      <c r="JYT174" s="12"/>
      <c r="JZC174" s="11"/>
      <c r="JZD174" s="12"/>
      <c r="JZM174" s="11"/>
      <c r="JZN174" s="12"/>
      <c r="JZW174" s="11"/>
      <c r="JZX174" s="12"/>
      <c r="KAG174" s="11"/>
      <c r="KAH174" s="12"/>
      <c r="KAQ174" s="11"/>
      <c r="KAR174" s="12"/>
      <c r="KBA174" s="11"/>
      <c r="KBB174" s="12"/>
      <c r="KBK174" s="11"/>
      <c r="KBL174" s="12"/>
      <c r="KBU174" s="11"/>
      <c r="KBV174" s="12"/>
      <c r="KCE174" s="11"/>
      <c r="KCF174" s="12"/>
      <c r="KCO174" s="11"/>
      <c r="KCP174" s="12"/>
      <c r="KCY174" s="11"/>
      <c r="KCZ174" s="12"/>
      <c r="KDI174" s="11"/>
      <c r="KDJ174" s="12"/>
      <c r="KDS174" s="11"/>
      <c r="KDT174" s="12"/>
      <c r="KEC174" s="11"/>
      <c r="KED174" s="12"/>
      <c r="KEM174" s="11"/>
      <c r="KEN174" s="12"/>
      <c r="KEW174" s="11"/>
      <c r="KEX174" s="12"/>
      <c r="KFG174" s="11"/>
      <c r="KFH174" s="12"/>
      <c r="KFQ174" s="11"/>
      <c r="KFR174" s="12"/>
      <c r="KGA174" s="11"/>
      <c r="KGB174" s="12"/>
      <c r="KGK174" s="11"/>
      <c r="KGL174" s="12"/>
      <c r="KGU174" s="11"/>
      <c r="KGV174" s="12"/>
      <c r="KHE174" s="11"/>
      <c r="KHF174" s="12"/>
      <c r="KHO174" s="11"/>
      <c r="KHP174" s="12"/>
      <c r="KHY174" s="11"/>
      <c r="KHZ174" s="12"/>
      <c r="KII174" s="11"/>
      <c r="KIJ174" s="12"/>
      <c r="KIS174" s="11"/>
      <c r="KIT174" s="12"/>
      <c r="KJC174" s="11"/>
      <c r="KJD174" s="12"/>
      <c r="KJM174" s="11"/>
      <c r="KJN174" s="12"/>
      <c r="KJW174" s="11"/>
      <c r="KJX174" s="12"/>
      <c r="KKG174" s="11"/>
      <c r="KKH174" s="12"/>
      <c r="KKQ174" s="11"/>
      <c r="KKR174" s="12"/>
      <c r="KLA174" s="11"/>
      <c r="KLB174" s="12"/>
      <c r="KLK174" s="11"/>
      <c r="KLL174" s="12"/>
      <c r="KLU174" s="11"/>
      <c r="KLV174" s="12"/>
      <c r="KME174" s="11"/>
      <c r="KMF174" s="12"/>
      <c r="KMO174" s="11"/>
      <c r="KMP174" s="12"/>
      <c r="KMY174" s="11"/>
      <c r="KMZ174" s="12"/>
      <c r="KNI174" s="11"/>
      <c r="KNJ174" s="12"/>
      <c r="KNS174" s="11"/>
      <c r="KNT174" s="12"/>
      <c r="KOC174" s="11"/>
      <c r="KOD174" s="12"/>
      <c r="KOM174" s="11"/>
      <c r="KON174" s="12"/>
      <c r="KOW174" s="11"/>
      <c r="KOX174" s="12"/>
      <c r="KPG174" s="11"/>
      <c r="KPH174" s="12"/>
      <c r="KPQ174" s="11"/>
      <c r="KPR174" s="12"/>
      <c r="KQA174" s="11"/>
      <c r="KQB174" s="12"/>
      <c r="KQK174" s="11"/>
      <c r="KQL174" s="12"/>
      <c r="KQU174" s="11"/>
      <c r="KQV174" s="12"/>
      <c r="KRE174" s="11"/>
      <c r="KRF174" s="12"/>
      <c r="KRO174" s="11"/>
      <c r="KRP174" s="12"/>
      <c r="KRY174" s="11"/>
      <c r="KRZ174" s="12"/>
      <c r="KSI174" s="11"/>
      <c r="KSJ174" s="12"/>
      <c r="KSS174" s="11"/>
      <c r="KST174" s="12"/>
      <c r="KTC174" s="11"/>
      <c r="KTD174" s="12"/>
      <c r="KTM174" s="11"/>
      <c r="KTN174" s="12"/>
      <c r="KTW174" s="11"/>
      <c r="KTX174" s="12"/>
      <c r="KUG174" s="11"/>
      <c r="KUH174" s="12"/>
      <c r="KUQ174" s="11"/>
      <c r="KUR174" s="12"/>
      <c r="KVA174" s="11"/>
      <c r="KVB174" s="12"/>
      <c r="KVK174" s="11"/>
      <c r="KVL174" s="12"/>
      <c r="KVU174" s="11"/>
      <c r="KVV174" s="12"/>
      <c r="KWE174" s="11"/>
      <c r="KWF174" s="12"/>
      <c r="KWO174" s="11"/>
      <c r="KWP174" s="12"/>
      <c r="KWY174" s="11"/>
      <c r="KWZ174" s="12"/>
      <c r="KXI174" s="11"/>
      <c r="KXJ174" s="12"/>
      <c r="KXS174" s="11"/>
      <c r="KXT174" s="12"/>
      <c r="KYC174" s="11"/>
      <c r="KYD174" s="12"/>
      <c r="KYM174" s="11"/>
      <c r="KYN174" s="12"/>
      <c r="KYW174" s="11"/>
      <c r="KYX174" s="12"/>
      <c r="KZG174" s="11"/>
      <c r="KZH174" s="12"/>
      <c r="KZQ174" s="11"/>
      <c r="KZR174" s="12"/>
      <c r="LAA174" s="11"/>
      <c r="LAB174" s="12"/>
      <c r="LAK174" s="11"/>
      <c r="LAL174" s="12"/>
      <c r="LAU174" s="11"/>
      <c r="LAV174" s="12"/>
      <c r="LBE174" s="11"/>
      <c r="LBF174" s="12"/>
      <c r="LBO174" s="11"/>
      <c r="LBP174" s="12"/>
      <c r="LBY174" s="11"/>
      <c r="LBZ174" s="12"/>
      <c r="LCI174" s="11"/>
      <c r="LCJ174" s="12"/>
      <c r="LCS174" s="11"/>
      <c r="LCT174" s="12"/>
      <c r="LDC174" s="11"/>
      <c r="LDD174" s="12"/>
      <c r="LDM174" s="11"/>
      <c r="LDN174" s="12"/>
      <c r="LDW174" s="11"/>
      <c r="LDX174" s="12"/>
      <c r="LEG174" s="11"/>
      <c r="LEH174" s="12"/>
      <c r="LEQ174" s="11"/>
      <c r="LER174" s="12"/>
      <c r="LFA174" s="11"/>
      <c r="LFB174" s="12"/>
      <c r="LFK174" s="11"/>
      <c r="LFL174" s="12"/>
      <c r="LFU174" s="11"/>
      <c r="LFV174" s="12"/>
      <c r="LGE174" s="11"/>
      <c r="LGF174" s="12"/>
      <c r="LGO174" s="11"/>
      <c r="LGP174" s="12"/>
      <c r="LGY174" s="11"/>
      <c r="LGZ174" s="12"/>
      <c r="LHI174" s="11"/>
      <c r="LHJ174" s="12"/>
      <c r="LHS174" s="11"/>
      <c r="LHT174" s="12"/>
      <c r="LIC174" s="11"/>
      <c r="LID174" s="12"/>
      <c r="LIM174" s="11"/>
      <c r="LIN174" s="12"/>
      <c r="LIW174" s="11"/>
      <c r="LIX174" s="12"/>
      <c r="LJG174" s="11"/>
      <c r="LJH174" s="12"/>
      <c r="LJQ174" s="11"/>
      <c r="LJR174" s="12"/>
      <c r="LKA174" s="11"/>
      <c r="LKB174" s="12"/>
      <c r="LKK174" s="11"/>
      <c r="LKL174" s="12"/>
      <c r="LKU174" s="11"/>
      <c r="LKV174" s="12"/>
      <c r="LLE174" s="11"/>
      <c r="LLF174" s="12"/>
      <c r="LLO174" s="11"/>
      <c r="LLP174" s="12"/>
      <c r="LLY174" s="11"/>
      <c r="LLZ174" s="12"/>
      <c r="LMI174" s="11"/>
      <c r="LMJ174" s="12"/>
      <c r="LMS174" s="11"/>
      <c r="LMT174" s="12"/>
      <c r="LNC174" s="11"/>
      <c r="LND174" s="12"/>
      <c r="LNM174" s="11"/>
      <c r="LNN174" s="12"/>
      <c r="LNW174" s="11"/>
      <c r="LNX174" s="12"/>
      <c r="LOG174" s="11"/>
      <c r="LOH174" s="12"/>
      <c r="LOQ174" s="11"/>
      <c r="LOR174" s="12"/>
      <c r="LPA174" s="11"/>
      <c r="LPB174" s="12"/>
      <c r="LPK174" s="11"/>
      <c r="LPL174" s="12"/>
      <c r="LPU174" s="11"/>
      <c r="LPV174" s="12"/>
      <c r="LQE174" s="11"/>
      <c r="LQF174" s="12"/>
      <c r="LQO174" s="11"/>
      <c r="LQP174" s="12"/>
      <c r="LQY174" s="11"/>
      <c r="LQZ174" s="12"/>
      <c r="LRI174" s="11"/>
      <c r="LRJ174" s="12"/>
      <c r="LRS174" s="11"/>
      <c r="LRT174" s="12"/>
      <c r="LSC174" s="11"/>
      <c r="LSD174" s="12"/>
      <c r="LSM174" s="11"/>
      <c r="LSN174" s="12"/>
      <c r="LSW174" s="11"/>
      <c r="LSX174" s="12"/>
      <c r="LTG174" s="11"/>
      <c r="LTH174" s="12"/>
      <c r="LTQ174" s="11"/>
      <c r="LTR174" s="12"/>
      <c r="LUA174" s="11"/>
      <c r="LUB174" s="12"/>
      <c r="LUK174" s="11"/>
      <c r="LUL174" s="12"/>
      <c r="LUU174" s="11"/>
      <c r="LUV174" s="12"/>
      <c r="LVE174" s="11"/>
      <c r="LVF174" s="12"/>
      <c r="LVO174" s="11"/>
      <c r="LVP174" s="12"/>
      <c r="LVY174" s="11"/>
      <c r="LVZ174" s="12"/>
      <c r="LWI174" s="11"/>
      <c r="LWJ174" s="12"/>
      <c r="LWS174" s="11"/>
      <c r="LWT174" s="12"/>
      <c r="LXC174" s="11"/>
      <c r="LXD174" s="12"/>
      <c r="LXM174" s="11"/>
      <c r="LXN174" s="12"/>
      <c r="LXW174" s="11"/>
      <c r="LXX174" s="12"/>
      <c r="LYG174" s="11"/>
      <c r="LYH174" s="12"/>
      <c r="LYQ174" s="11"/>
      <c r="LYR174" s="12"/>
      <c r="LZA174" s="11"/>
      <c r="LZB174" s="12"/>
      <c r="LZK174" s="11"/>
      <c r="LZL174" s="12"/>
      <c r="LZU174" s="11"/>
      <c r="LZV174" s="12"/>
      <c r="MAE174" s="11"/>
      <c r="MAF174" s="12"/>
      <c r="MAO174" s="11"/>
      <c r="MAP174" s="12"/>
      <c r="MAY174" s="11"/>
      <c r="MAZ174" s="12"/>
      <c r="MBI174" s="11"/>
      <c r="MBJ174" s="12"/>
      <c r="MBS174" s="11"/>
      <c r="MBT174" s="12"/>
      <c r="MCC174" s="11"/>
      <c r="MCD174" s="12"/>
      <c r="MCM174" s="11"/>
      <c r="MCN174" s="12"/>
      <c r="MCW174" s="11"/>
      <c r="MCX174" s="12"/>
      <c r="MDG174" s="11"/>
      <c r="MDH174" s="12"/>
      <c r="MDQ174" s="11"/>
      <c r="MDR174" s="12"/>
      <c r="MEA174" s="11"/>
      <c r="MEB174" s="12"/>
      <c r="MEK174" s="11"/>
      <c r="MEL174" s="12"/>
      <c r="MEU174" s="11"/>
      <c r="MEV174" s="12"/>
      <c r="MFE174" s="11"/>
      <c r="MFF174" s="12"/>
      <c r="MFO174" s="11"/>
      <c r="MFP174" s="12"/>
      <c r="MFY174" s="11"/>
      <c r="MFZ174" s="12"/>
      <c r="MGI174" s="11"/>
      <c r="MGJ174" s="12"/>
      <c r="MGS174" s="11"/>
      <c r="MGT174" s="12"/>
      <c r="MHC174" s="11"/>
      <c r="MHD174" s="12"/>
      <c r="MHM174" s="11"/>
      <c r="MHN174" s="12"/>
      <c r="MHW174" s="11"/>
      <c r="MHX174" s="12"/>
      <c r="MIG174" s="11"/>
      <c r="MIH174" s="12"/>
      <c r="MIQ174" s="11"/>
      <c r="MIR174" s="12"/>
      <c r="MJA174" s="11"/>
      <c r="MJB174" s="12"/>
      <c r="MJK174" s="11"/>
      <c r="MJL174" s="12"/>
      <c r="MJU174" s="11"/>
      <c r="MJV174" s="12"/>
      <c r="MKE174" s="11"/>
      <c r="MKF174" s="12"/>
      <c r="MKO174" s="11"/>
      <c r="MKP174" s="12"/>
      <c r="MKY174" s="11"/>
      <c r="MKZ174" s="12"/>
      <c r="MLI174" s="11"/>
      <c r="MLJ174" s="12"/>
      <c r="MLS174" s="11"/>
      <c r="MLT174" s="12"/>
      <c r="MMC174" s="11"/>
      <c r="MMD174" s="12"/>
      <c r="MMM174" s="11"/>
      <c r="MMN174" s="12"/>
      <c r="MMW174" s="11"/>
      <c r="MMX174" s="12"/>
      <c r="MNG174" s="11"/>
      <c r="MNH174" s="12"/>
      <c r="MNQ174" s="11"/>
      <c r="MNR174" s="12"/>
      <c r="MOA174" s="11"/>
      <c r="MOB174" s="12"/>
      <c r="MOK174" s="11"/>
      <c r="MOL174" s="12"/>
      <c r="MOU174" s="11"/>
      <c r="MOV174" s="12"/>
      <c r="MPE174" s="11"/>
      <c r="MPF174" s="12"/>
      <c r="MPO174" s="11"/>
      <c r="MPP174" s="12"/>
      <c r="MPY174" s="11"/>
      <c r="MPZ174" s="12"/>
      <c r="MQI174" s="11"/>
      <c r="MQJ174" s="12"/>
      <c r="MQS174" s="11"/>
      <c r="MQT174" s="12"/>
      <c r="MRC174" s="11"/>
      <c r="MRD174" s="12"/>
      <c r="MRM174" s="11"/>
      <c r="MRN174" s="12"/>
      <c r="MRW174" s="11"/>
      <c r="MRX174" s="12"/>
      <c r="MSG174" s="11"/>
      <c r="MSH174" s="12"/>
      <c r="MSQ174" s="11"/>
      <c r="MSR174" s="12"/>
      <c r="MTA174" s="11"/>
      <c r="MTB174" s="12"/>
      <c r="MTK174" s="11"/>
      <c r="MTL174" s="12"/>
      <c r="MTU174" s="11"/>
      <c r="MTV174" s="12"/>
      <c r="MUE174" s="11"/>
      <c r="MUF174" s="12"/>
      <c r="MUO174" s="11"/>
      <c r="MUP174" s="12"/>
      <c r="MUY174" s="11"/>
      <c r="MUZ174" s="12"/>
      <c r="MVI174" s="11"/>
      <c r="MVJ174" s="12"/>
      <c r="MVS174" s="11"/>
      <c r="MVT174" s="12"/>
      <c r="MWC174" s="11"/>
      <c r="MWD174" s="12"/>
      <c r="MWM174" s="11"/>
      <c r="MWN174" s="12"/>
      <c r="MWW174" s="11"/>
      <c r="MWX174" s="12"/>
      <c r="MXG174" s="11"/>
      <c r="MXH174" s="12"/>
      <c r="MXQ174" s="11"/>
      <c r="MXR174" s="12"/>
      <c r="MYA174" s="11"/>
      <c r="MYB174" s="12"/>
      <c r="MYK174" s="11"/>
      <c r="MYL174" s="12"/>
      <c r="MYU174" s="11"/>
      <c r="MYV174" s="12"/>
      <c r="MZE174" s="11"/>
      <c r="MZF174" s="12"/>
      <c r="MZO174" s="11"/>
      <c r="MZP174" s="12"/>
      <c r="MZY174" s="11"/>
      <c r="MZZ174" s="12"/>
      <c r="NAI174" s="11"/>
      <c r="NAJ174" s="12"/>
      <c r="NAS174" s="11"/>
      <c r="NAT174" s="12"/>
      <c r="NBC174" s="11"/>
      <c r="NBD174" s="12"/>
      <c r="NBM174" s="11"/>
      <c r="NBN174" s="12"/>
      <c r="NBW174" s="11"/>
      <c r="NBX174" s="12"/>
      <c r="NCG174" s="11"/>
      <c r="NCH174" s="12"/>
      <c r="NCQ174" s="11"/>
      <c r="NCR174" s="12"/>
      <c r="NDA174" s="11"/>
      <c r="NDB174" s="12"/>
      <c r="NDK174" s="11"/>
      <c r="NDL174" s="12"/>
      <c r="NDU174" s="11"/>
      <c r="NDV174" s="12"/>
      <c r="NEE174" s="11"/>
      <c r="NEF174" s="12"/>
      <c r="NEO174" s="11"/>
      <c r="NEP174" s="12"/>
      <c r="NEY174" s="11"/>
      <c r="NEZ174" s="12"/>
      <c r="NFI174" s="11"/>
      <c r="NFJ174" s="12"/>
      <c r="NFS174" s="11"/>
      <c r="NFT174" s="12"/>
      <c r="NGC174" s="11"/>
      <c r="NGD174" s="12"/>
      <c r="NGM174" s="11"/>
      <c r="NGN174" s="12"/>
      <c r="NGW174" s="11"/>
      <c r="NGX174" s="12"/>
      <c r="NHG174" s="11"/>
      <c r="NHH174" s="12"/>
      <c r="NHQ174" s="11"/>
      <c r="NHR174" s="12"/>
      <c r="NIA174" s="11"/>
      <c r="NIB174" s="12"/>
      <c r="NIK174" s="11"/>
      <c r="NIL174" s="12"/>
      <c r="NIU174" s="11"/>
      <c r="NIV174" s="12"/>
      <c r="NJE174" s="11"/>
      <c r="NJF174" s="12"/>
      <c r="NJO174" s="11"/>
      <c r="NJP174" s="12"/>
      <c r="NJY174" s="11"/>
      <c r="NJZ174" s="12"/>
      <c r="NKI174" s="11"/>
      <c r="NKJ174" s="12"/>
      <c r="NKS174" s="11"/>
      <c r="NKT174" s="12"/>
      <c r="NLC174" s="11"/>
      <c r="NLD174" s="12"/>
      <c r="NLM174" s="11"/>
      <c r="NLN174" s="12"/>
      <c r="NLW174" s="11"/>
      <c r="NLX174" s="12"/>
      <c r="NMG174" s="11"/>
      <c r="NMH174" s="12"/>
      <c r="NMQ174" s="11"/>
      <c r="NMR174" s="12"/>
      <c r="NNA174" s="11"/>
      <c r="NNB174" s="12"/>
      <c r="NNK174" s="11"/>
      <c r="NNL174" s="12"/>
      <c r="NNU174" s="11"/>
      <c r="NNV174" s="12"/>
      <c r="NOE174" s="11"/>
      <c r="NOF174" s="12"/>
      <c r="NOO174" s="11"/>
      <c r="NOP174" s="12"/>
      <c r="NOY174" s="11"/>
      <c r="NOZ174" s="12"/>
      <c r="NPI174" s="11"/>
      <c r="NPJ174" s="12"/>
      <c r="NPS174" s="11"/>
      <c r="NPT174" s="12"/>
      <c r="NQC174" s="11"/>
      <c r="NQD174" s="12"/>
      <c r="NQM174" s="11"/>
      <c r="NQN174" s="12"/>
      <c r="NQW174" s="11"/>
      <c r="NQX174" s="12"/>
      <c r="NRG174" s="11"/>
      <c r="NRH174" s="12"/>
      <c r="NRQ174" s="11"/>
      <c r="NRR174" s="12"/>
      <c r="NSA174" s="11"/>
      <c r="NSB174" s="12"/>
      <c r="NSK174" s="11"/>
      <c r="NSL174" s="12"/>
      <c r="NSU174" s="11"/>
      <c r="NSV174" s="12"/>
      <c r="NTE174" s="11"/>
      <c r="NTF174" s="12"/>
      <c r="NTO174" s="11"/>
      <c r="NTP174" s="12"/>
      <c r="NTY174" s="11"/>
      <c r="NTZ174" s="12"/>
      <c r="NUI174" s="11"/>
      <c r="NUJ174" s="12"/>
      <c r="NUS174" s="11"/>
      <c r="NUT174" s="12"/>
      <c r="NVC174" s="11"/>
      <c r="NVD174" s="12"/>
      <c r="NVM174" s="11"/>
      <c r="NVN174" s="12"/>
      <c r="NVW174" s="11"/>
      <c r="NVX174" s="12"/>
      <c r="NWG174" s="11"/>
      <c r="NWH174" s="12"/>
      <c r="NWQ174" s="11"/>
      <c r="NWR174" s="12"/>
      <c r="NXA174" s="11"/>
      <c r="NXB174" s="12"/>
      <c r="NXK174" s="11"/>
      <c r="NXL174" s="12"/>
      <c r="NXU174" s="11"/>
      <c r="NXV174" s="12"/>
      <c r="NYE174" s="11"/>
      <c r="NYF174" s="12"/>
      <c r="NYO174" s="11"/>
      <c r="NYP174" s="12"/>
      <c r="NYY174" s="11"/>
      <c r="NYZ174" s="12"/>
      <c r="NZI174" s="11"/>
      <c r="NZJ174" s="12"/>
      <c r="NZS174" s="11"/>
      <c r="NZT174" s="12"/>
      <c r="OAC174" s="11"/>
      <c r="OAD174" s="12"/>
      <c r="OAM174" s="11"/>
      <c r="OAN174" s="12"/>
      <c r="OAW174" s="11"/>
      <c r="OAX174" s="12"/>
      <c r="OBG174" s="11"/>
      <c r="OBH174" s="12"/>
      <c r="OBQ174" s="11"/>
      <c r="OBR174" s="12"/>
      <c r="OCA174" s="11"/>
      <c r="OCB174" s="12"/>
      <c r="OCK174" s="11"/>
      <c r="OCL174" s="12"/>
      <c r="OCU174" s="11"/>
      <c r="OCV174" s="12"/>
      <c r="ODE174" s="11"/>
      <c r="ODF174" s="12"/>
      <c r="ODO174" s="11"/>
      <c r="ODP174" s="12"/>
      <c r="ODY174" s="11"/>
      <c r="ODZ174" s="12"/>
      <c r="OEI174" s="11"/>
      <c r="OEJ174" s="12"/>
      <c r="OES174" s="11"/>
      <c r="OET174" s="12"/>
      <c r="OFC174" s="11"/>
      <c r="OFD174" s="12"/>
      <c r="OFM174" s="11"/>
      <c r="OFN174" s="12"/>
      <c r="OFW174" s="11"/>
      <c r="OFX174" s="12"/>
      <c r="OGG174" s="11"/>
      <c r="OGH174" s="12"/>
      <c r="OGQ174" s="11"/>
      <c r="OGR174" s="12"/>
      <c r="OHA174" s="11"/>
      <c r="OHB174" s="12"/>
      <c r="OHK174" s="11"/>
      <c r="OHL174" s="12"/>
      <c r="OHU174" s="11"/>
      <c r="OHV174" s="12"/>
      <c r="OIE174" s="11"/>
      <c r="OIF174" s="12"/>
      <c r="OIO174" s="11"/>
      <c r="OIP174" s="12"/>
      <c r="OIY174" s="11"/>
      <c r="OIZ174" s="12"/>
      <c r="OJI174" s="11"/>
      <c r="OJJ174" s="12"/>
      <c r="OJS174" s="11"/>
      <c r="OJT174" s="12"/>
      <c r="OKC174" s="11"/>
      <c r="OKD174" s="12"/>
      <c r="OKM174" s="11"/>
      <c r="OKN174" s="12"/>
      <c r="OKW174" s="11"/>
      <c r="OKX174" s="12"/>
      <c r="OLG174" s="11"/>
      <c r="OLH174" s="12"/>
      <c r="OLQ174" s="11"/>
      <c r="OLR174" s="12"/>
      <c r="OMA174" s="11"/>
      <c r="OMB174" s="12"/>
      <c r="OMK174" s="11"/>
      <c r="OML174" s="12"/>
      <c r="OMU174" s="11"/>
      <c r="OMV174" s="12"/>
      <c r="ONE174" s="11"/>
      <c r="ONF174" s="12"/>
      <c r="ONO174" s="11"/>
      <c r="ONP174" s="12"/>
      <c r="ONY174" s="11"/>
      <c r="ONZ174" s="12"/>
      <c r="OOI174" s="11"/>
      <c r="OOJ174" s="12"/>
      <c r="OOS174" s="11"/>
      <c r="OOT174" s="12"/>
      <c r="OPC174" s="11"/>
      <c r="OPD174" s="12"/>
      <c r="OPM174" s="11"/>
      <c r="OPN174" s="12"/>
      <c r="OPW174" s="11"/>
      <c r="OPX174" s="12"/>
      <c r="OQG174" s="11"/>
      <c r="OQH174" s="12"/>
      <c r="OQQ174" s="11"/>
      <c r="OQR174" s="12"/>
      <c r="ORA174" s="11"/>
      <c r="ORB174" s="12"/>
      <c r="ORK174" s="11"/>
      <c r="ORL174" s="12"/>
      <c r="ORU174" s="11"/>
      <c r="ORV174" s="12"/>
      <c r="OSE174" s="11"/>
      <c r="OSF174" s="12"/>
      <c r="OSO174" s="11"/>
      <c r="OSP174" s="12"/>
      <c r="OSY174" s="11"/>
      <c r="OSZ174" s="12"/>
      <c r="OTI174" s="11"/>
      <c r="OTJ174" s="12"/>
      <c r="OTS174" s="11"/>
      <c r="OTT174" s="12"/>
      <c r="OUC174" s="11"/>
      <c r="OUD174" s="12"/>
      <c r="OUM174" s="11"/>
      <c r="OUN174" s="12"/>
      <c r="OUW174" s="11"/>
      <c r="OUX174" s="12"/>
      <c r="OVG174" s="11"/>
      <c r="OVH174" s="12"/>
      <c r="OVQ174" s="11"/>
      <c r="OVR174" s="12"/>
      <c r="OWA174" s="11"/>
      <c r="OWB174" s="12"/>
      <c r="OWK174" s="11"/>
      <c r="OWL174" s="12"/>
      <c r="OWU174" s="11"/>
      <c r="OWV174" s="12"/>
      <c r="OXE174" s="11"/>
      <c r="OXF174" s="12"/>
      <c r="OXO174" s="11"/>
      <c r="OXP174" s="12"/>
      <c r="OXY174" s="11"/>
      <c r="OXZ174" s="12"/>
      <c r="OYI174" s="11"/>
      <c r="OYJ174" s="12"/>
      <c r="OYS174" s="11"/>
      <c r="OYT174" s="12"/>
      <c r="OZC174" s="11"/>
      <c r="OZD174" s="12"/>
      <c r="OZM174" s="11"/>
      <c r="OZN174" s="12"/>
      <c r="OZW174" s="11"/>
      <c r="OZX174" s="12"/>
      <c r="PAG174" s="11"/>
      <c r="PAH174" s="12"/>
      <c r="PAQ174" s="11"/>
      <c r="PAR174" s="12"/>
      <c r="PBA174" s="11"/>
      <c r="PBB174" s="12"/>
      <c r="PBK174" s="11"/>
      <c r="PBL174" s="12"/>
      <c r="PBU174" s="11"/>
      <c r="PBV174" s="12"/>
      <c r="PCE174" s="11"/>
      <c r="PCF174" s="12"/>
      <c r="PCO174" s="11"/>
      <c r="PCP174" s="12"/>
      <c r="PCY174" s="11"/>
      <c r="PCZ174" s="12"/>
      <c r="PDI174" s="11"/>
      <c r="PDJ174" s="12"/>
      <c r="PDS174" s="11"/>
      <c r="PDT174" s="12"/>
      <c r="PEC174" s="11"/>
      <c r="PED174" s="12"/>
      <c r="PEM174" s="11"/>
      <c r="PEN174" s="12"/>
      <c r="PEW174" s="11"/>
      <c r="PEX174" s="12"/>
      <c r="PFG174" s="11"/>
      <c r="PFH174" s="12"/>
      <c r="PFQ174" s="11"/>
      <c r="PFR174" s="12"/>
      <c r="PGA174" s="11"/>
      <c r="PGB174" s="12"/>
      <c r="PGK174" s="11"/>
      <c r="PGL174" s="12"/>
      <c r="PGU174" s="11"/>
      <c r="PGV174" s="12"/>
      <c r="PHE174" s="11"/>
      <c r="PHF174" s="12"/>
      <c r="PHO174" s="11"/>
      <c r="PHP174" s="12"/>
      <c r="PHY174" s="11"/>
      <c r="PHZ174" s="12"/>
      <c r="PII174" s="11"/>
      <c r="PIJ174" s="12"/>
      <c r="PIS174" s="11"/>
      <c r="PIT174" s="12"/>
      <c r="PJC174" s="11"/>
      <c r="PJD174" s="12"/>
      <c r="PJM174" s="11"/>
      <c r="PJN174" s="12"/>
      <c r="PJW174" s="11"/>
      <c r="PJX174" s="12"/>
      <c r="PKG174" s="11"/>
      <c r="PKH174" s="12"/>
      <c r="PKQ174" s="11"/>
      <c r="PKR174" s="12"/>
      <c r="PLA174" s="11"/>
      <c r="PLB174" s="12"/>
      <c r="PLK174" s="11"/>
      <c r="PLL174" s="12"/>
      <c r="PLU174" s="11"/>
      <c r="PLV174" s="12"/>
      <c r="PME174" s="11"/>
      <c r="PMF174" s="12"/>
      <c r="PMO174" s="11"/>
      <c r="PMP174" s="12"/>
      <c r="PMY174" s="11"/>
      <c r="PMZ174" s="12"/>
      <c r="PNI174" s="11"/>
      <c r="PNJ174" s="12"/>
      <c r="PNS174" s="11"/>
      <c r="PNT174" s="12"/>
      <c r="POC174" s="11"/>
      <c r="POD174" s="12"/>
      <c r="POM174" s="11"/>
      <c r="PON174" s="12"/>
      <c r="POW174" s="11"/>
      <c r="POX174" s="12"/>
      <c r="PPG174" s="11"/>
      <c r="PPH174" s="12"/>
      <c r="PPQ174" s="11"/>
      <c r="PPR174" s="12"/>
      <c r="PQA174" s="11"/>
      <c r="PQB174" s="12"/>
      <c r="PQK174" s="11"/>
      <c r="PQL174" s="12"/>
      <c r="PQU174" s="11"/>
      <c r="PQV174" s="12"/>
      <c r="PRE174" s="11"/>
      <c r="PRF174" s="12"/>
      <c r="PRO174" s="11"/>
      <c r="PRP174" s="12"/>
      <c r="PRY174" s="11"/>
      <c r="PRZ174" s="12"/>
      <c r="PSI174" s="11"/>
      <c r="PSJ174" s="12"/>
      <c r="PSS174" s="11"/>
      <c r="PST174" s="12"/>
      <c r="PTC174" s="11"/>
      <c r="PTD174" s="12"/>
      <c r="PTM174" s="11"/>
      <c r="PTN174" s="12"/>
      <c r="PTW174" s="11"/>
      <c r="PTX174" s="12"/>
      <c r="PUG174" s="11"/>
      <c r="PUH174" s="12"/>
      <c r="PUQ174" s="11"/>
      <c r="PUR174" s="12"/>
      <c r="PVA174" s="11"/>
      <c r="PVB174" s="12"/>
      <c r="PVK174" s="11"/>
      <c r="PVL174" s="12"/>
      <c r="PVU174" s="11"/>
      <c r="PVV174" s="12"/>
      <c r="PWE174" s="11"/>
      <c r="PWF174" s="12"/>
      <c r="PWO174" s="11"/>
      <c r="PWP174" s="12"/>
      <c r="PWY174" s="11"/>
      <c r="PWZ174" s="12"/>
      <c r="PXI174" s="11"/>
      <c r="PXJ174" s="12"/>
      <c r="PXS174" s="11"/>
      <c r="PXT174" s="12"/>
      <c r="PYC174" s="11"/>
      <c r="PYD174" s="12"/>
      <c r="PYM174" s="11"/>
      <c r="PYN174" s="12"/>
      <c r="PYW174" s="11"/>
      <c r="PYX174" s="12"/>
      <c r="PZG174" s="11"/>
      <c r="PZH174" s="12"/>
      <c r="PZQ174" s="11"/>
      <c r="PZR174" s="12"/>
      <c r="QAA174" s="11"/>
      <c r="QAB174" s="12"/>
      <c r="QAK174" s="11"/>
      <c r="QAL174" s="12"/>
      <c r="QAU174" s="11"/>
      <c r="QAV174" s="12"/>
      <c r="QBE174" s="11"/>
      <c r="QBF174" s="12"/>
      <c r="QBO174" s="11"/>
      <c r="QBP174" s="12"/>
      <c r="QBY174" s="11"/>
      <c r="QBZ174" s="12"/>
      <c r="QCI174" s="11"/>
      <c r="QCJ174" s="12"/>
      <c r="QCS174" s="11"/>
      <c r="QCT174" s="12"/>
      <c r="QDC174" s="11"/>
      <c r="QDD174" s="12"/>
      <c r="QDM174" s="11"/>
      <c r="QDN174" s="12"/>
      <c r="QDW174" s="11"/>
      <c r="QDX174" s="12"/>
      <c r="QEG174" s="11"/>
      <c r="QEH174" s="12"/>
      <c r="QEQ174" s="11"/>
      <c r="QER174" s="12"/>
      <c r="QFA174" s="11"/>
      <c r="QFB174" s="12"/>
      <c r="QFK174" s="11"/>
      <c r="QFL174" s="12"/>
      <c r="QFU174" s="11"/>
      <c r="QFV174" s="12"/>
      <c r="QGE174" s="11"/>
      <c r="QGF174" s="12"/>
      <c r="QGO174" s="11"/>
      <c r="QGP174" s="12"/>
      <c r="QGY174" s="11"/>
      <c r="QGZ174" s="12"/>
      <c r="QHI174" s="11"/>
      <c r="QHJ174" s="12"/>
      <c r="QHS174" s="11"/>
      <c r="QHT174" s="12"/>
      <c r="QIC174" s="11"/>
      <c r="QID174" s="12"/>
      <c r="QIM174" s="11"/>
      <c r="QIN174" s="12"/>
      <c r="QIW174" s="11"/>
      <c r="QIX174" s="12"/>
      <c r="QJG174" s="11"/>
      <c r="QJH174" s="12"/>
      <c r="QJQ174" s="11"/>
      <c r="QJR174" s="12"/>
      <c r="QKA174" s="11"/>
      <c r="QKB174" s="12"/>
      <c r="QKK174" s="11"/>
      <c r="QKL174" s="12"/>
      <c r="QKU174" s="11"/>
      <c r="QKV174" s="12"/>
      <c r="QLE174" s="11"/>
      <c r="QLF174" s="12"/>
      <c r="QLO174" s="11"/>
      <c r="QLP174" s="12"/>
      <c r="QLY174" s="11"/>
      <c r="QLZ174" s="12"/>
      <c r="QMI174" s="11"/>
      <c r="QMJ174" s="12"/>
      <c r="QMS174" s="11"/>
      <c r="QMT174" s="12"/>
      <c r="QNC174" s="11"/>
      <c r="QND174" s="12"/>
      <c r="QNM174" s="11"/>
      <c r="QNN174" s="12"/>
      <c r="QNW174" s="11"/>
      <c r="QNX174" s="12"/>
      <c r="QOG174" s="11"/>
      <c r="QOH174" s="12"/>
      <c r="QOQ174" s="11"/>
      <c r="QOR174" s="12"/>
      <c r="QPA174" s="11"/>
      <c r="QPB174" s="12"/>
      <c r="QPK174" s="11"/>
      <c r="QPL174" s="12"/>
      <c r="QPU174" s="11"/>
      <c r="QPV174" s="12"/>
      <c r="QQE174" s="11"/>
      <c r="QQF174" s="12"/>
      <c r="QQO174" s="11"/>
      <c r="QQP174" s="12"/>
      <c r="QQY174" s="11"/>
      <c r="QQZ174" s="12"/>
      <c r="QRI174" s="11"/>
      <c r="QRJ174" s="12"/>
      <c r="QRS174" s="11"/>
      <c r="QRT174" s="12"/>
      <c r="QSC174" s="11"/>
      <c r="QSD174" s="12"/>
      <c r="QSM174" s="11"/>
      <c r="QSN174" s="12"/>
      <c r="QSW174" s="11"/>
      <c r="QSX174" s="12"/>
      <c r="QTG174" s="11"/>
      <c r="QTH174" s="12"/>
      <c r="QTQ174" s="11"/>
      <c r="QTR174" s="12"/>
      <c r="QUA174" s="11"/>
      <c r="QUB174" s="12"/>
      <c r="QUK174" s="11"/>
      <c r="QUL174" s="12"/>
      <c r="QUU174" s="11"/>
      <c r="QUV174" s="12"/>
      <c r="QVE174" s="11"/>
      <c r="QVF174" s="12"/>
      <c r="QVO174" s="11"/>
      <c r="QVP174" s="12"/>
      <c r="QVY174" s="11"/>
      <c r="QVZ174" s="12"/>
      <c r="QWI174" s="11"/>
      <c r="QWJ174" s="12"/>
      <c r="QWS174" s="11"/>
      <c r="QWT174" s="12"/>
      <c r="QXC174" s="11"/>
      <c r="QXD174" s="12"/>
      <c r="QXM174" s="11"/>
      <c r="QXN174" s="12"/>
      <c r="QXW174" s="11"/>
      <c r="QXX174" s="12"/>
      <c r="QYG174" s="11"/>
      <c r="QYH174" s="12"/>
      <c r="QYQ174" s="11"/>
      <c r="QYR174" s="12"/>
      <c r="QZA174" s="11"/>
      <c r="QZB174" s="12"/>
      <c r="QZK174" s="11"/>
      <c r="QZL174" s="12"/>
      <c r="QZU174" s="11"/>
      <c r="QZV174" s="12"/>
      <c r="RAE174" s="11"/>
      <c r="RAF174" s="12"/>
      <c r="RAO174" s="11"/>
      <c r="RAP174" s="12"/>
      <c r="RAY174" s="11"/>
      <c r="RAZ174" s="12"/>
      <c r="RBI174" s="11"/>
      <c r="RBJ174" s="12"/>
      <c r="RBS174" s="11"/>
      <c r="RBT174" s="12"/>
      <c r="RCC174" s="11"/>
      <c r="RCD174" s="12"/>
      <c r="RCM174" s="11"/>
      <c r="RCN174" s="12"/>
      <c r="RCW174" s="11"/>
      <c r="RCX174" s="12"/>
      <c r="RDG174" s="11"/>
      <c r="RDH174" s="12"/>
      <c r="RDQ174" s="11"/>
      <c r="RDR174" s="12"/>
      <c r="REA174" s="11"/>
      <c r="REB174" s="12"/>
      <c r="REK174" s="11"/>
      <c r="REL174" s="12"/>
      <c r="REU174" s="11"/>
      <c r="REV174" s="12"/>
      <c r="RFE174" s="11"/>
      <c r="RFF174" s="12"/>
      <c r="RFO174" s="11"/>
      <c r="RFP174" s="12"/>
      <c r="RFY174" s="11"/>
      <c r="RFZ174" s="12"/>
      <c r="RGI174" s="11"/>
      <c r="RGJ174" s="12"/>
      <c r="RGS174" s="11"/>
      <c r="RGT174" s="12"/>
      <c r="RHC174" s="11"/>
      <c r="RHD174" s="12"/>
      <c r="RHM174" s="11"/>
      <c r="RHN174" s="12"/>
      <c r="RHW174" s="11"/>
      <c r="RHX174" s="12"/>
      <c r="RIG174" s="11"/>
      <c r="RIH174" s="12"/>
      <c r="RIQ174" s="11"/>
      <c r="RIR174" s="12"/>
      <c r="RJA174" s="11"/>
      <c r="RJB174" s="12"/>
      <c r="RJK174" s="11"/>
      <c r="RJL174" s="12"/>
      <c r="RJU174" s="11"/>
      <c r="RJV174" s="12"/>
      <c r="RKE174" s="11"/>
      <c r="RKF174" s="12"/>
      <c r="RKO174" s="11"/>
      <c r="RKP174" s="12"/>
      <c r="RKY174" s="11"/>
      <c r="RKZ174" s="12"/>
      <c r="RLI174" s="11"/>
      <c r="RLJ174" s="12"/>
      <c r="RLS174" s="11"/>
      <c r="RLT174" s="12"/>
      <c r="RMC174" s="11"/>
      <c r="RMD174" s="12"/>
      <c r="RMM174" s="11"/>
      <c r="RMN174" s="12"/>
      <c r="RMW174" s="11"/>
      <c r="RMX174" s="12"/>
      <c r="RNG174" s="11"/>
      <c r="RNH174" s="12"/>
      <c r="RNQ174" s="11"/>
      <c r="RNR174" s="12"/>
      <c r="ROA174" s="11"/>
      <c r="ROB174" s="12"/>
      <c r="ROK174" s="11"/>
      <c r="ROL174" s="12"/>
      <c r="ROU174" s="11"/>
      <c r="ROV174" s="12"/>
      <c r="RPE174" s="11"/>
      <c r="RPF174" s="12"/>
      <c r="RPO174" s="11"/>
      <c r="RPP174" s="12"/>
      <c r="RPY174" s="11"/>
      <c r="RPZ174" s="12"/>
      <c r="RQI174" s="11"/>
      <c r="RQJ174" s="12"/>
      <c r="RQS174" s="11"/>
      <c r="RQT174" s="12"/>
      <c r="RRC174" s="11"/>
      <c r="RRD174" s="12"/>
      <c r="RRM174" s="11"/>
      <c r="RRN174" s="12"/>
      <c r="RRW174" s="11"/>
      <c r="RRX174" s="12"/>
      <c r="RSG174" s="11"/>
      <c r="RSH174" s="12"/>
      <c r="RSQ174" s="11"/>
      <c r="RSR174" s="12"/>
      <c r="RTA174" s="11"/>
      <c r="RTB174" s="12"/>
      <c r="RTK174" s="11"/>
      <c r="RTL174" s="12"/>
      <c r="RTU174" s="11"/>
      <c r="RTV174" s="12"/>
      <c r="RUE174" s="11"/>
      <c r="RUF174" s="12"/>
      <c r="RUO174" s="11"/>
      <c r="RUP174" s="12"/>
      <c r="RUY174" s="11"/>
      <c r="RUZ174" s="12"/>
      <c r="RVI174" s="11"/>
      <c r="RVJ174" s="12"/>
      <c r="RVS174" s="11"/>
      <c r="RVT174" s="12"/>
      <c r="RWC174" s="11"/>
      <c r="RWD174" s="12"/>
      <c r="RWM174" s="11"/>
      <c r="RWN174" s="12"/>
      <c r="RWW174" s="11"/>
      <c r="RWX174" s="12"/>
      <c r="RXG174" s="11"/>
      <c r="RXH174" s="12"/>
      <c r="RXQ174" s="11"/>
      <c r="RXR174" s="12"/>
      <c r="RYA174" s="11"/>
      <c r="RYB174" s="12"/>
      <c r="RYK174" s="11"/>
      <c r="RYL174" s="12"/>
      <c r="RYU174" s="11"/>
      <c r="RYV174" s="12"/>
      <c r="RZE174" s="11"/>
      <c r="RZF174" s="12"/>
      <c r="RZO174" s="11"/>
      <c r="RZP174" s="12"/>
      <c r="RZY174" s="11"/>
      <c r="RZZ174" s="12"/>
      <c r="SAI174" s="11"/>
      <c r="SAJ174" s="12"/>
      <c r="SAS174" s="11"/>
      <c r="SAT174" s="12"/>
      <c r="SBC174" s="11"/>
      <c r="SBD174" s="12"/>
      <c r="SBM174" s="11"/>
      <c r="SBN174" s="12"/>
      <c r="SBW174" s="11"/>
      <c r="SBX174" s="12"/>
      <c r="SCG174" s="11"/>
      <c r="SCH174" s="12"/>
      <c r="SCQ174" s="11"/>
      <c r="SCR174" s="12"/>
      <c r="SDA174" s="11"/>
      <c r="SDB174" s="12"/>
      <c r="SDK174" s="11"/>
      <c r="SDL174" s="12"/>
      <c r="SDU174" s="11"/>
      <c r="SDV174" s="12"/>
      <c r="SEE174" s="11"/>
      <c r="SEF174" s="12"/>
      <c r="SEO174" s="11"/>
      <c r="SEP174" s="12"/>
      <c r="SEY174" s="11"/>
      <c r="SEZ174" s="12"/>
      <c r="SFI174" s="11"/>
      <c r="SFJ174" s="12"/>
      <c r="SFS174" s="11"/>
      <c r="SFT174" s="12"/>
      <c r="SGC174" s="11"/>
      <c r="SGD174" s="12"/>
      <c r="SGM174" s="11"/>
      <c r="SGN174" s="12"/>
      <c r="SGW174" s="11"/>
      <c r="SGX174" s="12"/>
      <c r="SHG174" s="11"/>
      <c r="SHH174" s="12"/>
      <c r="SHQ174" s="11"/>
      <c r="SHR174" s="12"/>
      <c r="SIA174" s="11"/>
      <c r="SIB174" s="12"/>
      <c r="SIK174" s="11"/>
      <c r="SIL174" s="12"/>
      <c r="SIU174" s="11"/>
      <c r="SIV174" s="12"/>
      <c r="SJE174" s="11"/>
      <c r="SJF174" s="12"/>
      <c r="SJO174" s="11"/>
      <c r="SJP174" s="12"/>
      <c r="SJY174" s="11"/>
      <c r="SJZ174" s="12"/>
      <c r="SKI174" s="11"/>
      <c r="SKJ174" s="12"/>
      <c r="SKS174" s="11"/>
      <c r="SKT174" s="12"/>
      <c r="SLC174" s="11"/>
      <c r="SLD174" s="12"/>
      <c r="SLM174" s="11"/>
      <c r="SLN174" s="12"/>
      <c r="SLW174" s="11"/>
      <c r="SLX174" s="12"/>
      <c r="SMG174" s="11"/>
      <c r="SMH174" s="12"/>
      <c r="SMQ174" s="11"/>
      <c r="SMR174" s="12"/>
      <c r="SNA174" s="11"/>
      <c r="SNB174" s="12"/>
      <c r="SNK174" s="11"/>
      <c r="SNL174" s="12"/>
      <c r="SNU174" s="11"/>
      <c r="SNV174" s="12"/>
      <c r="SOE174" s="11"/>
      <c r="SOF174" s="12"/>
      <c r="SOO174" s="11"/>
      <c r="SOP174" s="12"/>
      <c r="SOY174" s="11"/>
      <c r="SOZ174" s="12"/>
      <c r="SPI174" s="11"/>
      <c r="SPJ174" s="12"/>
      <c r="SPS174" s="11"/>
      <c r="SPT174" s="12"/>
      <c r="SQC174" s="11"/>
      <c r="SQD174" s="12"/>
      <c r="SQM174" s="11"/>
      <c r="SQN174" s="12"/>
      <c r="SQW174" s="11"/>
      <c r="SQX174" s="12"/>
      <c r="SRG174" s="11"/>
      <c r="SRH174" s="12"/>
      <c r="SRQ174" s="11"/>
      <c r="SRR174" s="12"/>
      <c r="SSA174" s="11"/>
      <c r="SSB174" s="12"/>
      <c r="SSK174" s="11"/>
      <c r="SSL174" s="12"/>
      <c r="SSU174" s="11"/>
      <c r="SSV174" s="12"/>
      <c r="STE174" s="11"/>
      <c r="STF174" s="12"/>
      <c r="STO174" s="11"/>
      <c r="STP174" s="12"/>
      <c r="STY174" s="11"/>
      <c r="STZ174" s="12"/>
      <c r="SUI174" s="11"/>
      <c r="SUJ174" s="12"/>
      <c r="SUS174" s="11"/>
      <c r="SUT174" s="12"/>
      <c r="SVC174" s="11"/>
      <c r="SVD174" s="12"/>
      <c r="SVM174" s="11"/>
      <c r="SVN174" s="12"/>
      <c r="SVW174" s="11"/>
      <c r="SVX174" s="12"/>
      <c r="SWG174" s="11"/>
      <c r="SWH174" s="12"/>
      <c r="SWQ174" s="11"/>
      <c r="SWR174" s="12"/>
      <c r="SXA174" s="11"/>
      <c r="SXB174" s="12"/>
      <c r="SXK174" s="11"/>
      <c r="SXL174" s="12"/>
      <c r="SXU174" s="11"/>
      <c r="SXV174" s="12"/>
      <c r="SYE174" s="11"/>
      <c r="SYF174" s="12"/>
      <c r="SYO174" s="11"/>
      <c r="SYP174" s="12"/>
      <c r="SYY174" s="11"/>
      <c r="SYZ174" s="12"/>
      <c r="SZI174" s="11"/>
      <c r="SZJ174" s="12"/>
      <c r="SZS174" s="11"/>
      <c r="SZT174" s="12"/>
      <c r="TAC174" s="11"/>
      <c r="TAD174" s="12"/>
      <c r="TAM174" s="11"/>
      <c r="TAN174" s="12"/>
      <c r="TAW174" s="11"/>
      <c r="TAX174" s="12"/>
      <c r="TBG174" s="11"/>
      <c r="TBH174" s="12"/>
      <c r="TBQ174" s="11"/>
      <c r="TBR174" s="12"/>
      <c r="TCA174" s="11"/>
      <c r="TCB174" s="12"/>
      <c r="TCK174" s="11"/>
      <c r="TCL174" s="12"/>
      <c r="TCU174" s="11"/>
      <c r="TCV174" s="12"/>
      <c r="TDE174" s="11"/>
      <c r="TDF174" s="12"/>
      <c r="TDO174" s="11"/>
      <c r="TDP174" s="12"/>
      <c r="TDY174" s="11"/>
      <c r="TDZ174" s="12"/>
      <c r="TEI174" s="11"/>
      <c r="TEJ174" s="12"/>
      <c r="TES174" s="11"/>
      <c r="TET174" s="12"/>
      <c r="TFC174" s="11"/>
      <c r="TFD174" s="12"/>
      <c r="TFM174" s="11"/>
      <c r="TFN174" s="12"/>
      <c r="TFW174" s="11"/>
      <c r="TFX174" s="12"/>
      <c r="TGG174" s="11"/>
      <c r="TGH174" s="12"/>
      <c r="TGQ174" s="11"/>
      <c r="TGR174" s="12"/>
      <c r="THA174" s="11"/>
      <c r="THB174" s="12"/>
      <c r="THK174" s="11"/>
      <c r="THL174" s="12"/>
      <c r="THU174" s="11"/>
      <c r="THV174" s="12"/>
      <c r="TIE174" s="11"/>
      <c r="TIF174" s="12"/>
      <c r="TIO174" s="11"/>
      <c r="TIP174" s="12"/>
      <c r="TIY174" s="11"/>
      <c r="TIZ174" s="12"/>
      <c r="TJI174" s="11"/>
      <c r="TJJ174" s="12"/>
      <c r="TJS174" s="11"/>
      <c r="TJT174" s="12"/>
      <c r="TKC174" s="11"/>
      <c r="TKD174" s="12"/>
      <c r="TKM174" s="11"/>
      <c r="TKN174" s="12"/>
      <c r="TKW174" s="11"/>
      <c r="TKX174" s="12"/>
      <c r="TLG174" s="11"/>
      <c r="TLH174" s="12"/>
      <c r="TLQ174" s="11"/>
      <c r="TLR174" s="12"/>
      <c r="TMA174" s="11"/>
      <c r="TMB174" s="12"/>
      <c r="TMK174" s="11"/>
      <c r="TML174" s="12"/>
      <c r="TMU174" s="11"/>
      <c r="TMV174" s="12"/>
      <c r="TNE174" s="11"/>
      <c r="TNF174" s="12"/>
      <c r="TNO174" s="11"/>
      <c r="TNP174" s="12"/>
      <c r="TNY174" s="11"/>
      <c r="TNZ174" s="12"/>
      <c r="TOI174" s="11"/>
      <c r="TOJ174" s="12"/>
      <c r="TOS174" s="11"/>
      <c r="TOT174" s="12"/>
      <c r="TPC174" s="11"/>
      <c r="TPD174" s="12"/>
      <c r="TPM174" s="11"/>
      <c r="TPN174" s="12"/>
      <c r="TPW174" s="11"/>
      <c r="TPX174" s="12"/>
      <c r="TQG174" s="11"/>
      <c r="TQH174" s="12"/>
      <c r="TQQ174" s="11"/>
      <c r="TQR174" s="12"/>
      <c r="TRA174" s="11"/>
      <c r="TRB174" s="12"/>
      <c r="TRK174" s="11"/>
      <c r="TRL174" s="12"/>
      <c r="TRU174" s="11"/>
      <c r="TRV174" s="12"/>
      <c r="TSE174" s="11"/>
      <c r="TSF174" s="12"/>
      <c r="TSO174" s="11"/>
      <c r="TSP174" s="12"/>
      <c r="TSY174" s="11"/>
      <c r="TSZ174" s="12"/>
      <c r="TTI174" s="11"/>
      <c r="TTJ174" s="12"/>
      <c r="TTS174" s="11"/>
      <c r="TTT174" s="12"/>
      <c r="TUC174" s="11"/>
      <c r="TUD174" s="12"/>
      <c r="TUM174" s="11"/>
      <c r="TUN174" s="12"/>
      <c r="TUW174" s="11"/>
      <c r="TUX174" s="12"/>
      <c r="TVG174" s="11"/>
      <c r="TVH174" s="12"/>
      <c r="TVQ174" s="11"/>
      <c r="TVR174" s="12"/>
      <c r="TWA174" s="11"/>
      <c r="TWB174" s="12"/>
      <c r="TWK174" s="11"/>
      <c r="TWL174" s="12"/>
      <c r="TWU174" s="11"/>
      <c r="TWV174" s="12"/>
      <c r="TXE174" s="11"/>
      <c r="TXF174" s="12"/>
      <c r="TXO174" s="11"/>
      <c r="TXP174" s="12"/>
      <c r="TXY174" s="11"/>
      <c r="TXZ174" s="12"/>
      <c r="TYI174" s="11"/>
      <c r="TYJ174" s="12"/>
      <c r="TYS174" s="11"/>
      <c r="TYT174" s="12"/>
      <c r="TZC174" s="11"/>
      <c r="TZD174" s="12"/>
      <c r="TZM174" s="11"/>
      <c r="TZN174" s="12"/>
      <c r="TZW174" s="11"/>
      <c r="TZX174" s="12"/>
      <c r="UAG174" s="11"/>
      <c r="UAH174" s="12"/>
      <c r="UAQ174" s="11"/>
      <c r="UAR174" s="12"/>
      <c r="UBA174" s="11"/>
      <c r="UBB174" s="12"/>
      <c r="UBK174" s="11"/>
      <c r="UBL174" s="12"/>
      <c r="UBU174" s="11"/>
      <c r="UBV174" s="12"/>
      <c r="UCE174" s="11"/>
      <c r="UCF174" s="12"/>
      <c r="UCO174" s="11"/>
      <c r="UCP174" s="12"/>
      <c r="UCY174" s="11"/>
      <c r="UCZ174" s="12"/>
      <c r="UDI174" s="11"/>
      <c r="UDJ174" s="12"/>
      <c r="UDS174" s="11"/>
      <c r="UDT174" s="12"/>
      <c r="UEC174" s="11"/>
      <c r="UED174" s="12"/>
      <c r="UEM174" s="11"/>
      <c r="UEN174" s="12"/>
      <c r="UEW174" s="11"/>
      <c r="UEX174" s="12"/>
      <c r="UFG174" s="11"/>
      <c r="UFH174" s="12"/>
      <c r="UFQ174" s="11"/>
      <c r="UFR174" s="12"/>
      <c r="UGA174" s="11"/>
      <c r="UGB174" s="12"/>
      <c r="UGK174" s="11"/>
      <c r="UGL174" s="12"/>
      <c r="UGU174" s="11"/>
      <c r="UGV174" s="12"/>
      <c r="UHE174" s="11"/>
      <c r="UHF174" s="12"/>
      <c r="UHO174" s="11"/>
      <c r="UHP174" s="12"/>
      <c r="UHY174" s="11"/>
      <c r="UHZ174" s="12"/>
      <c r="UII174" s="11"/>
      <c r="UIJ174" s="12"/>
      <c r="UIS174" s="11"/>
      <c r="UIT174" s="12"/>
      <c r="UJC174" s="11"/>
      <c r="UJD174" s="12"/>
      <c r="UJM174" s="11"/>
      <c r="UJN174" s="12"/>
      <c r="UJW174" s="11"/>
      <c r="UJX174" s="12"/>
      <c r="UKG174" s="11"/>
      <c r="UKH174" s="12"/>
      <c r="UKQ174" s="11"/>
      <c r="UKR174" s="12"/>
      <c r="ULA174" s="11"/>
      <c r="ULB174" s="12"/>
      <c r="ULK174" s="11"/>
      <c r="ULL174" s="12"/>
      <c r="ULU174" s="11"/>
      <c r="ULV174" s="12"/>
      <c r="UME174" s="11"/>
      <c r="UMF174" s="12"/>
      <c r="UMO174" s="11"/>
      <c r="UMP174" s="12"/>
      <c r="UMY174" s="11"/>
      <c r="UMZ174" s="12"/>
      <c r="UNI174" s="11"/>
      <c r="UNJ174" s="12"/>
      <c r="UNS174" s="11"/>
      <c r="UNT174" s="12"/>
      <c r="UOC174" s="11"/>
      <c r="UOD174" s="12"/>
      <c r="UOM174" s="11"/>
      <c r="UON174" s="12"/>
      <c r="UOW174" s="11"/>
      <c r="UOX174" s="12"/>
      <c r="UPG174" s="11"/>
      <c r="UPH174" s="12"/>
      <c r="UPQ174" s="11"/>
      <c r="UPR174" s="12"/>
      <c r="UQA174" s="11"/>
      <c r="UQB174" s="12"/>
      <c r="UQK174" s="11"/>
      <c r="UQL174" s="12"/>
      <c r="UQU174" s="11"/>
      <c r="UQV174" s="12"/>
      <c r="URE174" s="11"/>
      <c r="URF174" s="12"/>
      <c r="URO174" s="11"/>
      <c r="URP174" s="12"/>
      <c r="URY174" s="11"/>
      <c r="URZ174" s="12"/>
      <c r="USI174" s="11"/>
      <c r="USJ174" s="12"/>
      <c r="USS174" s="11"/>
      <c r="UST174" s="12"/>
      <c r="UTC174" s="11"/>
      <c r="UTD174" s="12"/>
      <c r="UTM174" s="11"/>
      <c r="UTN174" s="12"/>
      <c r="UTW174" s="11"/>
      <c r="UTX174" s="12"/>
      <c r="UUG174" s="11"/>
      <c r="UUH174" s="12"/>
      <c r="UUQ174" s="11"/>
      <c r="UUR174" s="12"/>
      <c r="UVA174" s="11"/>
      <c r="UVB174" s="12"/>
      <c r="UVK174" s="11"/>
      <c r="UVL174" s="12"/>
      <c r="UVU174" s="11"/>
      <c r="UVV174" s="12"/>
      <c r="UWE174" s="11"/>
      <c r="UWF174" s="12"/>
      <c r="UWO174" s="11"/>
      <c r="UWP174" s="12"/>
      <c r="UWY174" s="11"/>
      <c r="UWZ174" s="12"/>
      <c r="UXI174" s="11"/>
      <c r="UXJ174" s="12"/>
      <c r="UXS174" s="11"/>
      <c r="UXT174" s="12"/>
      <c r="UYC174" s="11"/>
      <c r="UYD174" s="12"/>
      <c r="UYM174" s="11"/>
      <c r="UYN174" s="12"/>
      <c r="UYW174" s="11"/>
      <c r="UYX174" s="12"/>
      <c r="UZG174" s="11"/>
      <c r="UZH174" s="12"/>
      <c r="UZQ174" s="11"/>
      <c r="UZR174" s="12"/>
      <c r="VAA174" s="11"/>
      <c r="VAB174" s="12"/>
      <c r="VAK174" s="11"/>
      <c r="VAL174" s="12"/>
      <c r="VAU174" s="11"/>
      <c r="VAV174" s="12"/>
      <c r="VBE174" s="11"/>
      <c r="VBF174" s="12"/>
      <c r="VBO174" s="11"/>
      <c r="VBP174" s="12"/>
      <c r="VBY174" s="11"/>
      <c r="VBZ174" s="12"/>
      <c r="VCI174" s="11"/>
      <c r="VCJ174" s="12"/>
      <c r="VCS174" s="11"/>
      <c r="VCT174" s="12"/>
      <c r="VDC174" s="11"/>
      <c r="VDD174" s="12"/>
      <c r="VDM174" s="11"/>
      <c r="VDN174" s="12"/>
      <c r="VDW174" s="11"/>
      <c r="VDX174" s="12"/>
      <c r="VEG174" s="11"/>
      <c r="VEH174" s="12"/>
      <c r="VEQ174" s="11"/>
      <c r="VER174" s="12"/>
      <c r="VFA174" s="11"/>
      <c r="VFB174" s="12"/>
      <c r="VFK174" s="11"/>
      <c r="VFL174" s="12"/>
      <c r="VFU174" s="11"/>
      <c r="VFV174" s="12"/>
      <c r="VGE174" s="11"/>
      <c r="VGF174" s="12"/>
      <c r="VGO174" s="11"/>
      <c r="VGP174" s="12"/>
      <c r="VGY174" s="11"/>
      <c r="VGZ174" s="12"/>
      <c r="VHI174" s="11"/>
      <c r="VHJ174" s="12"/>
      <c r="VHS174" s="11"/>
      <c r="VHT174" s="12"/>
      <c r="VIC174" s="11"/>
      <c r="VID174" s="12"/>
      <c r="VIM174" s="11"/>
      <c r="VIN174" s="12"/>
      <c r="VIW174" s="11"/>
      <c r="VIX174" s="12"/>
      <c r="VJG174" s="11"/>
      <c r="VJH174" s="12"/>
      <c r="VJQ174" s="11"/>
      <c r="VJR174" s="12"/>
      <c r="VKA174" s="11"/>
      <c r="VKB174" s="12"/>
      <c r="VKK174" s="11"/>
      <c r="VKL174" s="12"/>
      <c r="VKU174" s="11"/>
      <c r="VKV174" s="12"/>
      <c r="VLE174" s="11"/>
      <c r="VLF174" s="12"/>
      <c r="VLO174" s="11"/>
      <c r="VLP174" s="12"/>
      <c r="VLY174" s="11"/>
      <c r="VLZ174" s="12"/>
      <c r="VMI174" s="11"/>
      <c r="VMJ174" s="12"/>
      <c r="VMS174" s="11"/>
      <c r="VMT174" s="12"/>
      <c r="VNC174" s="11"/>
      <c r="VND174" s="12"/>
      <c r="VNM174" s="11"/>
      <c r="VNN174" s="12"/>
      <c r="VNW174" s="11"/>
      <c r="VNX174" s="12"/>
      <c r="VOG174" s="11"/>
      <c r="VOH174" s="12"/>
      <c r="VOQ174" s="11"/>
      <c r="VOR174" s="12"/>
      <c r="VPA174" s="11"/>
      <c r="VPB174" s="12"/>
      <c r="VPK174" s="11"/>
      <c r="VPL174" s="12"/>
      <c r="VPU174" s="11"/>
      <c r="VPV174" s="12"/>
      <c r="VQE174" s="11"/>
      <c r="VQF174" s="12"/>
      <c r="VQO174" s="11"/>
      <c r="VQP174" s="12"/>
      <c r="VQY174" s="11"/>
      <c r="VQZ174" s="12"/>
      <c r="VRI174" s="11"/>
      <c r="VRJ174" s="12"/>
      <c r="VRS174" s="11"/>
      <c r="VRT174" s="12"/>
      <c r="VSC174" s="11"/>
      <c r="VSD174" s="12"/>
      <c r="VSM174" s="11"/>
      <c r="VSN174" s="12"/>
      <c r="VSW174" s="11"/>
      <c r="VSX174" s="12"/>
      <c r="VTG174" s="11"/>
      <c r="VTH174" s="12"/>
      <c r="VTQ174" s="11"/>
      <c r="VTR174" s="12"/>
      <c r="VUA174" s="11"/>
      <c r="VUB174" s="12"/>
      <c r="VUK174" s="11"/>
      <c r="VUL174" s="12"/>
      <c r="VUU174" s="11"/>
      <c r="VUV174" s="12"/>
      <c r="VVE174" s="11"/>
      <c r="VVF174" s="12"/>
      <c r="VVO174" s="11"/>
      <c r="VVP174" s="12"/>
      <c r="VVY174" s="11"/>
      <c r="VVZ174" s="12"/>
      <c r="VWI174" s="11"/>
      <c r="VWJ174" s="12"/>
      <c r="VWS174" s="11"/>
      <c r="VWT174" s="12"/>
      <c r="VXC174" s="11"/>
      <c r="VXD174" s="12"/>
      <c r="VXM174" s="11"/>
      <c r="VXN174" s="12"/>
      <c r="VXW174" s="11"/>
      <c r="VXX174" s="12"/>
      <c r="VYG174" s="11"/>
      <c r="VYH174" s="12"/>
      <c r="VYQ174" s="11"/>
      <c r="VYR174" s="12"/>
      <c r="VZA174" s="11"/>
      <c r="VZB174" s="12"/>
      <c r="VZK174" s="11"/>
      <c r="VZL174" s="12"/>
      <c r="VZU174" s="11"/>
      <c r="VZV174" s="12"/>
      <c r="WAE174" s="11"/>
      <c r="WAF174" s="12"/>
      <c r="WAO174" s="11"/>
      <c r="WAP174" s="12"/>
      <c r="WAY174" s="11"/>
      <c r="WAZ174" s="12"/>
      <c r="WBI174" s="11"/>
      <c r="WBJ174" s="12"/>
      <c r="WBS174" s="11"/>
      <c r="WBT174" s="12"/>
      <c r="WCC174" s="11"/>
      <c r="WCD174" s="12"/>
      <c r="WCM174" s="11"/>
      <c r="WCN174" s="12"/>
      <c r="WCW174" s="11"/>
      <c r="WCX174" s="12"/>
      <c r="WDG174" s="11"/>
      <c r="WDH174" s="12"/>
      <c r="WDQ174" s="11"/>
      <c r="WDR174" s="12"/>
      <c r="WEA174" s="11"/>
      <c r="WEB174" s="12"/>
      <c r="WEK174" s="11"/>
      <c r="WEL174" s="12"/>
      <c r="WEU174" s="11"/>
      <c r="WEV174" s="12"/>
      <c r="WFE174" s="11"/>
      <c r="WFF174" s="12"/>
      <c r="WFO174" s="11"/>
      <c r="WFP174" s="12"/>
      <c r="WFY174" s="11"/>
      <c r="WFZ174" s="12"/>
      <c r="WGI174" s="11"/>
      <c r="WGJ174" s="12"/>
      <c r="WGS174" s="11"/>
      <c r="WGT174" s="12"/>
      <c r="WHC174" s="11"/>
      <c r="WHD174" s="12"/>
      <c r="WHM174" s="11"/>
      <c r="WHN174" s="12"/>
      <c r="WHW174" s="11"/>
      <c r="WHX174" s="12"/>
      <c r="WIG174" s="11"/>
      <c r="WIH174" s="12"/>
      <c r="WIQ174" s="11"/>
      <c r="WIR174" s="12"/>
      <c r="WJA174" s="11"/>
      <c r="WJB174" s="12"/>
      <c r="WJK174" s="11"/>
      <c r="WJL174" s="12"/>
      <c r="WJU174" s="11"/>
      <c r="WJV174" s="12"/>
      <c r="WKE174" s="11"/>
      <c r="WKF174" s="12"/>
      <c r="WKO174" s="11"/>
      <c r="WKP174" s="12"/>
      <c r="WKY174" s="11"/>
      <c r="WKZ174" s="12"/>
      <c r="WLI174" s="11"/>
      <c r="WLJ174" s="12"/>
      <c r="WLS174" s="11"/>
      <c r="WLT174" s="12"/>
      <c r="WMC174" s="11"/>
      <c r="WMD174" s="12"/>
      <c r="WMM174" s="11"/>
      <c r="WMN174" s="12"/>
      <c r="WMW174" s="11"/>
      <c r="WMX174" s="12"/>
      <c r="WNG174" s="11"/>
      <c r="WNH174" s="12"/>
      <c r="WNQ174" s="11"/>
      <c r="WNR174" s="12"/>
      <c r="WOA174" s="11"/>
      <c r="WOB174" s="12"/>
      <c r="WOK174" s="11"/>
      <c r="WOL174" s="12"/>
      <c r="WOU174" s="11"/>
      <c r="WOV174" s="12"/>
      <c r="WPE174" s="11"/>
      <c r="WPF174" s="12"/>
      <c r="WPO174" s="11"/>
      <c r="WPP174" s="12"/>
      <c r="WPY174" s="11"/>
      <c r="WPZ174" s="12"/>
      <c r="WQI174" s="11"/>
      <c r="WQJ174" s="12"/>
      <c r="WQS174" s="11"/>
      <c r="WQT174" s="12"/>
      <c r="WRC174" s="11"/>
      <c r="WRD174" s="12"/>
      <c r="WRM174" s="11"/>
      <c r="WRN174" s="12"/>
      <c r="WRW174" s="11"/>
      <c r="WRX174" s="12"/>
      <c r="WSG174" s="11"/>
      <c r="WSH174" s="12"/>
      <c r="WSQ174" s="11"/>
      <c r="WSR174" s="12"/>
      <c r="WTA174" s="11"/>
      <c r="WTB174" s="12"/>
      <c r="WTK174" s="11"/>
      <c r="WTL174" s="12"/>
      <c r="WTU174" s="11"/>
      <c r="WTV174" s="12"/>
      <c r="WUE174" s="11"/>
      <c r="WUF174" s="12"/>
      <c r="WUO174" s="11"/>
      <c r="WUP174" s="12"/>
      <c r="WUY174" s="11"/>
      <c r="WUZ174" s="12"/>
      <c r="WVI174" s="11"/>
      <c r="WVJ174" s="12"/>
      <c r="WVS174" s="11"/>
      <c r="WVT174" s="12"/>
      <c r="WWC174" s="11"/>
      <c r="WWD174" s="12"/>
      <c r="WWM174" s="11"/>
      <c r="WWN174" s="12"/>
      <c r="WWW174" s="11"/>
      <c r="WWX174" s="12"/>
      <c r="WXG174" s="11"/>
      <c r="WXH174" s="12"/>
      <c r="WXQ174" s="11"/>
      <c r="WXR174" s="12"/>
      <c r="WYA174" s="11"/>
      <c r="WYB174" s="12"/>
      <c r="WYK174" s="11"/>
      <c r="WYL174" s="12"/>
      <c r="WYU174" s="11"/>
      <c r="WYV174" s="12"/>
      <c r="WZE174" s="11"/>
      <c r="WZF174" s="12"/>
      <c r="WZO174" s="11"/>
      <c r="WZP174" s="12"/>
      <c r="WZY174" s="11"/>
      <c r="WZZ174" s="12"/>
      <c r="XAI174" s="11"/>
      <c r="XAJ174" s="12"/>
      <c r="XAS174" s="11"/>
      <c r="XAT174" s="12"/>
      <c r="XBC174" s="11"/>
      <c r="XBD174" s="12"/>
      <c r="XBM174" s="11"/>
      <c r="XBN174" s="12"/>
      <c r="XBW174" s="11"/>
      <c r="XBX174" s="12"/>
      <c r="XCG174" s="11"/>
      <c r="XCH174" s="12"/>
      <c r="XCQ174" s="11"/>
      <c r="XCR174" s="12"/>
      <c r="XDA174" s="11"/>
      <c r="XDB174" s="12"/>
      <c r="XDK174" s="11"/>
      <c r="XDL174" s="12"/>
      <c r="XDU174" s="11"/>
      <c r="XDV174" s="12"/>
      <c r="XEE174" s="11"/>
      <c r="XEF174" s="12"/>
      <c r="XEO174" s="11"/>
      <c r="XEP174" s="12"/>
      <c r="XEY174" s="11"/>
      <c r="XEZ174" s="12"/>
    </row>
    <row r="175" spans="1:1020 1029:2040 2049:3070 3079:4090 4099:5120 5129:6140 6149:7160 7169:8190 8199:9210 9219:10240 10249:11260 11269:12280 12289:13310 13319:14330 14339:15360 15369:16380" s="10" customFormat="1" ht="41.4" x14ac:dyDescent="0.3">
      <c r="A175"/>
      <c r="B175"/>
      <c r="C175"/>
      <c r="D175"/>
      <c r="E175"/>
      <c r="F175"/>
      <c r="G175"/>
      <c r="H175" s="32" t="s">
        <v>9</v>
      </c>
      <c r="I175" s="33" t="s">
        <v>41</v>
      </c>
      <c r="J175" s="34" t="s">
        <v>442</v>
      </c>
      <c r="K175" s="35" t="s">
        <v>290</v>
      </c>
      <c r="L175" s="33" t="s">
        <v>300</v>
      </c>
      <c r="M175" s="33">
        <v>8115</v>
      </c>
      <c r="N175" s="36"/>
      <c r="O175" s="33">
        <v>3</v>
      </c>
      <c r="P175" s="33">
        <f>IF(Tabela1[[#This Row],[Status]]="✔️",Tabela1[[#This Row],[Peso]],IF(Tabela1[[#This Row],[Status]]="✔️✔️",Tabela1[[#This Row],[Peso]]/2,0))</f>
        <v>0</v>
      </c>
      <c r="Q17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5" s="33" t="s">
        <v>127</v>
      </c>
      <c r="S175" s="37" t="s">
        <v>128</v>
      </c>
      <c r="T175" s="12"/>
      <c r="AC175" s="11"/>
      <c r="AD175" s="12"/>
      <c r="AM175" s="11"/>
      <c r="AN175" s="12"/>
      <c r="AW175" s="11"/>
      <c r="AX175" s="12"/>
      <c r="BG175" s="11"/>
      <c r="BH175" s="12"/>
      <c r="BQ175" s="11"/>
      <c r="BR175" s="12"/>
      <c r="CA175" s="11"/>
      <c r="CB175" s="12"/>
      <c r="CK175" s="11"/>
      <c r="CL175" s="12"/>
      <c r="CU175" s="11"/>
      <c r="CV175" s="12"/>
      <c r="DE175" s="11"/>
      <c r="DF175" s="12"/>
      <c r="DO175" s="11"/>
      <c r="DP175" s="12"/>
      <c r="DY175" s="11"/>
      <c r="DZ175" s="12"/>
      <c r="EI175" s="11"/>
      <c r="EJ175" s="12"/>
      <c r="ES175" s="11"/>
      <c r="ET175" s="12"/>
      <c r="FC175" s="11"/>
      <c r="FD175" s="12"/>
      <c r="FM175" s="11"/>
      <c r="FN175" s="12"/>
      <c r="FW175" s="11"/>
      <c r="FX175" s="12"/>
      <c r="GG175" s="11"/>
      <c r="GH175" s="12"/>
      <c r="GQ175" s="11"/>
      <c r="GR175" s="12"/>
      <c r="HA175" s="11"/>
      <c r="HB175" s="12"/>
      <c r="HK175" s="11"/>
      <c r="HL175" s="12"/>
      <c r="HU175" s="11"/>
      <c r="HV175" s="12"/>
      <c r="IE175" s="11"/>
      <c r="IF175" s="12"/>
      <c r="IO175" s="11"/>
      <c r="IP175" s="12"/>
      <c r="IY175" s="11"/>
      <c r="IZ175" s="12"/>
      <c r="JI175" s="11"/>
      <c r="JJ175" s="12"/>
      <c r="JS175" s="11"/>
      <c r="JT175" s="12"/>
      <c r="KC175" s="11"/>
      <c r="KD175" s="12"/>
      <c r="KM175" s="11"/>
      <c r="KN175" s="12"/>
      <c r="KW175" s="11"/>
      <c r="KX175" s="12"/>
      <c r="LG175" s="11"/>
      <c r="LH175" s="12"/>
      <c r="LQ175" s="11"/>
      <c r="LR175" s="12"/>
      <c r="MA175" s="11"/>
      <c r="MB175" s="12"/>
      <c r="MK175" s="11"/>
      <c r="ML175" s="12"/>
      <c r="MU175" s="11"/>
      <c r="MV175" s="12"/>
      <c r="NE175" s="11"/>
      <c r="NF175" s="12"/>
      <c r="NO175" s="11"/>
      <c r="NP175" s="12"/>
      <c r="NY175" s="11"/>
      <c r="NZ175" s="12"/>
      <c r="OI175" s="11"/>
      <c r="OJ175" s="12"/>
      <c r="OS175" s="11"/>
      <c r="OT175" s="12"/>
      <c r="PC175" s="11"/>
      <c r="PD175" s="12"/>
      <c r="PM175" s="11"/>
      <c r="PN175" s="12"/>
      <c r="PW175" s="11"/>
      <c r="PX175" s="12"/>
      <c r="QG175" s="11"/>
      <c r="QH175" s="12"/>
      <c r="QQ175" s="11"/>
      <c r="QR175" s="12"/>
      <c r="RA175" s="11"/>
      <c r="RB175" s="12"/>
      <c r="RK175" s="11"/>
      <c r="RL175" s="12"/>
      <c r="RU175" s="11"/>
      <c r="RV175" s="12"/>
      <c r="SE175" s="11"/>
      <c r="SF175" s="12"/>
      <c r="SO175" s="11"/>
      <c r="SP175" s="12"/>
      <c r="SY175" s="11"/>
      <c r="SZ175" s="12"/>
      <c r="TI175" s="11"/>
      <c r="TJ175" s="12"/>
      <c r="TS175" s="11"/>
      <c r="TT175" s="12"/>
      <c r="UC175" s="11"/>
      <c r="UD175" s="12"/>
      <c r="UM175" s="11"/>
      <c r="UN175" s="12"/>
      <c r="UW175" s="11"/>
      <c r="UX175" s="12"/>
      <c r="VG175" s="11"/>
      <c r="VH175" s="12"/>
      <c r="VQ175" s="11"/>
      <c r="VR175" s="12"/>
      <c r="WA175" s="11"/>
      <c r="WB175" s="12"/>
      <c r="WK175" s="11"/>
      <c r="WL175" s="12"/>
      <c r="WU175" s="11"/>
      <c r="WV175" s="12"/>
      <c r="XE175" s="11"/>
      <c r="XF175" s="12"/>
      <c r="XO175" s="11"/>
      <c r="XP175" s="12"/>
      <c r="XY175" s="11"/>
      <c r="XZ175" s="12"/>
      <c r="YI175" s="11"/>
      <c r="YJ175" s="12"/>
      <c r="YS175" s="11"/>
      <c r="YT175" s="12"/>
      <c r="ZC175" s="11"/>
      <c r="ZD175" s="12"/>
      <c r="ZM175" s="11"/>
      <c r="ZN175" s="12"/>
      <c r="ZW175" s="11"/>
      <c r="ZX175" s="12"/>
      <c r="AAG175" s="11"/>
      <c r="AAH175" s="12"/>
      <c r="AAQ175" s="11"/>
      <c r="AAR175" s="12"/>
      <c r="ABA175" s="11"/>
      <c r="ABB175" s="12"/>
      <c r="ABK175" s="11"/>
      <c r="ABL175" s="12"/>
      <c r="ABU175" s="11"/>
      <c r="ABV175" s="12"/>
      <c r="ACE175" s="11"/>
      <c r="ACF175" s="12"/>
      <c r="ACO175" s="11"/>
      <c r="ACP175" s="12"/>
      <c r="ACY175" s="11"/>
      <c r="ACZ175" s="12"/>
      <c r="ADI175" s="11"/>
      <c r="ADJ175" s="12"/>
      <c r="ADS175" s="11"/>
      <c r="ADT175" s="12"/>
      <c r="AEC175" s="11"/>
      <c r="AED175" s="12"/>
      <c r="AEM175" s="11"/>
      <c r="AEN175" s="12"/>
      <c r="AEW175" s="11"/>
      <c r="AEX175" s="12"/>
      <c r="AFG175" s="11"/>
      <c r="AFH175" s="12"/>
      <c r="AFQ175" s="11"/>
      <c r="AFR175" s="12"/>
      <c r="AGA175" s="11"/>
      <c r="AGB175" s="12"/>
      <c r="AGK175" s="11"/>
      <c r="AGL175" s="12"/>
      <c r="AGU175" s="11"/>
      <c r="AGV175" s="12"/>
      <c r="AHE175" s="11"/>
      <c r="AHF175" s="12"/>
      <c r="AHO175" s="11"/>
      <c r="AHP175" s="12"/>
      <c r="AHY175" s="11"/>
      <c r="AHZ175" s="12"/>
      <c r="AII175" s="11"/>
      <c r="AIJ175" s="12"/>
      <c r="AIS175" s="11"/>
      <c r="AIT175" s="12"/>
      <c r="AJC175" s="11"/>
      <c r="AJD175" s="12"/>
      <c r="AJM175" s="11"/>
      <c r="AJN175" s="12"/>
      <c r="AJW175" s="11"/>
      <c r="AJX175" s="12"/>
      <c r="AKG175" s="11"/>
      <c r="AKH175" s="12"/>
      <c r="AKQ175" s="11"/>
      <c r="AKR175" s="12"/>
      <c r="ALA175" s="11"/>
      <c r="ALB175" s="12"/>
      <c r="ALK175" s="11"/>
      <c r="ALL175" s="12"/>
      <c r="ALU175" s="11"/>
      <c r="ALV175" s="12"/>
      <c r="AME175" s="11"/>
      <c r="AMF175" s="12"/>
      <c r="AMO175" s="11"/>
      <c r="AMP175" s="12"/>
      <c r="AMY175" s="11"/>
      <c r="AMZ175" s="12"/>
      <c r="ANI175" s="11"/>
      <c r="ANJ175" s="12"/>
      <c r="ANS175" s="11"/>
      <c r="ANT175" s="12"/>
      <c r="AOC175" s="11"/>
      <c r="AOD175" s="12"/>
      <c r="AOM175" s="11"/>
      <c r="AON175" s="12"/>
      <c r="AOW175" s="11"/>
      <c r="AOX175" s="12"/>
      <c r="APG175" s="11"/>
      <c r="APH175" s="12"/>
      <c r="APQ175" s="11"/>
      <c r="APR175" s="12"/>
      <c r="AQA175" s="11"/>
      <c r="AQB175" s="12"/>
      <c r="AQK175" s="11"/>
      <c r="AQL175" s="12"/>
      <c r="AQU175" s="11"/>
      <c r="AQV175" s="12"/>
      <c r="ARE175" s="11"/>
      <c r="ARF175" s="12"/>
      <c r="ARO175" s="11"/>
      <c r="ARP175" s="12"/>
      <c r="ARY175" s="11"/>
      <c r="ARZ175" s="12"/>
      <c r="ASI175" s="11"/>
      <c r="ASJ175" s="12"/>
      <c r="ASS175" s="11"/>
      <c r="AST175" s="12"/>
      <c r="ATC175" s="11"/>
      <c r="ATD175" s="12"/>
      <c r="ATM175" s="11"/>
      <c r="ATN175" s="12"/>
      <c r="ATW175" s="11"/>
      <c r="ATX175" s="12"/>
      <c r="AUG175" s="11"/>
      <c r="AUH175" s="12"/>
      <c r="AUQ175" s="11"/>
      <c r="AUR175" s="12"/>
      <c r="AVA175" s="11"/>
      <c r="AVB175" s="12"/>
      <c r="AVK175" s="11"/>
      <c r="AVL175" s="12"/>
      <c r="AVU175" s="11"/>
      <c r="AVV175" s="12"/>
      <c r="AWE175" s="11"/>
      <c r="AWF175" s="12"/>
      <c r="AWO175" s="11"/>
      <c r="AWP175" s="12"/>
      <c r="AWY175" s="11"/>
      <c r="AWZ175" s="12"/>
      <c r="AXI175" s="11"/>
      <c r="AXJ175" s="12"/>
      <c r="AXS175" s="11"/>
      <c r="AXT175" s="12"/>
      <c r="AYC175" s="11"/>
      <c r="AYD175" s="12"/>
      <c r="AYM175" s="11"/>
      <c r="AYN175" s="12"/>
      <c r="AYW175" s="11"/>
      <c r="AYX175" s="12"/>
      <c r="AZG175" s="11"/>
      <c r="AZH175" s="12"/>
      <c r="AZQ175" s="11"/>
      <c r="AZR175" s="12"/>
      <c r="BAA175" s="11"/>
      <c r="BAB175" s="12"/>
      <c r="BAK175" s="11"/>
      <c r="BAL175" s="12"/>
      <c r="BAU175" s="11"/>
      <c r="BAV175" s="12"/>
      <c r="BBE175" s="11"/>
      <c r="BBF175" s="12"/>
      <c r="BBO175" s="11"/>
      <c r="BBP175" s="12"/>
      <c r="BBY175" s="11"/>
      <c r="BBZ175" s="12"/>
      <c r="BCI175" s="11"/>
      <c r="BCJ175" s="12"/>
      <c r="BCS175" s="11"/>
      <c r="BCT175" s="12"/>
      <c r="BDC175" s="11"/>
      <c r="BDD175" s="12"/>
      <c r="BDM175" s="11"/>
      <c r="BDN175" s="12"/>
      <c r="BDW175" s="11"/>
      <c r="BDX175" s="12"/>
      <c r="BEG175" s="11"/>
      <c r="BEH175" s="12"/>
      <c r="BEQ175" s="11"/>
      <c r="BER175" s="12"/>
      <c r="BFA175" s="11"/>
      <c r="BFB175" s="12"/>
      <c r="BFK175" s="11"/>
      <c r="BFL175" s="12"/>
      <c r="BFU175" s="11"/>
      <c r="BFV175" s="12"/>
      <c r="BGE175" s="11"/>
      <c r="BGF175" s="12"/>
      <c r="BGO175" s="11"/>
      <c r="BGP175" s="12"/>
      <c r="BGY175" s="11"/>
      <c r="BGZ175" s="12"/>
      <c r="BHI175" s="11"/>
      <c r="BHJ175" s="12"/>
      <c r="BHS175" s="11"/>
      <c r="BHT175" s="12"/>
      <c r="BIC175" s="11"/>
      <c r="BID175" s="12"/>
      <c r="BIM175" s="11"/>
      <c r="BIN175" s="12"/>
      <c r="BIW175" s="11"/>
      <c r="BIX175" s="12"/>
      <c r="BJG175" s="11"/>
      <c r="BJH175" s="12"/>
      <c r="BJQ175" s="11"/>
      <c r="BJR175" s="12"/>
      <c r="BKA175" s="11"/>
      <c r="BKB175" s="12"/>
      <c r="BKK175" s="11"/>
      <c r="BKL175" s="12"/>
      <c r="BKU175" s="11"/>
      <c r="BKV175" s="12"/>
      <c r="BLE175" s="11"/>
      <c r="BLF175" s="12"/>
      <c r="BLO175" s="11"/>
      <c r="BLP175" s="12"/>
      <c r="BLY175" s="11"/>
      <c r="BLZ175" s="12"/>
      <c r="BMI175" s="11"/>
      <c r="BMJ175" s="12"/>
      <c r="BMS175" s="11"/>
      <c r="BMT175" s="12"/>
      <c r="BNC175" s="11"/>
      <c r="BND175" s="12"/>
      <c r="BNM175" s="11"/>
      <c r="BNN175" s="12"/>
      <c r="BNW175" s="11"/>
      <c r="BNX175" s="12"/>
      <c r="BOG175" s="11"/>
      <c r="BOH175" s="12"/>
      <c r="BOQ175" s="11"/>
      <c r="BOR175" s="12"/>
      <c r="BPA175" s="11"/>
      <c r="BPB175" s="12"/>
      <c r="BPK175" s="11"/>
      <c r="BPL175" s="12"/>
      <c r="BPU175" s="11"/>
      <c r="BPV175" s="12"/>
      <c r="BQE175" s="11"/>
      <c r="BQF175" s="12"/>
      <c r="BQO175" s="11"/>
      <c r="BQP175" s="12"/>
      <c r="BQY175" s="11"/>
      <c r="BQZ175" s="12"/>
      <c r="BRI175" s="11"/>
      <c r="BRJ175" s="12"/>
      <c r="BRS175" s="11"/>
      <c r="BRT175" s="12"/>
      <c r="BSC175" s="11"/>
      <c r="BSD175" s="12"/>
      <c r="BSM175" s="11"/>
      <c r="BSN175" s="12"/>
      <c r="BSW175" s="11"/>
      <c r="BSX175" s="12"/>
      <c r="BTG175" s="11"/>
      <c r="BTH175" s="12"/>
      <c r="BTQ175" s="11"/>
      <c r="BTR175" s="12"/>
      <c r="BUA175" s="11"/>
      <c r="BUB175" s="12"/>
      <c r="BUK175" s="11"/>
      <c r="BUL175" s="12"/>
      <c r="BUU175" s="11"/>
      <c r="BUV175" s="12"/>
      <c r="BVE175" s="11"/>
      <c r="BVF175" s="12"/>
      <c r="BVO175" s="11"/>
      <c r="BVP175" s="12"/>
      <c r="BVY175" s="11"/>
      <c r="BVZ175" s="12"/>
      <c r="BWI175" s="11"/>
      <c r="BWJ175" s="12"/>
      <c r="BWS175" s="11"/>
      <c r="BWT175" s="12"/>
      <c r="BXC175" s="11"/>
      <c r="BXD175" s="12"/>
      <c r="BXM175" s="11"/>
      <c r="BXN175" s="12"/>
      <c r="BXW175" s="11"/>
      <c r="BXX175" s="12"/>
      <c r="BYG175" s="11"/>
      <c r="BYH175" s="12"/>
      <c r="BYQ175" s="11"/>
      <c r="BYR175" s="12"/>
      <c r="BZA175" s="11"/>
      <c r="BZB175" s="12"/>
      <c r="BZK175" s="11"/>
      <c r="BZL175" s="12"/>
      <c r="BZU175" s="11"/>
      <c r="BZV175" s="12"/>
      <c r="CAE175" s="11"/>
      <c r="CAF175" s="12"/>
      <c r="CAO175" s="11"/>
      <c r="CAP175" s="12"/>
      <c r="CAY175" s="11"/>
      <c r="CAZ175" s="12"/>
      <c r="CBI175" s="11"/>
      <c r="CBJ175" s="12"/>
      <c r="CBS175" s="11"/>
      <c r="CBT175" s="12"/>
      <c r="CCC175" s="11"/>
      <c r="CCD175" s="12"/>
      <c r="CCM175" s="11"/>
      <c r="CCN175" s="12"/>
      <c r="CCW175" s="11"/>
      <c r="CCX175" s="12"/>
      <c r="CDG175" s="11"/>
      <c r="CDH175" s="12"/>
      <c r="CDQ175" s="11"/>
      <c r="CDR175" s="12"/>
      <c r="CEA175" s="11"/>
      <c r="CEB175" s="12"/>
      <c r="CEK175" s="11"/>
      <c r="CEL175" s="12"/>
      <c r="CEU175" s="11"/>
      <c r="CEV175" s="12"/>
      <c r="CFE175" s="11"/>
      <c r="CFF175" s="12"/>
      <c r="CFO175" s="11"/>
      <c r="CFP175" s="12"/>
      <c r="CFY175" s="11"/>
      <c r="CFZ175" s="12"/>
      <c r="CGI175" s="11"/>
      <c r="CGJ175" s="12"/>
      <c r="CGS175" s="11"/>
      <c r="CGT175" s="12"/>
      <c r="CHC175" s="11"/>
      <c r="CHD175" s="12"/>
      <c r="CHM175" s="11"/>
      <c r="CHN175" s="12"/>
      <c r="CHW175" s="11"/>
      <c r="CHX175" s="12"/>
      <c r="CIG175" s="11"/>
      <c r="CIH175" s="12"/>
      <c r="CIQ175" s="11"/>
      <c r="CIR175" s="12"/>
      <c r="CJA175" s="11"/>
      <c r="CJB175" s="12"/>
      <c r="CJK175" s="11"/>
      <c r="CJL175" s="12"/>
      <c r="CJU175" s="11"/>
      <c r="CJV175" s="12"/>
      <c r="CKE175" s="11"/>
      <c r="CKF175" s="12"/>
      <c r="CKO175" s="11"/>
      <c r="CKP175" s="12"/>
      <c r="CKY175" s="11"/>
      <c r="CKZ175" s="12"/>
      <c r="CLI175" s="11"/>
      <c r="CLJ175" s="12"/>
      <c r="CLS175" s="11"/>
      <c r="CLT175" s="12"/>
      <c r="CMC175" s="11"/>
      <c r="CMD175" s="12"/>
      <c r="CMM175" s="11"/>
      <c r="CMN175" s="12"/>
      <c r="CMW175" s="11"/>
      <c r="CMX175" s="12"/>
      <c r="CNG175" s="11"/>
      <c r="CNH175" s="12"/>
      <c r="CNQ175" s="11"/>
      <c r="CNR175" s="12"/>
      <c r="COA175" s="11"/>
      <c r="COB175" s="12"/>
      <c r="COK175" s="11"/>
      <c r="COL175" s="12"/>
      <c r="COU175" s="11"/>
      <c r="COV175" s="12"/>
      <c r="CPE175" s="11"/>
      <c r="CPF175" s="12"/>
      <c r="CPO175" s="11"/>
      <c r="CPP175" s="12"/>
      <c r="CPY175" s="11"/>
      <c r="CPZ175" s="12"/>
      <c r="CQI175" s="11"/>
      <c r="CQJ175" s="12"/>
      <c r="CQS175" s="11"/>
      <c r="CQT175" s="12"/>
      <c r="CRC175" s="11"/>
      <c r="CRD175" s="12"/>
      <c r="CRM175" s="11"/>
      <c r="CRN175" s="12"/>
      <c r="CRW175" s="11"/>
      <c r="CRX175" s="12"/>
      <c r="CSG175" s="11"/>
      <c r="CSH175" s="12"/>
      <c r="CSQ175" s="11"/>
      <c r="CSR175" s="12"/>
      <c r="CTA175" s="11"/>
      <c r="CTB175" s="12"/>
      <c r="CTK175" s="11"/>
      <c r="CTL175" s="12"/>
      <c r="CTU175" s="11"/>
      <c r="CTV175" s="12"/>
      <c r="CUE175" s="11"/>
      <c r="CUF175" s="12"/>
      <c r="CUO175" s="11"/>
      <c r="CUP175" s="12"/>
      <c r="CUY175" s="11"/>
      <c r="CUZ175" s="12"/>
      <c r="CVI175" s="11"/>
      <c r="CVJ175" s="12"/>
      <c r="CVS175" s="11"/>
      <c r="CVT175" s="12"/>
      <c r="CWC175" s="11"/>
      <c r="CWD175" s="12"/>
      <c r="CWM175" s="11"/>
      <c r="CWN175" s="12"/>
      <c r="CWW175" s="11"/>
      <c r="CWX175" s="12"/>
      <c r="CXG175" s="11"/>
      <c r="CXH175" s="12"/>
      <c r="CXQ175" s="11"/>
      <c r="CXR175" s="12"/>
      <c r="CYA175" s="11"/>
      <c r="CYB175" s="12"/>
      <c r="CYK175" s="11"/>
      <c r="CYL175" s="12"/>
      <c r="CYU175" s="11"/>
      <c r="CYV175" s="12"/>
      <c r="CZE175" s="11"/>
      <c r="CZF175" s="12"/>
      <c r="CZO175" s="11"/>
      <c r="CZP175" s="12"/>
      <c r="CZY175" s="11"/>
      <c r="CZZ175" s="12"/>
      <c r="DAI175" s="11"/>
      <c r="DAJ175" s="12"/>
      <c r="DAS175" s="11"/>
      <c r="DAT175" s="12"/>
      <c r="DBC175" s="11"/>
      <c r="DBD175" s="12"/>
      <c r="DBM175" s="11"/>
      <c r="DBN175" s="12"/>
      <c r="DBW175" s="11"/>
      <c r="DBX175" s="12"/>
      <c r="DCG175" s="11"/>
      <c r="DCH175" s="12"/>
      <c r="DCQ175" s="11"/>
      <c r="DCR175" s="12"/>
      <c r="DDA175" s="11"/>
      <c r="DDB175" s="12"/>
      <c r="DDK175" s="11"/>
      <c r="DDL175" s="12"/>
      <c r="DDU175" s="11"/>
      <c r="DDV175" s="12"/>
      <c r="DEE175" s="11"/>
      <c r="DEF175" s="12"/>
      <c r="DEO175" s="11"/>
      <c r="DEP175" s="12"/>
      <c r="DEY175" s="11"/>
      <c r="DEZ175" s="12"/>
      <c r="DFI175" s="11"/>
      <c r="DFJ175" s="12"/>
      <c r="DFS175" s="11"/>
      <c r="DFT175" s="12"/>
      <c r="DGC175" s="11"/>
      <c r="DGD175" s="12"/>
      <c r="DGM175" s="11"/>
      <c r="DGN175" s="12"/>
      <c r="DGW175" s="11"/>
      <c r="DGX175" s="12"/>
      <c r="DHG175" s="11"/>
      <c r="DHH175" s="12"/>
      <c r="DHQ175" s="11"/>
      <c r="DHR175" s="12"/>
      <c r="DIA175" s="11"/>
      <c r="DIB175" s="12"/>
      <c r="DIK175" s="11"/>
      <c r="DIL175" s="12"/>
      <c r="DIU175" s="11"/>
      <c r="DIV175" s="12"/>
      <c r="DJE175" s="11"/>
      <c r="DJF175" s="12"/>
      <c r="DJO175" s="11"/>
      <c r="DJP175" s="12"/>
      <c r="DJY175" s="11"/>
      <c r="DJZ175" s="12"/>
      <c r="DKI175" s="11"/>
      <c r="DKJ175" s="12"/>
      <c r="DKS175" s="11"/>
      <c r="DKT175" s="12"/>
      <c r="DLC175" s="11"/>
      <c r="DLD175" s="12"/>
      <c r="DLM175" s="11"/>
      <c r="DLN175" s="12"/>
      <c r="DLW175" s="11"/>
      <c r="DLX175" s="12"/>
      <c r="DMG175" s="11"/>
      <c r="DMH175" s="12"/>
      <c r="DMQ175" s="11"/>
      <c r="DMR175" s="12"/>
      <c r="DNA175" s="11"/>
      <c r="DNB175" s="12"/>
      <c r="DNK175" s="11"/>
      <c r="DNL175" s="12"/>
      <c r="DNU175" s="11"/>
      <c r="DNV175" s="12"/>
      <c r="DOE175" s="11"/>
      <c r="DOF175" s="12"/>
      <c r="DOO175" s="11"/>
      <c r="DOP175" s="12"/>
      <c r="DOY175" s="11"/>
      <c r="DOZ175" s="12"/>
      <c r="DPI175" s="11"/>
      <c r="DPJ175" s="12"/>
      <c r="DPS175" s="11"/>
      <c r="DPT175" s="12"/>
      <c r="DQC175" s="11"/>
      <c r="DQD175" s="12"/>
      <c r="DQM175" s="11"/>
      <c r="DQN175" s="12"/>
      <c r="DQW175" s="11"/>
      <c r="DQX175" s="12"/>
      <c r="DRG175" s="11"/>
      <c r="DRH175" s="12"/>
      <c r="DRQ175" s="11"/>
      <c r="DRR175" s="12"/>
      <c r="DSA175" s="11"/>
      <c r="DSB175" s="12"/>
      <c r="DSK175" s="11"/>
      <c r="DSL175" s="12"/>
      <c r="DSU175" s="11"/>
      <c r="DSV175" s="12"/>
      <c r="DTE175" s="11"/>
      <c r="DTF175" s="12"/>
      <c r="DTO175" s="11"/>
      <c r="DTP175" s="12"/>
      <c r="DTY175" s="11"/>
      <c r="DTZ175" s="12"/>
      <c r="DUI175" s="11"/>
      <c r="DUJ175" s="12"/>
      <c r="DUS175" s="11"/>
      <c r="DUT175" s="12"/>
      <c r="DVC175" s="11"/>
      <c r="DVD175" s="12"/>
      <c r="DVM175" s="11"/>
      <c r="DVN175" s="12"/>
      <c r="DVW175" s="11"/>
      <c r="DVX175" s="12"/>
      <c r="DWG175" s="11"/>
      <c r="DWH175" s="12"/>
      <c r="DWQ175" s="11"/>
      <c r="DWR175" s="12"/>
      <c r="DXA175" s="11"/>
      <c r="DXB175" s="12"/>
      <c r="DXK175" s="11"/>
      <c r="DXL175" s="12"/>
      <c r="DXU175" s="11"/>
      <c r="DXV175" s="12"/>
      <c r="DYE175" s="11"/>
      <c r="DYF175" s="12"/>
      <c r="DYO175" s="11"/>
      <c r="DYP175" s="12"/>
      <c r="DYY175" s="11"/>
      <c r="DYZ175" s="12"/>
      <c r="DZI175" s="11"/>
      <c r="DZJ175" s="12"/>
      <c r="DZS175" s="11"/>
      <c r="DZT175" s="12"/>
      <c r="EAC175" s="11"/>
      <c r="EAD175" s="12"/>
      <c r="EAM175" s="11"/>
      <c r="EAN175" s="12"/>
      <c r="EAW175" s="11"/>
      <c r="EAX175" s="12"/>
      <c r="EBG175" s="11"/>
      <c r="EBH175" s="12"/>
      <c r="EBQ175" s="11"/>
      <c r="EBR175" s="12"/>
      <c r="ECA175" s="11"/>
      <c r="ECB175" s="12"/>
      <c r="ECK175" s="11"/>
      <c r="ECL175" s="12"/>
      <c r="ECU175" s="11"/>
      <c r="ECV175" s="12"/>
      <c r="EDE175" s="11"/>
      <c r="EDF175" s="12"/>
      <c r="EDO175" s="11"/>
      <c r="EDP175" s="12"/>
      <c r="EDY175" s="11"/>
      <c r="EDZ175" s="12"/>
      <c r="EEI175" s="11"/>
      <c r="EEJ175" s="12"/>
      <c r="EES175" s="11"/>
      <c r="EET175" s="12"/>
      <c r="EFC175" s="11"/>
      <c r="EFD175" s="12"/>
      <c r="EFM175" s="11"/>
      <c r="EFN175" s="12"/>
      <c r="EFW175" s="11"/>
      <c r="EFX175" s="12"/>
      <c r="EGG175" s="11"/>
      <c r="EGH175" s="12"/>
      <c r="EGQ175" s="11"/>
      <c r="EGR175" s="12"/>
      <c r="EHA175" s="11"/>
      <c r="EHB175" s="12"/>
      <c r="EHK175" s="11"/>
      <c r="EHL175" s="12"/>
      <c r="EHU175" s="11"/>
      <c r="EHV175" s="12"/>
      <c r="EIE175" s="11"/>
      <c r="EIF175" s="12"/>
      <c r="EIO175" s="11"/>
      <c r="EIP175" s="12"/>
      <c r="EIY175" s="11"/>
      <c r="EIZ175" s="12"/>
      <c r="EJI175" s="11"/>
      <c r="EJJ175" s="12"/>
      <c r="EJS175" s="11"/>
      <c r="EJT175" s="12"/>
      <c r="EKC175" s="11"/>
      <c r="EKD175" s="12"/>
      <c r="EKM175" s="11"/>
      <c r="EKN175" s="12"/>
      <c r="EKW175" s="11"/>
      <c r="EKX175" s="12"/>
      <c r="ELG175" s="11"/>
      <c r="ELH175" s="12"/>
      <c r="ELQ175" s="11"/>
      <c r="ELR175" s="12"/>
      <c r="EMA175" s="11"/>
      <c r="EMB175" s="12"/>
      <c r="EMK175" s="11"/>
      <c r="EML175" s="12"/>
      <c r="EMU175" s="11"/>
      <c r="EMV175" s="12"/>
      <c r="ENE175" s="11"/>
      <c r="ENF175" s="12"/>
      <c r="ENO175" s="11"/>
      <c r="ENP175" s="12"/>
      <c r="ENY175" s="11"/>
      <c r="ENZ175" s="12"/>
      <c r="EOI175" s="11"/>
      <c r="EOJ175" s="12"/>
      <c r="EOS175" s="11"/>
      <c r="EOT175" s="12"/>
      <c r="EPC175" s="11"/>
      <c r="EPD175" s="12"/>
      <c r="EPM175" s="11"/>
      <c r="EPN175" s="12"/>
      <c r="EPW175" s="11"/>
      <c r="EPX175" s="12"/>
      <c r="EQG175" s="11"/>
      <c r="EQH175" s="12"/>
      <c r="EQQ175" s="11"/>
      <c r="EQR175" s="12"/>
      <c r="ERA175" s="11"/>
      <c r="ERB175" s="12"/>
      <c r="ERK175" s="11"/>
      <c r="ERL175" s="12"/>
      <c r="ERU175" s="11"/>
      <c r="ERV175" s="12"/>
      <c r="ESE175" s="11"/>
      <c r="ESF175" s="12"/>
      <c r="ESO175" s="11"/>
      <c r="ESP175" s="12"/>
      <c r="ESY175" s="11"/>
      <c r="ESZ175" s="12"/>
      <c r="ETI175" s="11"/>
      <c r="ETJ175" s="12"/>
      <c r="ETS175" s="11"/>
      <c r="ETT175" s="12"/>
      <c r="EUC175" s="11"/>
      <c r="EUD175" s="12"/>
      <c r="EUM175" s="11"/>
      <c r="EUN175" s="12"/>
      <c r="EUW175" s="11"/>
      <c r="EUX175" s="12"/>
      <c r="EVG175" s="11"/>
      <c r="EVH175" s="12"/>
      <c r="EVQ175" s="11"/>
      <c r="EVR175" s="12"/>
      <c r="EWA175" s="11"/>
      <c r="EWB175" s="12"/>
      <c r="EWK175" s="11"/>
      <c r="EWL175" s="12"/>
      <c r="EWU175" s="11"/>
      <c r="EWV175" s="12"/>
      <c r="EXE175" s="11"/>
      <c r="EXF175" s="12"/>
      <c r="EXO175" s="11"/>
      <c r="EXP175" s="12"/>
      <c r="EXY175" s="11"/>
      <c r="EXZ175" s="12"/>
      <c r="EYI175" s="11"/>
      <c r="EYJ175" s="12"/>
      <c r="EYS175" s="11"/>
      <c r="EYT175" s="12"/>
      <c r="EZC175" s="11"/>
      <c r="EZD175" s="12"/>
      <c r="EZM175" s="11"/>
      <c r="EZN175" s="12"/>
      <c r="EZW175" s="11"/>
      <c r="EZX175" s="12"/>
      <c r="FAG175" s="11"/>
      <c r="FAH175" s="12"/>
      <c r="FAQ175" s="11"/>
      <c r="FAR175" s="12"/>
      <c r="FBA175" s="11"/>
      <c r="FBB175" s="12"/>
      <c r="FBK175" s="11"/>
      <c r="FBL175" s="12"/>
      <c r="FBU175" s="11"/>
      <c r="FBV175" s="12"/>
      <c r="FCE175" s="11"/>
      <c r="FCF175" s="12"/>
      <c r="FCO175" s="11"/>
      <c r="FCP175" s="12"/>
      <c r="FCY175" s="11"/>
      <c r="FCZ175" s="12"/>
      <c r="FDI175" s="11"/>
      <c r="FDJ175" s="12"/>
      <c r="FDS175" s="11"/>
      <c r="FDT175" s="12"/>
      <c r="FEC175" s="11"/>
      <c r="FED175" s="12"/>
      <c r="FEM175" s="11"/>
      <c r="FEN175" s="12"/>
      <c r="FEW175" s="11"/>
      <c r="FEX175" s="12"/>
      <c r="FFG175" s="11"/>
      <c r="FFH175" s="12"/>
      <c r="FFQ175" s="11"/>
      <c r="FFR175" s="12"/>
      <c r="FGA175" s="11"/>
      <c r="FGB175" s="12"/>
      <c r="FGK175" s="11"/>
      <c r="FGL175" s="12"/>
      <c r="FGU175" s="11"/>
      <c r="FGV175" s="12"/>
      <c r="FHE175" s="11"/>
      <c r="FHF175" s="12"/>
      <c r="FHO175" s="11"/>
      <c r="FHP175" s="12"/>
      <c r="FHY175" s="11"/>
      <c r="FHZ175" s="12"/>
      <c r="FII175" s="11"/>
      <c r="FIJ175" s="12"/>
      <c r="FIS175" s="11"/>
      <c r="FIT175" s="12"/>
      <c r="FJC175" s="11"/>
      <c r="FJD175" s="12"/>
      <c r="FJM175" s="11"/>
      <c r="FJN175" s="12"/>
      <c r="FJW175" s="11"/>
      <c r="FJX175" s="12"/>
      <c r="FKG175" s="11"/>
      <c r="FKH175" s="12"/>
      <c r="FKQ175" s="11"/>
      <c r="FKR175" s="12"/>
      <c r="FLA175" s="11"/>
      <c r="FLB175" s="12"/>
      <c r="FLK175" s="11"/>
      <c r="FLL175" s="12"/>
      <c r="FLU175" s="11"/>
      <c r="FLV175" s="12"/>
      <c r="FME175" s="11"/>
      <c r="FMF175" s="12"/>
      <c r="FMO175" s="11"/>
      <c r="FMP175" s="12"/>
      <c r="FMY175" s="11"/>
      <c r="FMZ175" s="12"/>
      <c r="FNI175" s="11"/>
      <c r="FNJ175" s="12"/>
      <c r="FNS175" s="11"/>
      <c r="FNT175" s="12"/>
      <c r="FOC175" s="11"/>
      <c r="FOD175" s="12"/>
      <c r="FOM175" s="11"/>
      <c r="FON175" s="12"/>
      <c r="FOW175" s="11"/>
      <c r="FOX175" s="12"/>
      <c r="FPG175" s="11"/>
      <c r="FPH175" s="12"/>
      <c r="FPQ175" s="11"/>
      <c r="FPR175" s="12"/>
      <c r="FQA175" s="11"/>
      <c r="FQB175" s="12"/>
      <c r="FQK175" s="11"/>
      <c r="FQL175" s="12"/>
      <c r="FQU175" s="11"/>
      <c r="FQV175" s="12"/>
      <c r="FRE175" s="11"/>
      <c r="FRF175" s="12"/>
      <c r="FRO175" s="11"/>
      <c r="FRP175" s="12"/>
      <c r="FRY175" s="11"/>
      <c r="FRZ175" s="12"/>
      <c r="FSI175" s="11"/>
      <c r="FSJ175" s="12"/>
      <c r="FSS175" s="11"/>
      <c r="FST175" s="12"/>
      <c r="FTC175" s="11"/>
      <c r="FTD175" s="12"/>
      <c r="FTM175" s="11"/>
      <c r="FTN175" s="12"/>
      <c r="FTW175" s="11"/>
      <c r="FTX175" s="12"/>
      <c r="FUG175" s="11"/>
      <c r="FUH175" s="12"/>
      <c r="FUQ175" s="11"/>
      <c r="FUR175" s="12"/>
      <c r="FVA175" s="11"/>
      <c r="FVB175" s="12"/>
      <c r="FVK175" s="11"/>
      <c r="FVL175" s="12"/>
      <c r="FVU175" s="11"/>
      <c r="FVV175" s="12"/>
      <c r="FWE175" s="11"/>
      <c r="FWF175" s="12"/>
      <c r="FWO175" s="11"/>
      <c r="FWP175" s="12"/>
      <c r="FWY175" s="11"/>
      <c r="FWZ175" s="12"/>
      <c r="FXI175" s="11"/>
      <c r="FXJ175" s="12"/>
      <c r="FXS175" s="11"/>
      <c r="FXT175" s="12"/>
      <c r="FYC175" s="11"/>
      <c r="FYD175" s="12"/>
      <c r="FYM175" s="11"/>
      <c r="FYN175" s="12"/>
      <c r="FYW175" s="11"/>
      <c r="FYX175" s="12"/>
      <c r="FZG175" s="11"/>
      <c r="FZH175" s="12"/>
      <c r="FZQ175" s="11"/>
      <c r="FZR175" s="12"/>
      <c r="GAA175" s="11"/>
      <c r="GAB175" s="12"/>
      <c r="GAK175" s="11"/>
      <c r="GAL175" s="12"/>
      <c r="GAU175" s="11"/>
      <c r="GAV175" s="12"/>
      <c r="GBE175" s="11"/>
      <c r="GBF175" s="12"/>
      <c r="GBO175" s="11"/>
      <c r="GBP175" s="12"/>
      <c r="GBY175" s="11"/>
      <c r="GBZ175" s="12"/>
      <c r="GCI175" s="11"/>
      <c r="GCJ175" s="12"/>
      <c r="GCS175" s="11"/>
      <c r="GCT175" s="12"/>
      <c r="GDC175" s="11"/>
      <c r="GDD175" s="12"/>
      <c r="GDM175" s="11"/>
      <c r="GDN175" s="12"/>
      <c r="GDW175" s="11"/>
      <c r="GDX175" s="12"/>
      <c r="GEG175" s="11"/>
      <c r="GEH175" s="12"/>
      <c r="GEQ175" s="11"/>
      <c r="GER175" s="12"/>
      <c r="GFA175" s="11"/>
      <c r="GFB175" s="12"/>
      <c r="GFK175" s="11"/>
      <c r="GFL175" s="12"/>
      <c r="GFU175" s="11"/>
      <c r="GFV175" s="12"/>
      <c r="GGE175" s="11"/>
      <c r="GGF175" s="12"/>
      <c r="GGO175" s="11"/>
      <c r="GGP175" s="12"/>
      <c r="GGY175" s="11"/>
      <c r="GGZ175" s="12"/>
      <c r="GHI175" s="11"/>
      <c r="GHJ175" s="12"/>
      <c r="GHS175" s="11"/>
      <c r="GHT175" s="12"/>
      <c r="GIC175" s="11"/>
      <c r="GID175" s="12"/>
      <c r="GIM175" s="11"/>
      <c r="GIN175" s="12"/>
      <c r="GIW175" s="11"/>
      <c r="GIX175" s="12"/>
      <c r="GJG175" s="11"/>
      <c r="GJH175" s="12"/>
      <c r="GJQ175" s="11"/>
      <c r="GJR175" s="12"/>
      <c r="GKA175" s="11"/>
      <c r="GKB175" s="12"/>
      <c r="GKK175" s="11"/>
      <c r="GKL175" s="12"/>
      <c r="GKU175" s="11"/>
      <c r="GKV175" s="12"/>
      <c r="GLE175" s="11"/>
      <c r="GLF175" s="12"/>
      <c r="GLO175" s="11"/>
      <c r="GLP175" s="12"/>
      <c r="GLY175" s="11"/>
      <c r="GLZ175" s="12"/>
      <c r="GMI175" s="11"/>
      <c r="GMJ175" s="12"/>
      <c r="GMS175" s="11"/>
      <c r="GMT175" s="12"/>
      <c r="GNC175" s="11"/>
      <c r="GND175" s="12"/>
      <c r="GNM175" s="11"/>
      <c r="GNN175" s="12"/>
      <c r="GNW175" s="11"/>
      <c r="GNX175" s="12"/>
      <c r="GOG175" s="11"/>
      <c r="GOH175" s="12"/>
      <c r="GOQ175" s="11"/>
      <c r="GOR175" s="12"/>
      <c r="GPA175" s="11"/>
      <c r="GPB175" s="12"/>
      <c r="GPK175" s="11"/>
      <c r="GPL175" s="12"/>
      <c r="GPU175" s="11"/>
      <c r="GPV175" s="12"/>
      <c r="GQE175" s="11"/>
      <c r="GQF175" s="12"/>
      <c r="GQO175" s="11"/>
      <c r="GQP175" s="12"/>
      <c r="GQY175" s="11"/>
      <c r="GQZ175" s="12"/>
      <c r="GRI175" s="11"/>
      <c r="GRJ175" s="12"/>
      <c r="GRS175" s="11"/>
      <c r="GRT175" s="12"/>
      <c r="GSC175" s="11"/>
      <c r="GSD175" s="12"/>
      <c r="GSM175" s="11"/>
      <c r="GSN175" s="12"/>
      <c r="GSW175" s="11"/>
      <c r="GSX175" s="12"/>
      <c r="GTG175" s="11"/>
      <c r="GTH175" s="12"/>
      <c r="GTQ175" s="11"/>
      <c r="GTR175" s="12"/>
      <c r="GUA175" s="11"/>
      <c r="GUB175" s="12"/>
      <c r="GUK175" s="11"/>
      <c r="GUL175" s="12"/>
      <c r="GUU175" s="11"/>
      <c r="GUV175" s="12"/>
      <c r="GVE175" s="11"/>
      <c r="GVF175" s="12"/>
      <c r="GVO175" s="11"/>
      <c r="GVP175" s="12"/>
      <c r="GVY175" s="11"/>
      <c r="GVZ175" s="12"/>
      <c r="GWI175" s="11"/>
      <c r="GWJ175" s="12"/>
      <c r="GWS175" s="11"/>
      <c r="GWT175" s="12"/>
      <c r="GXC175" s="11"/>
      <c r="GXD175" s="12"/>
      <c r="GXM175" s="11"/>
      <c r="GXN175" s="12"/>
      <c r="GXW175" s="11"/>
      <c r="GXX175" s="12"/>
      <c r="GYG175" s="11"/>
      <c r="GYH175" s="12"/>
      <c r="GYQ175" s="11"/>
      <c r="GYR175" s="12"/>
      <c r="GZA175" s="11"/>
      <c r="GZB175" s="12"/>
      <c r="GZK175" s="11"/>
      <c r="GZL175" s="12"/>
      <c r="GZU175" s="11"/>
      <c r="GZV175" s="12"/>
      <c r="HAE175" s="11"/>
      <c r="HAF175" s="12"/>
      <c r="HAO175" s="11"/>
      <c r="HAP175" s="12"/>
      <c r="HAY175" s="11"/>
      <c r="HAZ175" s="12"/>
      <c r="HBI175" s="11"/>
      <c r="HBJ175" s="12"/>
      <c r="HBS175" s="11"/>
      <c r="HBT175" s="12"/>
      <c r="HCC175" s="11"/>
      <c r="HCD175" s="12"/>
      <c r="HCM175" s="11"/>
      <c r="HCN175" s="12"/>
      <c r="HCW175" s="11"/>
      <c r="HCX175" s="12"/>
      <c r="HDG175" s="11"/>
      <c r="HDH175" s="12"/>
      <c r="HDQ175" s="11"/>
      <c r="HDR175" s="12"/>
      <c r="HEA175" s="11"/>
      <c r="HEB175" s="12"/>
      <c r="HEK175" s="11"/>
      <c r="HEL175" s="12"/>
      <c r="HEU175" s="11"/>
      <c r="HEV175" s="12"/>
      <c r="HFE175" s="11"/>
      <c r="HFF175" s="12"/>
      <c r="HFO175" s="11"/>
      <c r="HFP175" s="12"/>
      <c r="HFY175" s="11"/>
      <c r="HFZ175" s="12"/>
      <c r="HGI175" s="11"/>
      <c r="HGJ175" s="12"/>
      <c r="HGS175" s="11"/>
      <c r="HGT175" s="12"/>
      <c r="HHC175" s="11"/>
      <c r="HHD175" s="12"/>
      <c r="HHM175" s="11"/>
      <c r="HHN175" s="12"/>
      <c r="HHW175" s="11"/>
      <c r="HHX175" s="12"/>
      <c r="HIG175" s="11"/>
      <c r="HIH175" s="12"/>
      <c r="HIQ175" s="11"/>
      <c r="HIR175" s="12"/>
      <c r="HJA175" s="11"/>
      <c r="HJB175" s="12"/>
      <c r="HJK175" s="11"/>
      <c r="HJL175" s="12"/>
      <c r="HJU175" s="11"/>
      <c r="HJV175" s="12"/>
      <c r="HKE175" s="11"/>
      <c r="HKF175" s="12"/>
      <c r="HKO175" s="11"/>
      <c r="HKP175" s="12"/>
      <c r="HKY175" s="11"/>
      <c r="HKZ175" s="12"/>
      <c r="HLI175" s="11"/>
      <c r="HLJ175" s="12"/>
      <c r="HLS175" s="11"/>
      <c r="HLT175" s="12"/>
      <c r="HMC175" s="11"/>
      <c r="HMD175" s="12"/>
      <c r="HMM175" s="11"/>
      <c r="HMN175" s="12"/>
      <c r="HMW175" s="11"/>
      <c r="HMX175" s="12"/>
      <c r="HNG175" s="11"/>
      <c r="HNH175" s="12"/>
      <c r="HNQ175" s="11"/>
      <c r="HNR175" s="12"/>
      <c r="HOA175" s="11"/>
      <c r="HOB175" s="12"/>
      <c r="HOK175" s="11"/>
      <c r="HOL175" s="12"/>
      <c r="HOU175" s="11"/>
      <c r="HOV175" s="12"/>
      <c r="HPE175" s="11"/>
      <c r="HPF175" s="12"/>
      <c r="HPO175" s="11"/>
      <c r="HPP175" s="12"/>
      <c r="HPY175" s="11"/>
      <c r="HPZ175" s="12"/>
      <c r="HQI175" s="11"/>
      <c r="HQJ175" s="12"/>
      <c r="HQS175" s="11"/>
      <c r="HQT175" s="12"/>
      <c r="HRC175" s="11"/>
      <c r="HRD175" s="12"/>
      <c r="HRM175" s="11"/>
      <c r="HRN175" s="12"/>
      <c r="HRW175" s="11"/>
      <c r="HRX175" s="12"/>
      <c r="HSG175" s="11"/>
      <c r="HSH175" s="12"/>
      <c r="HSQ175" s="11"/>
      <c r="HSR175" s="12"/>
      <c r="HTA175" s="11"/>
      <c r="HTB175" s="12"/>
      <c r="HTK175" s="11"/>
      <c r="HTL175" s="12"/>
      <c r="HTU175" s="11"/>
      <c r="HTV175" s="12"/>
      <c r="HUE175" s="11"/>
      <c r="HUF175" s="12"/>
      <c r="HUO175" s="11"/>
      <c r="HUP175" s="12"/>
      <c r="HUY175" s="11"/>
      <c r="HUZ175" s="12"/>
      <c r="HVI175" s="11"/>
      <c r="HVJ175" s="12"/>
      <c r="HVS175" s="11"/>
      <c r="HVT175" s="12"/>
      <c r="HWC175" s="11"/>
      <c r="HWD175" s="12"/>
      <c r="HWM175" s="11"/>
      <c r="HWN175" s="12"/>
      <c r="HWW175" s="11"/>
      <c r="HWX175" s="12"/>
      <c r="HXG175" s="11"/>
      <c r="HXH175" s="12"/>
      <c r="HXQ175" s="11"/>
      <c r="HXR175" s="12"/>
      <c r="HYA175" s="11"/>
      <c r="HYB175" s="12"/>
      <c r="HYK175" s="11"/>
      <c r="HYL175" s="12"/>
      <c r="HYU175" s="11"/>
      <c r="HYV175" s="12"/>
      <c r="HZE175" s="11"/>
      <c r="HZF175" s="12"/>
      <c r="HZO175" s="11"/>
      <c r="HZP175" s="12"/>
      <c r="HZY175" s="11"/>
      <c r="HZZ175" s="12"/>
      <c r="IAI175" s="11"/>
      <c r="IAJ175" s="12"/>
      <c r="IAS175" s="11"/>
      <c r="IAT175" s="12"/>
      <c r="IBC175" s="11"/>
      <c r="IBD175" s="12"/>
      <c r="IBM175" s="11"/>
      <c r="IBN175" s="12"/>
      <c r="IBW175" s="11"/>
      <c r="IBX175" s="12"/>
      <c r="ICG175" s="11"/>
      <c r="ICH175" s="12"/>
      <c r="ICQ175" s="11"/>
      <c r="ICR175" s="12"/>
      <c r="IDA175" s="11"/>
      <c r="IDB175" s="12"/>
      <c r="IDK175" s="11"/>
      <c r="IDL175" s="12"/>
      <c r="IDU175" s="11"/>
      <c r="IDV175" s="12"/>
      <c r="IEE175" s="11"/>
      <c r="IEF175" s="12"/>
      <c r="IEO175" s="11"/>
      <c r="IEP175" s="12"/>
      <c r="IEY175" s="11"/>
      <c r="IEZ175" s="12"/>
      <c r="IFI175" s="11"/>
      <c r="IFJ175" s="12"/>
      <c r="IFS175" s="11"/>
      <c r="IFT175" s="12"/>
      <c r="IGC175" s="11"/>
      <c r="IGD175" s="12"/>
      <c r="IGM175" s="11"/>
      <c r="IGN175" s="12"/>
      <c r="IGW175" s="11"/>
      <c r="IGX175" s="12"/>
      <c r="IHG175" s="11"/>
      <c r="IHH175" s="12"/>
      <c r="IHQ175" s="11"/>
      <c r="IHR175" s="12"/>
      <c r="IIA175" s="11"/>
      <c r="IIB175" s="12"/>
      <c r="IIK175" s="11"/>
      <c r="IIL175" s="12"/>
      <c r="IIU175" s="11"/>
      <c r="IIV175" s="12"/>
      <c r="IJE175" s="11"/>
      <c r="IJF175" s="12"/>
      <c r="IJO175" s="11"/>
      <c r="IJP175" s="12"/>
      <c r="IJY175" s="11"/>
      <c r="IJZ175" s="12"/>
      <c r="IKI175" s="11"/>
      <c r="IKJ175" s="12"/>
      <c r="IKS175" s="11"/>
      <c r="IKT175" s="12"/>
      <c r="ILC175" s="11"/>
      <c r="ILD175" s="12"/>
      <c r="ILM175" s="11"/>
      <c r="ILN175" s="12"/>
      <c r="ILW175" s="11"/>
      <c r="ILX175" s="12"/>
      <c r="IMG175" s="11"/>
      <c r="IMH175" s="12"/>
      <c r="IMQ175" s="11"/>
      <c r="IMR175" s="12"/>
      <c r="INA175" s="11"/>
      <c r="INB175" s="12"/>
      <c r="INK175" s="11"/>
      <c r="INL175" s="12"/>
      <c r="INU175" s="11"/>
      <c r="INV175" s="12"/>
      <c r="IOE175" s="11"/>
      <c r="IOF175" s="12"/>
      <c r="IOO175" s="11"/>
      <c r="IOP175" s="12"/>
      <c r="IOY175" s="11"/>
      <c r="IOZ175" s="12"/>
      <c r="IPI175" s="11"/>
      <c r="IPJ175" s="12"/>
      <c r="IPS175" s="11"/>
      <c r="IPT175" s="12"/>
      <c r="IQC175" s="11"/>
      <c r="IQD175" s="12"/>
      <c r="IQM175" s="11"/>
      <c r="IQN175" s="12"/>
      <c r="IQW175" s="11"/>
      <c r="IQX175" s="12"/>
      <c r="IRG175" s="11"/>
      <c r="IRH175" s="12"/>
      <c r="IRQ175" s="11"/>
      <c r="IRR175" s="12"/>
      <c r="ISA175" s="11"/>
      <c r="ISB175" s="12"/>
      <c r="ISK175" s="11"/>
      <c r="ISL175" s="12"/>
      <c r="ISU175" s="11"/>
      <c r="ISV175" s="12"/>
      <c r="ITE175" s="11"/>
      <c r="ITF175" s="12"/>
      <c r="ITO175" s="11"/>
      <c r="ITP175" s="12"/>
      <c r="ITY175" s="11"/>
      <c r="ITZ175" s="12"/>
      <c r="IUI175" s="11"/>
      <c r="IUJ175" s="12"/>
      <c r="IUS175" s="11"/>
      <c r="IUT175" s="12"/>
      <c r="IVC175" s="11"/>
      <c r="IVD175" s="12"/>
      <c r="IVM175" s="11"/>
      <c r="IVN175" s="12"/>
      <c r="IVW175" s="11"/>
      <c r="IVX175" s="12"/>
      <c r="IWG175" s="11"/>
      <c r="IWH175" s="12"/>
      <c r="IWQ175" s="11"/>
      <c r="IWR175" s="12"/>
      <c r="IXA175" s="11"/>
      <c r="IXB175" s="12"/>
      <c r="IXK175" s="11"/>
      <c r="IXL175" s="12"/>
      <c r="IXU175" s="11"/>
      <c r="IXV175" s="12"/>
      <c r="IYE175" s="11"/>
      <c r="IYF175" s="12"/>
      <c r="IYO175" s="11"/>
      <c r="IYP175" s="12"/>
      <c r="IYY175" s="11"/>
      <c r="IYZ175" s="12"/>
      <c r="IZI175" s="11"/>
      <c r="IZJ175" s="12"/>
      <c r="IZS175" s="11"/>
      <c r="IZT175" s="12"/>
      <c r="JAC175" s="11"/>
      <c r="JAD175" s="12"/>
      <c r="JAM175" s="11"/>
      <c r="JAN175" s="12"/>
      <c r="JAW175" s="11"/>
      <c r="JAX175" s="12"/>
      <c r="JBG175" s="11"/>
      <c r="JBH175" s="12"/>
      <c r="JBQ175" s="11"/>
      <c r="JBR175" s="12"/>
      <c r="JCA175" s="11"/>
      <c r="JCB175" s="12"/>
      <c r="JCK175" s="11"/>
      <c r="JCL175" s="12"/>
      <c r="JCU175" s="11"/>
      <c r="JCV175" s="12"/>
      <c r="JDE175" s="11"/>
      <c r="JDF175" s="12"/>
      <c r="JDO175" s="11"/>
      <c r="JDP175" s="12"/>
      <c r="JDY175" s="11"/>
      <c r="JDZ175" s="12"/>
      <c r="JEI175" s="11"/>
      <c r="JEJ175" s="12"/>
      <c r="JES175" s="11"/>
      <c r="JET175" s="12"/>
      <c r="JFC175" s="11"/>
      <c r="JFD175" s="12"/>
      <c r="JFM175" s="11"/>
      <c r="JFN175" s="12"/>
      <c r="JFW175" s="11"/>
      <c r="JFX175" s="12"/>
      <c r="JGG175" s="11"/>
      <c r="JGH175" s="12"/>
      <c r="JGQ175" s="11"/>
      <c r="JGR175" s="12"/>
      <c r="JHA175" s="11"/>
      <c r="JHB175" s="12"/>
      <c r="JHK175" s="11"/>
      <c r="JHL175" s="12"/>
      <c r="JHU175" s="11"/>
      <c r="JHV175" s="12"/>
      <c r="JIE175" s="11"/>
      <c r="JIF175" s="12"/>
      <c r="JIO175" s="11"/>
      <c r="JIP175" s="12"/>
      <c r="JIY175" s="11"/>
      <c r="JIZ175" s="12"/>
      <c r="JJI175" s="11"/>
      <c r="JJJ175" s="12"/>
      <c r="JJS175" s="11"/>
      <c r="JJT175" s="12"/>
      <c r="JKC175" s="11"/>
      <c r="JKD175" s="12"/>
      <c r="JKM175" s="11"/>
      <c r="JKN175" s="12"/>
      <c r="JKW175" s="11"/>
      <c r="JKX175" s="12"/>
      <c r="JLG175" s="11"/>
      <c r="JLH175" s="12"/>
      <c r="JLQ175" s="11"/>
      <c r="JLR175" s="12"/>
      <c r="JMA175" s="11"/>
      <c r="JMB175" s="12"/>
      <c r="JMK175" s="11"/>
      <c r="JML175" s="12"/>
      <c r="JMU175" s="11"/>
      <c r="JMV175" s="12"/>
      <c r="JNE175" s="11"/>
      <c r="JNF175" s="12"/>
      <c r="JNO175" s="11"/>
      <c r="JNP175" s="12"/>
      <c r="JNY175" s="11"/>
      <c r="JNZ175" s="12"/>
      <c r="JOI175" s="11"/>
      <c r="JOJ175" s="12"/>
      <c r="JOS175" s="11"/>
      <c r="JOT175" s="12"/>
      <c r="JPC175" s="11"/>
      <c r="JPD175" s="12"/>
      <c r="JPM175" s="11"/>
      <c r="JPN175" s="12"/>
      <c r="JPW175" s="11"/>
      <c r="JPX175" s="12"/>
      <c r="JQG175" s="11"/>
      <c r="JQH175" s="12"/>
      <c r="JQQ175" s="11"/>
      <c r="JQR175" s="12"/>
      <c r="JRA175" s="11"/>
      <c r="JRB175" s="12"/>
      <c r="JRK175" s="11"/>
      <c r="JRL175" s="12"/>
      <c r="JRU175" s="11"/>
      <c r="JRV175" s="12"/>
      <c r="JSE175" s="11"/>
      <c r="JSF175" s="12"/>
      <c r="JSO175" s="11"/>
      <c r="JSP175" s="12"/>
      <c r="JSY175" s="11"/>
      <c r="JSZ175" s="12"/>
      <c r="JTI175" s="11"/>
      <c r="JTJ175" s="12"/>
      <c r="JTS175" s="11"/>
      <c r="JTT175" s="12"/>
      <c r="JUC175" s="11"/>
      <c r="JUD175" s="12"/>
      <c r="JUM175" s="11"/>
      <c r="JUN175" s="12"/>
      <c r="JUW175" s="11"/>
      <c r="JUX175" s="12"/>
      <c r="JVG175" s="11"/>
      <c r="JVH175" s="12"/>
      <c r="JVQ175" s="11"/>
      <c r="JVR175" s="12"/>
      <c r="JWA175" s="11"/>
      <c r="JWB175" s="12"/>
      <c r="JWK175" s="11"/>
      <c r="JWL175" s="12"/>
      <c r="JWU175" s="11"/>
      <c r="JWV175" s="12"/>
      <c r="JXE175" s="11"/>
      <c r="JXF175" s="12"/>
      <c r="JXO175" s="11"/>
      <c r="JXP175" s="12"/>
      <c r="JXY175" s="11"/>
      <c r="JXZ175" s="12"/>
      <c r="JYI175" s="11"/>
      <c r="JYJ175" s="12"/>
      <c r="JYS175" s="11"/>
      <c r="JYT175" s="12"/>
      <c r="JZC175" s="11"/>
      <c r="JZD175" s="12"/>
      <c r="JZM175" s="11"/>
      <c r="JZN175" s="12"/>
      <c r="JZW175" s="11"/>
      <c r="JZX175" s="12"/>
      <c r="KAG175" s="11"/>
      <c r="KAH175" s="12"/>
      <c r="KAQ175" s="11"/>
      <c r="KAR175" s="12"/>
      <c r="KBA175" s="11"/>
      <c r="KBB175" s="12"/>
      <c r="KBK175" s="11"/>
      <c r="KBL175" s="12"/>
      <c r="KBU175" s="11"/>
      <c r="KBV175" s="12"/>
      <c r="KCE175" s="11"/>
      <c r="KCF175" s="12"/>
      <c r="KCO175" s="11"/>
      <c r="KCP175" s="12"/>
      <c r="KCY175" s="11"/>
      <c r="KCZ175" s="12"/>
      <c r="KDI175" s="11"/>
      <c r="KDJ175" s="12"/>
      <c r="KDS175" s="11"/>
      <c r="KDT175" s="12"/>
      <c r="KEC175" s="11"/>
      <c r="KED175" s="12"/>
      <c r="KEM175" s="11"/>
      <c r="KEN175" s="12"/>
      <c r="KEW175" s="11"/>
      <c r="KEX175" s="12"/>
      <c r="KFG175" s="11"/>
      <c r="KFH175" s="12"/>
      <c r="KFQ175" s="11"/>
      <c r="KFR175" s="12"/>
      <c r="KGA175" s="11"/>
      <c r="KGB175" s="12"/>
      <c r="KGK175" s="11"/>
      <c r="KGL175" s="12"/>
      <c r="KGU175" s="11"/>
      <c r="KGV175" s="12"/>
      <c r="KHE175" s="11"/>
      <c r="KHF175" s="12"/>
      <c r="KHO175" s="11"/>
      <c r="KHP175" s="12"/>
      <c r="KHY175" s="11"/>
      <c r="KHZ175" s="12"/>
      <c r="KII175" s="11"/>
      <c r="KIJ175" s="12"/>
      <c r="KIS175" s="11"/>
      <c r="KIT175" s="12"/>
      <c r="KJC175" s="11"/>
      <c r="KJD175" s="12"/>
      <c r="KJM175" s="11"/>
      <c r="KJN175" s="12"/>
      <c r="KJW175" s="11"/>
      <c r="KJX175" s="12"/>
      <c r="KKG175" s="11"/>
      <c r="KKH175" s="12"/>
      <c r="KKQ175" s="11"/>
      <c r="KKR175" s="12"/>
      <c r="KLA175" s="11"/>
      <c r="KLB175" s="12"/>
      <c r="KLK175" s="11"/>
      <c r="KLL175" s="12"/>
      <c r="KLU175" s="11"/>
      <c r="KLV175" s="12"/>
      <c r="KME175" s="11"/>
      <c r="KMF175" s="12"/>
      <c r="KMO175" s="11"/>
      <c r="KMP175" s="12"/>
      <c r="KMY175" s="11"/>
      <c r="KMZ175" s="12"/>
      <c r="KNI175" s="11"/>
      <c r="KNJ175" s="12"/>
      <c r="KNS175" s="11"/>
      <c r="KNT175" s="12"/>
      <c r="KOC175" s="11"/>
      <c r="KOD175" s="12"/>
      <c r="KOM175" s="11"/>
      <c r="KON175" s="12"/>
      <c r="KOW175" s="11"/>
      <c r="KOX175" s="12"/>
      <c r="KPG175" s="11"/>
      <c r="KPH175" s="12"/>
      <c r="KPQ175" s="11"/>
      <c r="KPR175" s="12"/>
      <c r="KQA175" s="11"/>
      <c r="KQB175" s="12"/>
      <c r="KQK175" s="11"/>
      <c r="KQL175" s="12"/>
      <c r="KQU175" s="11"/>
      <c r="KQV175" s="12"/>
      <c r="KRE175" s="11"/>
      <c r="KRF175" s="12"/>
      <c r="KRO175" s="11"/>
      <c r="KRP175" s="12"/>
      <c r="KRY175" s="11"/>
      <c r="KRZ175" s="12"/>
      <c r="KSI175" s="11"/>
      <c r="KSJ175" s="12"/>
      <c r="KSS175" s="11"/>
      <c r="KST175" s="12"/>
      <c r="KTC175" s="11"/>
      <c r="KTD175" s="12"/>
      <c r="KTM175" s="11"/>
      <c r="KTN175" s="12"/>
      <c r="KTW175" s="11"/>
      <c r="KTX175" s="12"/>
      <c r="KUG175" s="11"/>
      <c r="KUH175" s="12"/>
      <c r="KUQ175" s="11"/>
      <c r="KUR175" s="12"/>
      <c r="KVA175" s="11"/>
      <c r="KVB175" s="12"/>
      <c r="KVK175" s="11"/>
      <c r="KVL175" s="12"/>
      <c r="KVU175" s="11"/>
      <c r="KVV175" s="12"/>
      <c r="KWE175" s="11"/>
      <c r="KWF175" s="12"/>
      <c r="KWO175" s="11"/>
      <c r="KWP175" s="12"/>
      <c r="KWY175" s="11"/>
      <c r="KWZ175" s="12"/>
      <c r="KXI175" s="11"/>
      <c r="KXJ175" s="12"/>
      <c r="KXS175" s="11"/>
      <c r="KXT175" s="12"/>
      <c r="KYC175" s="11"/>
      <c r="KYD175" s="12"/>
      <c r="KYM175" s="11"/>
      <c r="KYN175" s="12"/>
      <c r="KYW175" s="11"/>
      <c r="KYX175" s="12"/>
      <c r="KZG175" s="11"/>
      <c r="KZH175" s="12"/>
      <c r="KZQ175" s="11"/>
      <c r="KZR175" s="12"/>
      <c r="LAA175" s="11"/>
      <c r="LAB175" s="12"/>
      <c r="LAK175" s="11"/>
      <c r="LAL175" s="12"/>
      <c r="LAU175" s="11"/>
      <c r="LAV175" s="12"/>
      <c r="LBE175" s="11"/>
      <c r="LBF175" s="12"/>
      <c r="LBO175" s="11"/>
      <c r="LBP175" s="12"/>
      <c r="LBY175" s="11"/>
      <c r="LBZ175" s="12"/>
      <c r="LCI175" s="11"/>
      <c r="LCJ175" s="12"/>
      <c r="LCS175" s="11"/>
      <c r="LCT175" s="12"/>
      <c r="LDC175" s="11"/>
      <c r="LDD175" s="12"/>
      <c r="LDM175" s="11"/>
      <c r="LDN175" s="12"/>
      <c r="LDW175" s="11"/>
      <c r="LDX175" s="12"/>
      <c r="LEG175" s="11"/>
      <c r="LEH175" s="12"/>
      <c r="LEQ175" s="11"/>
      <c r="LER175" s="12"/>
      <c r="LFA175" s="11"/>
      <c r="LFB175" s="12"/>
      <c r="LFK175" s="11"/>
      <c r="LFL175" s="12"/>
      <c r="LFU175" s="11"/>
      <c r="LFV175" s="12"/>
      <c r="LGE175" s="11"/>
      <c r="LGF175" s="12"/>
      <c r="LGO175" s="11"/>
      <c r="LGP175" s="12"/>
      <c r="LGY175" s="11"/>
      <c r="LGZ175" s="12"/>
      <c r="LHI175" s="11"/>
      <c r="LHJ175" s="12"/>
      <c r="LHS175" s="11"/>
      <c r="LHT175" s="12"/>
      <c r="LIC175" s="11"/>
      <c r="LID175" s="12"/>
      <c r="LIM175" s="11"/>
      <c r="LIN175" s="12"/>
      <c r="LIW175" s="11"/>
      <c r="LIX175" s="12"/>
      <c r="LJG175" s="11"/>
      <c r="LJH175" s="12"/>
      <c r="LJQ175" s="11"/>
      <c r="LJR175" s="12"/>
      <c r="LKA175" s="11"/>
      <c r="LKB175" s="12"/>
      <c r="LKK175" s="11"/>
      <c r="LKL175" s="12"/>
      <c r="LKU175" s="11"/>
      <c r="LKV175" s="12"/>
      <c r="LLE175" s="11"/>
      <c r="LLF175" s="12"/>
      <c r="LLO175" s="11"/>
      <c r="LLP175" s="12"/>
      <c r="LLY175" s="11"/>
      <c r="LLZ175" s="12"/>
      <c r="LMI175" s="11"/>
      <c r="LMJ175" s="12"/>
      <c r="LMS175" s="11"/>
      <c r="LMT175" s="12"/>
      <c r="LNC175" s="11"/>
      <c r="LND175" s="12"/>
      <c r="LNM175" s="11"/>
      <c r="LNN175" s="12"/>
      <c r="LNW175" s="11"/>
      <c r="LNX175" s="12"/>
      <c r="LOG175" s="11"/>
      <c r="LOH175" s="12"/>
      <c r="LOQ175" s="11"/>
      <c r="LOR175" s="12"/>
      <c r="LPA175" s="11"/>
      <c r="LPB175" s="12"/>
      <c r="LPK175" s="11"/>
      <c r="LPL175" s="12"/>
      <c r="LPU175" s="11"/>
      <c r="LPV175" s="12"/>
      <c r="LQE175" s="11"/>
      <c r="LQF175" s="12"/>
      <c r="LQO175" s="11"/>
      <c r="LQP175" s="12"/>
      <c r="LQY175" s="11"/>
      <c r="LQZ175" s="12"/>
      <c r="LRI175" s="11"/>
      <c r="LRJ175" s="12"/>
      <c r="LRS175" s="11"/>
      <c r="LRT175" s="12"/>
      <c r="LSC175" s="11"/>
      <c r="LSD175" s="12"/>
      <c r="LSM175" s="11"/>
      <c r="LSN175" s="12"/>
      <c r="LSW175" s="11"/>
      <c r="LSX175" s="12"/>
      <c r="LTG175" s="11"/>
      <c r="LTH175" s="12"/>
      <c r="LTQ175" s="11"/>
      <c r="LTR175" s="12"/>
      <c r="LUA175" s="11"/>
      <c r="LUB175" s="12"/>
      <c r="LUK175" s="11"/>
      <c r="LUL175" s="12"/>
      <c r="LUU175" s="11"/>
      <c r="LUV175" s="12"/>
      <c r="LVE175" s="11"/>
      <c r="LVF175" s="12"/>
      <c r="LVO175" s="11"/>
      <c r="LVP175" s="12"/>
      <c r="LVY175" s="11"/>
      <c r="LVZ175" s="12"/>
      <c r="LWI175" s="11"/>
      <c r="LWJ175" s="12"/>
      <c r="LWS175" s="11"/>
      <c r="LWT175" s="12"/>
      <c r="LXC175" s="11"/>
      <c r="LXD175" s="12"/>
      <c r="LXM175" s="11"/>
      <c r="LXN175" s="12"/>
      <c r="LXW175" s="11"/>
      <c r="LXX175" s="12"/>
      <c r="LYG175" s="11"/>
      <c r="LYH175" s="12"/>
      <c r="LYQ175" s="11"/>
      <c r="LYR175" s="12"/>
      <c r="LZA175" s="11"/>
      <c r="LZB175" s="12"/>
      <c r="LZK175" s="11"/>
      <c r="LZL175" s="12"/>
      <c r="LZU175" s="11"/>
      <c r="LZV175" s="12"/>
      <c r="MAE175" s="11"/>
      <c r="MAF175" s="12"/>
      <c r="MAO175" s="11"/>
      <c r="MAP175" s="12"/>
      <c r="MAY175" s="11"/>
      <c r="MAZ175" s="12"/>
      <c r="MBI175" s="11"/>
      <c r="MBJ175" s="12"/>
      <c r="MBS175" s="11"/>
      <c r="MBT175" s="12"/>
      <c r="MCC175" s="11"/>
      <c r="MCD175" s="12"/>
      <c r="MCM175" s="11"/>
      <c r="MCN175" s="12"/>
      <c r="MCW175" s="11"/>
      <c r="MCX175" s="12"/>
      <c r="MDG175" s="11"/>
      <c r="MDH175" s="12"/>
      <c r="MDQ175" s="11"/>
      <c r="MDR175" s="12"/>
      <c r="MEA175" s="11"/>
      <c r="MEB175" s="12"/>
      <c r="MEK175" s="11"/>
      <c r="MEL175" s="12"/>
      <c r="MEU175" s="11"/>
      <c r="MEV175" s="12"/>
      <c r="MFE175" s="11"/>
      <c r="MFF175" s="12"/>
      <c r="MFO175" s="11"/>
      <c r="MFP175" s="12"/>
      <c r="MFY175" s="11"/>
      <c r="MFZ175" s="12"/>
      <c r="MGI175" s="11"/>
      <c r="MGJ175" s="12"/>
      <c r="MGS175" s="11"/>
      <c r="MGT175" s="12"/>
      <c r="MHC175" s="11"/>
      <c r="MHD175" s="12"/>
      <c r="MHM175" s="11"/>
      <c r="MHN175" s="12"/>
      <c r="MHW175" s="11"/>
      <c r="MHX175" s="12"/>
      <c r="MIG175" s="11"/>
      <c r="MIH175" s="12"/>
      <c r="MIQ175" s="11"/>
      <c r="MIR175" s="12"/>
      <c r="MJA175" s="11"/>
      <c r="MJB175" s="12"/>
      <c r="MJK175" s="11"/>
      <c r="MJL175" s="12"/>
      <c r="MJU175" s="11"/>
      <c r="MJV175" s="12"/>
      <c r="MKE175" s="11"/>
      <c r="MKF175" s="12"/>
      <c r="MKO175" s="11"/>
      <c r="MKP175" s="12"/>
      <c r="MKY175" s="11"/>
      <c r="MKZ175" s="12"/>
      <c r="MLI175" s="11"/>
      <c r="MLJ175" s="12"/>
      <c r="MLS175" s="11"/>
      <c r="MLT175" s="12"/>
      <c r="MMC175" s="11"/>
      <c r="MMD175" s="12"/>
      <c r="MMM175" s="11"/>
      <c r="MMN175" s="12"/>
      <c r="MMW175" s="11"/>
      <c r="MMX175" s="12"/>
      <c r="MNG175" s="11"/>
      <c r="MNH175" s="12"/>
      <c r="MNQ175" s="11"/>
      <c r="MNR175" s="12"/>
      <c r="MOA175" s="11"/>
      <c r="MOB175" s="12"/>
      <c r="MOK175" s="11"/>
      <c r="MOL175" s="12"/>
      <c r="MOU175" s="11"/>
      <c r="MOV175" s="12"/>
      <c r="MPE175" s="11"/>
      <c r="MPF175" s="12"/>
      <c r="MPO175" s="11"/>
      <c r="MPP175" s="12"/>
      <c r="MPY175" s="11"/>
      <c r="MPZ175" s="12"/>
      <c r="MQI175" s="11"/>
      <c r="MQJ175" s="12"/>
      <c r="MQS175" s="11"/>
      <c r="MQT175" s="12"/>
      <c r="MRC175" s="11"/>
      <c r="MRD175" s="12"/>
      <c r="MRM175" s="11"/>
      <c r="MRN175" s="12"/>
      <c r="MRW175" s="11"/>
      <c r="MRX175" s="12"/>
      <c r="MSG175" s="11"/>
      <c r="MSH175" s="12"/>
      <c r="MSQ175" s="11"/>
      <c r="MSR175" s="12"/>
      <c r="MTA175" s="11"/>
      <c r="MTB175" s="12"/>
      <c r="MTK175" s="11"/>
      <c r="MTL175" s="12"/>
      <c r="MTU175" s="11"/>
      <c r="MTV175" s="12"/>
      <c r="MUE175" s="11"/>
      <c r="MUF175" s="12"/>
      <c r="MUO175" s="11"/>
      <c r="MUP175" s="12"/>
      <c r="MUY175" s="11"/>
      <c r="MUZ175" s="12"/>
      <c r="MVI175" s="11"/>
      <c r="MVJ175" s="12"/>
      <c r="MVS175" s="11"/>
      <c r="MVT175" s="12"/>
      <c r="MWC175" s="11"/>
      <c r="MWD175" s="12"/>
      <c r="MWM175" s="11"/>
      <c r="MWN175" s="12"/>
      <c r="MWW175" s="11"/>
      <c r="MWX175" s="12"/>
      <c r="MXG175" s="11"/>
      <c r="MXH175" s="12"/>
      <c r="MXQ175" s="11"/>
      <c r="MXR175" s="12"/>
      <c r="MYA175" s="11"/>
      <c r="MYB175" s="12"/>
      <c r="MYK175" s="11"/>
      <c r="MYL175" s="12"/>
      <c r="MYU175" s="11"/>
      <c r="MYV175" s="12"/>
      <c r="MZE175" s="11"/>
      <c r="MZF175" s="12"/>
      <c r="MZO175" s="11"/>
      <c r="MZP175" s="12"/>
      <c r="MZY175" s="11"/>
      <c r="MZZ175" s="12"/>
      <c r="NAI175" s="11"/>
      <c r="NAJ175" s="12"/>
      <c r="NAS175" s="11"/>
      <c r="NAT175" s="12"/>
      <c r="NBC175" s="11"/>
      <c r="NBD175" s="12"/>
      <c r="NBM175" s="11"/>
      <c r="NBN175" s="12"/>
      <c r="NBW175" s="11"/>
      <c r="NBX175" s="12"/>
      <c r="NCG175" s="11"/>
      <c r="NCH175" s="12"/>
      <c r="NCQ175" s="11"/>
      <c r="NCR175" s="12"/>
      <c r="NDA175" s="11"/>
      <c r="NDB175" s="12"/>
      <c r="NDK175" s="11"/>
      <c r="NDL175" s="12"/>
      <c r="NDU175" s="11"/>
      <c r="NDV175" s="12"/>
      <c r="NEE175" s="11"/>
      <c r="NEF175" s="12"/>
      <c r="NEO175" s="11"/>
      <c r="NEP175" s="12"/>
      <c r="NEY175" s="11"/>
      <c r="NEZ175" s="12"/>
      <c r="NFI175" s="11"/>
      <c r="NFJ175" s="12"/>
      <c r="NFS175" s="11"/>
      <c r="NFT175" s="12"/>
      <c r="NGC175" s="11"/>
      <c r="NGD175" s="12"/>
      <c r="NGM175" s="11"/>
      <c r="NGN175" s="12"/>
      <c r="NGW175" s="11"/>
      <c r="NGX175" s="12"/>
      <c r="NHG175" s="11"/>
      <c r="NHH175" s="12"/>
      <c r="NHQ175" s="11"/>
      <c r="NHR175" s="12"/>
      <c r="NIA175" s="11"/>
      <c r="NIB175" s="12"/>
      <c r="NIK175" s="11"/>
      <c r="NIL175" s="12"/>
      <c r="NIU175" s="11"/>
      <c r="NIV175" s="12"/>
      <c r="NJE175" s="11"/>
      <c r="NJF175" s="12"/>
      <c r="NJO175" s="11"/>
      <c r="NJP175" s="12"/>
      <c r="NJY175" s="11"/>
      <c r="NJZ175" s="12"/>
      <c r="NKI175" s="11"/>
      <c r="NKJ175" s="12"/>
      <c r="NKS175" s="11"/>
      <c r="NKT175" s="12"/>
      <c r="NLC175" s="11"/>
      <c r="NLD175" s="12"/>
      <c r="NLM175" s="11"/>
      <c r="NLN175" s="12"/>
      <c r="NLW175" s="11"/>
      <c r="NLX175" s="12"/>
      <c r="NMG175" s="11"/>
      <c r="NMH175" s="12"/>
      <c r="NMQ175" s="11"/>
      <c r="NMR175" s="12"/>
      <c r="NNA175" s="11"/>
      <c r="NNB175" s="12"/>
      <c r="NNK175" s="11"/>
      <c r="NNL175" s="12"/>
      <c r="NNU175" s="11"/>
      <c r="NNV175" s="12"/>
      <c r="NOE175" s="11"/>
      <c r="NOF175" s="12"/>
      <c r="NOO175" s="11"/>
      <c r="NOP175" s="12"/>
      <c r="NOY175" s="11"/>
      <c r="NOZ175" s="12"/>
      <c r="NPI175" s="11"/>
      <c r="NPJ175" s="12"/>
      <c r="NPS175" s="11"/>
      <c r="NPT175" s="12"/>
      <c r="NQC175" s="11"/>
      <c r="NQD175" s="12"/>
      <c r="NQM175" s="11"/>
      <c r="NQN175" s="12"/>
      <c r="NQW175" s="11"/>
      <c r="NQX175" s="12"/>
      <c r="NRG175" s="11"/>
      <c r="NRH175" s="12"/>
      <c r="NRQ175" s="11"/>
      <c r="NRR175" s="12"/>
      <c r="NSA175" s="11"/>
      <c r="NSB175" s="12"/>
      <c r="NSK175" s="11"/>
      <c r="NSL175" s="12"/>
      <c r="NSU175" s="11"/>
      <c r="NSV175" s="12"/>
      <c r="NTE175" s="11"/>
      <c r="NTF175" s="12"/>
      <c r="NTO175" s="11"/>
      <c r="NTP175" s="12"/>
      <c r="NTY175" s="11"/>
      <c r="NTZ175" s="12"/>
      <c r="NUI175" s="11"/>
      <c r="NUJ175" s="12"/>
      <c r="NUS175" s="11"/>
      <c r="NUT175" s="12"/>
      <c r="NVC175" s="11"/>
      <c r="NVD175" s="12"/>
      <c r="NVM175" s="11"/>
      <c r="NVN175" s="12"/>
      <c r="NVW175" s="11"/>
      <c r="NVX175" s="12"/>
      <c r="NWG175" s="11"/>
      <c r="NWH175" s="12"/>
      <c r="NWQ175" s="11"/>
      <c r="NWR175" s="12"/>
      <c r="NXA175" s="11"/>
      <c r="NXB175" s="12"/>
      <c r="NXK175" s="11"/>
      <c r="NXL175" s="12"/>
      <c r="NXU175" s="11"/>
      <c r="NXV175" s="12"/>
      <c r="NYE175" s="11"/>
      <c r="NYF175" s="12"/>
      <c r="NYO175" s="11"/>
      <c r="NYP175" s="12"/>
      <c r="NYY175" s="11"/>
      <c r="NYZ175" s="12"/>
      <c r="NZI175" s="11"/>
      <c r="NZJ175" s="12"/>
      <c r="NZS175" s="11"/>
      <c r="NZT175" s="12"/>
      <c r="OAC175" s="11"/>
      <c r="OAD175" s="12"/>
      <c r="OAM175" s="11"/>
      <c r="OAN175" s="12"/>
      <c r="OAW175" s="11"/>
      <c r="OAX175" s="12"/>
      <c r="OBG175" s="11"/>
      <c r="OBH175" s="12"/>
      <c r="OBQ175" s="11"/>
      <c r="OBR175" s="12"/>
      <c r="OCA175" s="11"/>
      <c r="OCB175" s="12"/>
      <c r="OCK175" s="11"/>
      <c r="OCL175" s="12"/>
      <c r="OCU175" s="11"/>
      <c r="OCV175" s="12"/>
      <c r="ODE175" s="11"/>
      <c r="ODF175" s="12"/>
      <c r="ODO175" s="11"/>
      <c r="ODP175" s="12"/>
      <c r="ODY175" s="11"/>
      <c r="ODZ175" s="12"/>
      <c r="OEI175" s="11"/>
      <c r="OEJ175" s="12"/>
      <c r="OES175" s="11"/>
      <c r="OET175" s="12"/>
      <c r="OFC175" s="11"/>
      <c r="OFD175" s="12"/>
      <c r="OFM175" s="11"/>
      <c r="OFN175" s="12"/>
      <c r="OFW175" s="11"/>
      <c r="OFX175" s="12"/>
      <c r="OGG175" s="11"/>
      <c r="OGH175" s="12"/>
      <c r="OGQ175" s="11"/>
      <c r="OGR175" s="12"/>
      <c r="OHA175" s="11"/>
      <c r="OHB175" s="12"/>
      <c r="OHK175" s="11"/>
      <c r="OHL175" s="12"/>
      <c r="OHU175" s="11"/>
      <c r="OHV175" s="12"/>
      <c r="OIE175" s="11"/>
      <c r="OIF175" s="12"/>
      <c r="OIO175" s="11"/>
      <c r="OIP175" s="12"/>
      <c r="OIY175" s="11"/>
      <c r="OIZ175" s="12"/>
      <c r="OJI175" s="11"/>
      <c r="OJJ175" s="12"/>
      <c r="OJS175" s="11"/>
      <c r="OJT175" s="12"/>
      <c r="OKC175" s="11"/>
      <c r="OKD175" s="12"/>
      <c r="OKM175" s="11"/>
      <c r="OKN175" s="12"/>
      <c r="OKW175" s="11"/>
      <c r="OKX175" s="12"/>
      <c r="OLG175" s="11"/>
      <c r="OLH175" s="12"/>
      <c r="OLQ175" s="11"/>
      <c r="OLR175" s="12"/>
      <c r="OMA175" s="11"/>
      <c r="OMB175" s="12"/>
      <c r="OMK175" s="11"/>
      <c r="OML175" s="12"/>
      <c r="OMU175" s="11"/>
      <c r="OMV175" s="12"/>
      <c r="ONE175" s="11"/>
      <c r="ONF175" s="12"/>
      <c r="ONO175" s="11"/>
      <c r="ONP175" s="12"/>
      <c r="ONY175" s="11"/>
      <c r="ONZ175" s="12"/>
      <c r="OOI175" s="11"/>
      <c r="OOJ175" s="12"/>
      <c r="OOS175" s="11"/>
      <c r="OOT175" s="12"/>
      <c r="OPC175" s="11"/>
      <c r="OPD175" s="12"/>
      <c r="OPM175" s="11"/>
      <c r="OPN175" s="12"/>
      <c r="OPW175" s="11"/>
      <c r="OPX175" s="12"/>
      <c r="OQG175" s="11"/>
      <c r="OQH175" s="12"/>
      <c r="OQQ175" s="11"/>
      <c r="OQR175" s="12"/>
      <c r="ORA175" s="11"/>
      <c r="ORB175" s="12"/>
      <c r="ORK175" s="11"/>
      <c r="ORL175" s="12"/>
      <c r="ORU175" s="11"/>
      <c r="ORV175" s="12"/>
      <c r="OSE175" s="11"/>
      <c r="OSF175" s="12"/>
      <c r="OSO175" s="11"/>
      <c r="OSP175" s="12"/>
      <c r="OSY175" s="11"/>
      <c r="OSZ175" s="12"/>
      <c r="OTI175" s="11"/>
      <c r="OTJ175" s="12"/>
      <c r="OTS175" s="11"/>
      <c r="OTT175" s="12"/>
      <c r="OUC175" s="11"/>
      <c r="OUD175" s="12"/>
      <c r="OUM175" s="11"/>
      <c r="OUN175" s="12"/>
      <c r="OUW175" s="11"/>
      <c r="OUX175" s="12"/>
      <c r="OVG175" s="11"/>
      <c r="OVH175" s="12"/>
      <c r="OVQ175" s="11"/>
      <c r="OVR175" s="12"/>
      <c r="OWA175" s="11"/>
      <c r="OWB175" s="12"/>
      <c r="OWK175" s="11"/>
      <c r="OWL175" s="12"/>
      <c r="OWU175" s="11"/>
      <c r="OWV175" s="12"/>
      <c r="OXE175" s="11"/>
      <c r="OXF175" s="12"/>
      <c r="OXO175" s="11"/>
      <c r="OXP175" s="12"/>
      <c r="OXY175" s="11"/>
      <c r="OXZ175" s="12"/>
      <c r="OYI175" s="11"/>
      <c r="OYJ175" s="12"/>
      <c r="OYS175" s="11"/>
      <c r="OYT175" s="12"/>
      <c r="OZC175" s="11"/>
      <c r="OZD175" s="12"/>
      <c r="OZM175" s="11"/>
      <c r="OZN175" s="12"/>
      <c r="OZW175" s="11"/>
      <c r="OZX175" s="12"/>
      <c r="PAG175" s="11"/>
      <c r="PAH175" s="12"/>
      <c r="PAQ175" s="11"/>
      <c r="PAR175" s="12"/>
      <c r="PBA175" s="11"/>
      <c r="PBB175" s="12"/>
      <c r="PBK175" s="11"/>
      <c r="PBL175" s="12"/>
      <c r="PBU175" s="11"/>
      <c r="PBV175" s="12"/>
      <c r="PCE175" s="11"/>
      <c r="PCF175" s="12"/>
      <c r="PCO175" s="11"/>
      <c r="PCP175" s="12"/>
      <c r="PCY175" s="11"/>
      <c r="PCZ175" s="12"/>
      <c r="PDI175" s="11"/>
      <c r="PDJ175" s="12"/>
      <c r="PDS175" s="11"/>
      <c r="PDT175" s="12"/>
      <c r="PEC175" s="11"/>
      <c r="PED175" s="12"/>
      <c r="PEM175" s="11"/>
      <c r="PEN175" s="12"/>
      <c r="PEW175" s="11"/>
      <c r="PEX175" s="12"/>
      <c r="PFG175" s="11"/>
      <c r="PFH175" s="12"/>
      <c r="PFQ175" s="11"/>
      <c r="PFR175" s="12"/>
      <c r="PGA175" s="11"/>
      <c r="PGB175" s="12"/>
      <c r="PGK175" s="11"/>
      <c r="PGL175" s="12"/>
      <c r="PGU175" s="11"/>
      <c r="PGV175" s="12"/>
      <c r="PHE175" s="11"/>
      <c r="PHF175" s="12"/>
      <c r="PHO175" s="11"/>
      <c r="PHP175" s="12"/>
      <c r="PHY175" s="11"/>
      <c r="PHZ175" s="12"/>
      <c r="PII175" s="11"/>
      <c r="PIJ175" s="12"/>
      <c r="PIS175" s="11"/>
      <c r="PIT175" s="12"/>
      <c r="PJC175" s="11"/>
      <c r="PJD175" s="12"/>
      <c r="PJM175" s="11"/>
      <c r="PJN175" s="12"/>
      <c r="PJW175" s="11"/>
      <c r="PJX175" s="12"/>
      <c r="PKG175" s="11"/>
      <c r="PKH175" s="12"/>
      <c r="PKQ175" s="11"/>
      <c r="PKR175" s="12"/>
      <c r="PLA175" s="11"/>
      <c r="PLB175" s="12"/>
      <c r="PLK175" s="11"/>
      <c r="PLL175" s="12"/>
      <c r="PLU175" s="11"/>
      <c r="PLV175" s="12"/>
      <c r="PME175" s="11"/>
      <c r="PMF175" s="12"/>
      <c r="PMO175" s="11"/>
      <c r="PMP175" s="12"/>
      <c r="PMY175" s="11"/>
      <c r="PMZ175" s="12"/>
      <c r="PNI175" s="11"/>
      <c r="PNJ175" s="12"/>
      <c r="PNS175" s="11"/>
      <c r="PNT175" s="12"/>
      <c r="POC175" s="11"/>
      <c r="POD175" s="12"/>
      <c r="POM175" s="11"/>
      <c r="PON175" s="12"/>
      <c r="POW175" s="11"/>
      <c r="POX175" s="12"/>
      <c r="PPG175" s="11"/>
      <c r="PPH175" s="12"/>
      <c r="PPQ175" s="11"/>
      <c r="PPR175" s="12"/>
      <c r="PQA175" s="11"/>
      <c r="PQB175" s="12"/>
      <c r="PQK175" s="11"/>
      <c r="PQL175" s="12"/>
      <c r="PQU175" s="11"/>
      <c r="PQV175" s="12"/>
      <c r="PRE175" s="11"/>
      <c r="PRF175" s="12"/>
      <c r="PRO175" s="11"/>
      <c r="PRP175" s="12"/>
      <c r="PRY175" s="11"/>
      <c r="PRZ175" s="12"/>
      <c r="PSI175" s="11"/>
      <c r="PSJ175" s="12"/>
      <c r="PSS175" s="11"/>
      <c r="PST175" s="12"/>
      <c r="PTC175" s="11"/>
      <c r="PTD175" s="12"/>
      <c r="PTM175" s="11"/>
      <c r="PTN175" s="12"/>
      <c r="PTW175" s="11"/>
      <c r="PTX175" s="12"/>
      <c r="PUG175" s="11"/>
      <c r="PUH175" s="12"/>
      <c r="PUQ175" s="11"/>
      <c r="PUR175" s="12"/>
      <c r="PVA175" s="11"/>
      <c r="PVB175" s="12"/>
      <c r="PVK175" s="11"/>
      <c r="PVL175" s="12"/>
      <c r="PVU175" s="11"/>
      <c r="PVV175" s="12"/>
      <c r="PWE175" s="11"/>
      <c r="PWF175" s="12"/>
      <c r="PWO175" s="11"/>
      <c r="PWP175" s="12"/>
      <c r="PWY175" s="11"/>
      <c r="PWZ175" s="12"/>
      <c r="PXI175" s="11"/>
      <c r="PXJ175" s="12"/>
      <c r="PXS175" s="11"/>
      <c r="PXT175" s="12"/>
      <c r="PYC175" s="11"/>
      <c r="PYD175" s="12"/>
      <c r="PYM175" s="11"/>
      <c r="PYN175" s="12"/>
      <c r="PYW175" s="11"/>
      <c r="PYX175" s="12"/>
      <c r="PZG175" s="11"/>
      <c r="PZH175" s="12"/>
      <c r="PZQ175" s="11"/>
      <c r="PZR175" s="12"/>
      <c r="QAA175" s="11"/>
      <c r="QAB175" s="12"/>
      <c r="QAK175" s="11"/>
      <c r="QAL175" s="12"/>
      <c r="QAU175" s="11"/>
      <c r="QAV175" s="12"/>
      <c r="QBE175" s="11"/>
      <c r="QBF175" s="12"/>
      <c r="QBO175" s="11"/>
      <c r="QBP175" s="12"/>
      <c r="QBY175" s="11"/>
      <c r="QBZ175" s="12"/>
      <c r="QCI175" s="11"/>
      <c r="QCJ175" s="12"/>
      <c r="QCS175" s="11"/>
      <c r="QCT175" s="12"/>
      <c r="QDC175" s="11"/>
      <c r="QDD175" s="12"/>
      <c r="QDM175" s="11"/>
      <c r="QDN175" s="12"/>
      <c r="QDW175" s="11"/>
      <c r="QDX175" s="12"/>
      <c r="QEG175" s="11"/>
      <c r="QEH175" s="12"/>
      <c r="QEQ175" s="11"/>
      <c r="QER175" s="12"/>
      <c r="QFA175" s="11"/>
      <c r="QFB175" s="12"/>
      <c r="QFK175" s="11"/>
      <c r="QFL175" s="12"/>
      <c r="QFU175" s="11"/>
      <c r="QFV175" s="12"/>
      <c r="QGE175" s="11"/>
      <c r="QGF175" s="12"/>
      <c r="QGO175" s="11"/>
      <c r="QGP175" s="12"/>
      <c r="QGY175" s="11"/>
      <c r="QGZ175" s="12"/>
      <c r="QHI175" s="11"/>
      <c r="QHJ175" s="12"/>
      <c r="QHS175" s="11"/>
      <c r="QHT175" s="12"/>
      <c r="QIC175" s="11"/>
      <c r="QID175" s="12"/>
      <c r="QIM175" s="11"/>
      <c r="QIN175" s="12"/>
      <c r="QIW175" s="11"/>
      <c r="QIX175" s="12"/>
      <c r="QJG175" s="11"/>
      <c r="QJH175" s="12"/>
      <c r="QJQ175" s="11"/>
      <c r="QJR175" s="12"/>
      <c r="QKA175" s="11"/>
      <c r="QKB175" s="12"/>
      <c r="QKK175" s="11"/>
      <c r="QKL175" s="12"/>
      <c r="QKU175" s="11"/>
      <c r="QKV175" s="12"/>
      <c r="QLE175" s="11"/>
      <c r="QLF175" s="12"/>
      <c r="QLO175" s="11"/>
      <c r="QLP175" s="12"/>
      <c r="QLY175" s="11"/>
      <c r="QLZ175" s="12"/>
      <c r="QMI175" s="11"/>
      <c r="QMJ175" s="12"/>
      <c r="QMS175" s="11"/>
      <c r="QMT175" s="12"/>
      <c r="QNC175" s="11"/>
      <c r="QND175" s="12"/>
      <c r="QNM175" s="11"/>
      <c r="QNN175" s="12"/>
      <c r="QNW175" s="11"/>
      <c r="QNX175" s="12"/>
      <c r="QOG175" s="11"/>
      <c r="QOH175" s="12"/>
      <c r="QOQ175" s="11"/>
      <c r="QOR175" s="12"/>
      <c r="QPA175" s="11"/>
      <c r="QPB175" s="12"/>
      <c r="QPK175" s="11"/>
      <c r="QPL175" s="12"/>
      <c r="QPU175" s="11"/>
      <c r="QPV175" s="12"/>
      <c r="QQE175" s="11"/>
      <c r="QQF175" s="12"/>
      <c r="QQO175" s="11"/>
      <c r="QQP175" s="12"/>
      <c r="QQY175" s="11"/>
      <c r="QQZ175" s="12"/>
      <c r="QRI175" s="11"/>
      <c r="QRJ175" s="12"/>
      <c r="QRS175" s="11"/>
      <c r="QRT175" s="12"/>
      <c r="QSC175" s="11"/>
      <c r="QSD175" s="12"/>
      <c r="QSM175" s="11"/>
      <c r="QSN175" s="12"/>
      <c r="QSW175" s="11"/>
      <c r="QSX175" s="12"/>
      <c r="QTG175" s="11"/>
      <c r="QTH175" s="12"/>
      <c r="QTQ175" s="11"/>
      <c r="QTR175" s="12"/>
      <c r="QUA175" s="11"/>
      <c r="QUB175" s="12"/>
      <c r="QUK175" s="11"/>
      <c r="QUL175" s="12"/>
      <c r="QUU175" s="11"/>
      <c r="QUV175" s="12"/>
      <c r="QVE175" s="11"/>
      <c r="QVF175" s="12"/>
      <c r="QVO175" s="11"/>
      <c r="QVP175" s="12"/>
      <c r="QVY175" s="11"/>
      <c r="QVZ175" s="12"/>
      <c r="QWI175" s="11"/>
      <c r="QWJ175" s="12"/>
      <c r="QWS175" s="11"/>
      <c r="QWT175" s="12"/>
      <c r="QXC175" s="11"/>
      <c r="QXD175" s="12"/>
      <c r="QXM175" s="11"/>
      <c r="QXN175" s="12"/>
      <c r="QXW175" s="11"/>
      <c r="QXX175" s="12"/>
      <c r="QYG175" s="11"/>
      <c r="QYH175" s="12"/>
      <c r="QYQ175" s="11"/>
      <c r="QYR175" s="12"/>
      <c r="QZA175" s="11"/>
      <c r="QZB175" s="12"/>
      <c r="QZK175" s="11"/>
      <c r="QZL175" s="12"/>
      <c r="QZU175" s="11"/>
      <c r="QZV175" s="12"/>
      <c r="RAE175" s="11"/>
      <c r="RAF175" s="12"/>
      <c r="RAO175" s="11"/>
      <c r="RAP175" s="12"/>
      <c r="RAY175" s="11"/>
      <c r="RAZ175" s="12"/>
      <c r="RBI175" s="11"/>
      <c r="RBJ175" s="12"/>
      <c r="RBS175" s="11"/>
      <c r="RBT175" s="12"/>
      <c r="RCC175" s="11"/>
      <c r="RCD175" s="12"/>
      <c r="RCM175" s="11"/>
      <c r="RCN175" s="12"/>
      <c r="RCW175" s="11"/>
      <c r="RCX175" s="12"/>
      <c r="RDG175" s="11"/>
      <c r="RDH175" s="12"/>
      <c r="RDQ175" s="11"/>
      <c r="RDR175" s="12"/>
      <c r="REA175" s="11"/>
      <c r="REB175" s="12"/>
      <c r="REK175" s="11"/>
      <c r="REL175" s="12"/>
      <c r="REU175" s="11"/>
      <c r="REV175" s="12"/>
      <c r="RFE175" s="11"/>
      <c r="RFF175" s="12"/>
      <c r="RFO175" s="11"/>
      <c r="RFP175" s="12"/>
      <c r="RFY175" s="11"/>
      <c r="RFZ175" s="12"/>
      <c r="RGI175" s="11"/>
      <c r="RGJ175" s="12"/>
      <c r="RGS175" s="11"/>
      <c r="RGT175" s="12"/>
      <c r="RHC175" s="11"/>
      <c r="RHD175" s="12"/>
      <c r="RHM175" s="11"/>
      <c r="RHN175" s="12"/>
      <c r="RHW175" s="11"/>
      <c r="RHX175" s="12"/>
      <c r="RIG175" s="11"/>
      <c r="RIH175" s="12"/>
      <c r="RIQ175" s="11"/>
      <c r="RIR175" s="12"/>
      <c r="RJA175" s="11"/>
      <c r="RJB175" s="12"/>
      <c r="RJK175" s="11"/>
      <c r="RJL175" s="12"/>
      <c r="RJU175" s="11"/>
      <c r="RJV175" s="12"/>
      <c r="RKE175" s="11"/>
      <c r="RKF175" s="12"/>
      <c r="RKO175" s="11"/>
      <c r="RKP175" s="12"/>
      <c r="RKY175" s="11"/>
      <c r="RKZ175" s="12"/>
      <c r="RLI175" s="11"/>
      <c r="RLJ175" s="12"/>
      <c r="RLS175" s="11"/>
      <c r="RLT175" s="12"/>
      <c r="RMC175" s="11"/>
      <c r="RMD175" s="12"/>
      <c r="RMM175" s="11"/>
      <c r="RMN175" s="12"/>
      <c r="RMW175" s="11"/>
      <c r="RMX175" s="12"/>
      <c r="RNG175" s="11"/>
      <c r="RNH175" s="12"/>
      <c r="RNQ175" s="11"/>
      <c r="RNR175" s="12"/>
      <c r="ROA175" s="11"/>
      <c r="ROB175" s="12"/>
      <c r="ROK175" s="11"/>
      <c r="ROL175" s="12"/>
      <c r="ROU175" s="11"/>
      <c r="ROV175" s="12"/>
      <c r="RPE175" s="11"/>
      <c r="RPF175" s="12"/>
      <c r="RPO175" s="11"/>
      <c r="RPP175" s="12"/>
      <c r="RPY175" s="11"/>
      <c r="RPZ175" s="12"/>
      <c r="RQI175" s="11"/>
      <c r="RQJ175" s="12"/>
      <c r="RQS175" s="11"/>
      <c r="RQT175" s="12"/>
      <c r="RRC175" s="11"/>
      <c r="RRD175" s="12"/>
      <c r="RRM175" s="11"/>
      <c r="RRN175" s="12"/>
      <c r="RRW175" s="11"/>
      <c r="RRX175" s="12"/>
      <c r="RSG175" s="11"/>
      <c r="RSH175" s="12"/>
      <c r="RSQ175" s="11"/>
      <c r="RSR175" s="12"/>
      <c r="RTA175" s="11"/>
      <c r="RTB175" s="12"/>
      <c r="RTK175" s="11"/>
      <c r="RTL175" s="12"/>
      <c r="RTU175" s="11"/>
      <c r="RTV175" s="12"/>
      <c r="RUE175" s="11"/>
      <c r="RUF175" s="12"/>
      <c r="RUO175" s="11"/>
      <c r="RUP175" s="12"/>
      <c r="RUY175" s="11"/>
      <c r="RUZ175" s="12"/>
      <c r="RVI175" s="11"/>
      <c r="RVJ175" s="12"/>
      <c r="RVS175" s="11"/>
      <c r="RVT175" s="12"/>
      <c r="RWC175" s="11"/>
      <c r="RWD175" s="12"/>
      <c r="RWM175" s="11"/>
      <c r="RWN175" s="12"/>
      <c r="RWW175" s="11"/>
      <c r="RWX175" s="12"/>
      <c r="RXG175" s="11"/>
      <c r="RXH175" s="12"/>
      <c r="RXQ175" s="11"/>
      <c r="RXR175" s="12"/>
      <c r="RYA175" s="11"/>
      <c r="RYB175" s="12"/>
      <c r="RYK175" s="11"/>
      <c r="RYL175" s="12"/>
      <c r="RYU175" s="11"/>
      <c r="RYV175" s="12"/>
      <c r="RZE175" s="11"/>
      <c r="RZF175" s="12"/>
      <c r="RZO175" s="11"/>
      <c r="RZP175" s="12"/>
      <c r="RZY175" s="11"/>
      <c r="RZZ175" s="12"/>
      <c r="SAI175" s="11"/>
      <c r="SAJ175" s="12"/>
      <c r="SAS175" s="11"/>
      <c r="SAT175" s="12"/>
      <c r="SBC175" s="11"/>
      <c r="SBD175" s="12"/>
      <c r="SBM175" s="11"/>
      <c r="SBN175" s="12"/>
      <c r="SBW175" s="11"/>
      <c r="SBX175" s="12"/>
      <c r="SCG175" s="11"/>
      <c r="SCH175" s="12"/>
      <c r="SCQ175" s="11"/>
      <c r="SCR175" s="12"/>
      <c r="SDA175" s="11"/>
      <c r="SDB175" s="12"/>
      <c r="SDK175" s="11"/>
      <c r="SDL175" s="12"/>
      <c r="SDU175" s="11"/>
      <c r="SDV175" s="12"/>
      <c r="SEE175" s="11"/>
      <c r="SEF175" s="12"/>
      <c r="SEO175" s="11"/>
      <c r="SEP175" s="12"/>
      <c r="SEY175" s="11"/>
      <c r="SEZ175" s="12"/>
      <c r="SFI175" s="11"/>
      <c r="SFJ175" s="12"/>
      <c r="SFS175" s="11"/>
      <c r="SFT175" s="12"/>
      <c r="SGC175" s="11"/>
      <c r="SGD175" s="12"/>
      <c r="SGM175" s="11"/>
      <c r="SGN175" s="12"/>
      <c r="SGW175" s="11"/>
      <c r="SGX175" s="12"/>
      <c r="SHG175" s="11"/>
      <c r="SHH175" s="12"/>
      <c r="SHQ175" s="11"/>
      <c r="SHR175" s="12"/>
      <c r="SIA175" s="11"/>
      <c r="SIB175" s="12"/>
      <c r="SIK175" s="11"/>
      <c r="SIL175" s="12"/>
      <c r="SIU175" s="11"/>
      <c r="SIV175" s="12"/>
      <c r="SJE175" s="11"/>
      <c r="SJF175" s="12"/>
      <c r="SJO175" s="11"/>
      <c r="SJP175" s="12"/>
      <c r="SJY175" s="11"/>
      <c r="SJZ175" s="12"/>
      <c r="SKI175" s="11"/>
      <c r="SKJ175" s="12"/>
      <c r="SKS175" s="11"/>
      <c r="SKT175" s="12"/>
      <c r="SLC175" s="11"/>
      <c r="SLD175" s="12"/>
      <c r="SLM175" s="11"/>
      <c r="SLN175" s="12"/>
      <c r="SLW175" s="11"/>
      <c r="SLX175" s="12"/>
      <c r="SMG175" s="11"/>
      <c r="SMH175" s="12"/>
      <c r="SMQ175" s="11"/>
      <c r="SMR175" s="12"/>
      <c r="SNA175" s="11"/>
      <c r="SNB175" s="12"/>
      <c r="SNK175" s="11"/>
      <c r="SNL175" s="12"/>
      <c r="SNU175" s="11"/>
      <c r="SNV175" s="12"/>
      <c r="SOE175" s="11"/>
      <c r="SOF175" s="12"/>
      <c r="SOO175" s="11"/>
      <c r="SOP175" s="12"/>
      <c r="SOY175" s="11"/>
      <c r="SOZ175" s="12"/>
      <c r="SPI175" s="11"/>
      <c r="SPJ175" s="12"/>
      <c r="SPS175" s="11"/>
      <c r="SPT175" s="12"/>
      <c r="SQC175" s="11"/>
      <c r="SQD175" s="12"/>
      <c r="SQM175" s="11"/>
      <c r="SQN175" s="12"/>
      <c r="SQW175" s="11"/>
      <c r="SQX175" s="12"/>
      <c r="SRG175" s="11"/>
      <c r="SRH175" s="12"/>
      <c r="SRQ175" s="11"/>
      <c r="SRR175" s="12"/>
      <c r="SSA175" s="11"/>
      <c r="SSB175" s="12"/>
      <c r="SSK175" s="11"/>
      <c r="SSL175" s="12"/>
      <c r="SSU175" s="11"/>
      <c r="SSV175" s="12"/>
      <c r="STE175" s="11"/>
      <c r="STF175" s="12"/>
      <c r="STO175" s="11"/>
      <c r="STP175" s="12"/>
      <c r="STY175" s="11"/>
      <c r="STZ175" s="12"/>
      <c r="SUI175" s="11"/>
      <c r="SUJ175" s="12"/>
      <c r="SUS175" s="11"/>
      <c r="SUT175" s="12"/>
      <c r="SVC175" s="11"/>
      <c r="SVD175" s="12"/>
      <c r="SVM175" s="11"/>
      <c r="SVN175" s="12"/>
      <c r="SVW175" s="11"/>
      <c r="SVX175" s="12"/>
      <c r="SWG175" s="11"/>
      <c r="SWH175" s="12"/>
      <c r="SWQ175" s="11"/>
      <c r="SWR175" s="12"/>
      <c r="SXA175" s="11"/>
      <c r="SXB175" s="12"/>
      <c r="SXK175" s="11"/>
      <c r="SXL175" s="12"/>
      <c r="SXU175" s="11"/>
      <c r="SXV175" s="12"/>
      <c r="SYE175" s="11"/>
      <c r="SYF175" s="12"/>
      <c r="SYO175" s="11"/>
      <c r="SYP175" s="12"/>
      <c r="SYY175" s="11"/>
      <c r="SYZ175" s="12"/>
      <c r="SZI175" s="11"/>
      <c r="SZJ175" s="12"/>
      <c r="SZS175" s="11"/>
      <c r="SZT175" s="12"/>
      <c r="TAC175" s="11"/>
      <c r="TAD175" s="12"/>
      <c r="TAM175" s="11"/>
      <c r="TAN175" s="12"/>
      <c r="TAW175" s="11"/>
      <c r="TAX175" s="12"/>
      <c r="TBG175" s="11"/>
      <c r="TBH175" s="12"/>
      <c r="TBQ175" s="11"/>
      <c r="TBR175" s="12"/>
      <c r="TCA175" s="11"/>
      <c r="TCB175" s="12"/>
      <c r="TCK175" s="11"/>
      <c r="TCL175" s="12"/>
      <c r="TCU175" s="11"/>
      <c r="TCV175" s="12"/>
      <c r="TDE175" s="11"/>
      <c r="TDF175" s="12"/>
      <c r="TDO175" s="11"/>
      <c r="TDP175" s="12"/>
      <c r="TDY175" s="11"/>
      <c r="TDZ175" s="12"/>
      <c r="TEI175" s="11"/>
      <c r="TEJ175" s="12"/>
      <c r="TES175" s="11"/>
      <c r="TET175" s="12"/>
      <c r="TFC175" s="11"/>
      <c r="TFD175" s="12"/>
      <c r="TFM175" s="11"/>
      <c r="TFN175" s="12"/>
      <c r="TFW175" s="11"/>
      <c r="TFX175" s="12"/>
      <c r="TGG175" s="11"/>
      <c r="TGH175" s="12"/>
      <c r="TGQ175" s="11"/>
      <c r="TGR175" s="12"/>
      <c r="THA175" s="11"/>
      <c r="THB175" s="12"/>
      <c r="THK175" s="11"/>
      <c r="THL175" s="12"/>
      <c r="THU175" s="11"/>
      <c r="THV175" s="12"/>
      <c r="TIE175" s="11"/>
      <c r="TIF175" s="12"/>
      <c r="TIO175" s="11"/>
      <c r="TIP175" s="12"/>
      <c r="TIY175" s="11"/>
      <c r="TIZ175" s="12"/>
      <c r="TJI175" s="11"/>
      <c r="TJJ175" s="12"/>
      <c r="TJS175" s="11"/>
      <c r="TJT175" s="12"/>
      <c r="TKC175" s="11"/>
      <c r="TKD175" s="12"/>
      <c r="TKM175" s="11"/>
      <c r="TKN175" s="12"/>
      <c r="TKW175" s="11"/>
      <c r="TKX175" s="12"/>
      <c r="TLG175" s="11"/>
      <c r="TLH175" s="12"/>
      <c r="TLQ175" s="11"/>
      <c r="TLR175" s="12"/>
      <c r="TMA175" s="11"/>
      <c r="TMB175" s="12"/>
      <c r="TMK175" s="11"/>
      <c r="TML175" s="12"/>
      <c r="TMU175" s="11"/>
      <c r="TMV175" s="12"/>
      <c r="TNE175" s="11"/>
      <c r="TNF175" s="12"/>
      <c r="TNO175" s="11"/>
      <c r="TNP175" s="12"/>
      <c r="TNY175" s="11"/>
      <c r="TNZ175" s="12"/>
      <c r="TOI175" s="11"/>
      <c r="TOJ175" s="12"/>
      <c r="TOS175" s="11"/>
      <c r="TOT175" s="12"/>
      <c r="TPC175" s="11"/>
      <c r="TPD175" s="12"/>
      <c r="TPM175" s="11"/>
      <c r="TPN175" s="12"/>
      <c r="TPW175" s="11"/>
      <c r="TPX175" s="12"/>
      <c r="TQG175" s="11"/>
      <c r="TQH175" s="12"/>
      <c r="TQQ175" s="11"/>
      <c r="TQR175" s="12"/>
      <c r="TRA175" s="11"/>
      <c r="TRB175" s="12"/>
      <c r="TRK175" s="11"/>
      <c r="TRL175" s="12"/>
      <c r="TRU175" s="11"/>
      <c r="TRV175" s="12"/>
      <c r="TSE175" s="11"/>
      <c r="TSF175" s="12"/>
      <c r="TSO175" s="11"/>
      <c r="TSP175" s="12"/>
      <c r="TSY175" s="11"/>
      <c r="TSZ175" s="12"/>
      <c r="TTI175" s="11"/>
      <c r="TTJ175" s="12"/>
      <c r="TTS175" s="11"/>
      <c r="TTT175" s="12"/>
      <c r="TUC175" s="11"/>
      <c r="TUD175" s="12"/>
      <c r="TUM175" s="11"/>
      <c r="TUN175" s="12"/>
      <c r="TUW175" s="11"/>
      <c r="TUX175" s="12"/>
      <c r="TVG175" s="11"/>
      <c r="TVH175" s="12"/>
      <c r="TVQ175" s="11"/>
      <c r="TVR175" s="12"/>
      <c r="TWA175" s="11"/>
      <c r="TWB175" s="12"/>
      <c r="TWK175" s="11"/>
      <c r="TWL175" s="12"/>
      <c r="TWU175" s="11"/>
      <c r="TWV175" s="12"/>
      <c r="TXE175" s="11"/>
      <c r="TXF175" s="12"/>
      <c r="TXO175" s="11"/>
      <c r="TXP175" s="12"/>
      <c r="TXY175" s="11"/>
      <c r="TXZ175" s="12"/>
      <c r="TYI175" s="11"/>
      <c r="TYJ175" s="12"/>
      <c r="TYS175" s="11"/>
      <c r="TYT175" s="12"/>
      <c r="TZC175" s="11"/>
      <c r="TZD175" s="12"/>
      <c r="TZM175" s="11"/>
      <c r="TZN175" s="12"/>
      <c r="TZW175" s="11"/>
      <c r="TZX175" s="12"/>
      <c r="UAG175" s="11"/>
      <c r="UAH175" s="12"/>
      <c r="UAQ175" s="11"/>
      <c r="UAR175" s="12"/>
      <c r="UBA175" s="11"/>
      <c r="UBB175" s="12"/>
      <c r="UBK175" s="11"/>
      <c r="UBL175" s="12"/>
      <c r="UBU175" s="11"/>
      <c r="UBV175" s="12"/>
      <c r="UCE175" s="11"/>
      <c r="UCF175" s="12"/>
      <c r="UCO175" s="11"/>
      <c r="UCP175" s="12"/>
      <c r="UCY175" s="11"/>
      <c r="UCZ175" s="12"/>
      <c r="UDI175" s="11"/>
      <c r="UDJ175" s="12"/>
      <c r="UDS175" s="11"/>
      <c r="UDT175" s="12"/>
      <c r="UEC175" s="11"/>
      <c r="UED175" s="12"/>
      <c r="UEM175" s="11"/>
      <c r="UEN175" s="12"/>
      <c r="UEW175" s="11"/>
      <c r="UEX175" s="12"/>
      <c r="UFG175" s="11"/>
      <c r="UFH175" s="12"/>
      <c r="UFQ175" s="11"/>
      <c r="UFR175" s="12"/>
      <c r="UGA175" s="11"/>
      <c r="UGB175" s="12"/>
      <c r="UGK175" s="11"/>
      <c r="UGL175" s="12"/>
      <c r="UGU175" s="11"/>
      <c r="UGV175" s="12"/>
      <c r="UHE175" s="11"/>
      <c r="UHF175" s="12"/>
      <c r="UHO175" s="11"/>
      <c r="UHP175" s="12"/>
      <c r="UHY175" s="11"/>
      <c r="UHZ175" s="12"/>
      <c r="UII175" s="11"/>
      <c r="UIJ175" s="12"/>
      <c r="UIS175" s="11"/>
      <c r="UIT175" s="12"/>
      <c r="UJC175" s="11"/>
      <c r="UJD175" s="12"/>
      <c r="UJM175" s="11"/>
      <c r="UJN175" s="12"/>
      <c r="UJW175" s="11"/>
      <c r="UJX175" s="12"/>
      <c r="UKG175" s="11"/>
      <c r="UKH175" s="12"/>
      <c r="UKQ175" s="11"/>
      <c r="UKR175" s="12"/>
      <c r="ULA175" s="11"/>
      <c r="ULB175" s="12"/>
      <c r="ULK175" s="11"/>
      <c r="ULL175" s="12"/>
      <c r="ULU175" s="11"/>
      <c r="ULV175" s="12"/>
      <c r="UME175" s="11"/>
      <c r="UMF175" s="12"/>
      <c r="UMO175" s="11"/>
      <c r="UMP175" s="12"/>
      <c r="UMY175" s="11"/>
      <c r="UMZ175" s="12"/>
      <c r="UNI175" s="11"/>
      <c r="UNJ175" s="12"/>
      <c r="UNS175" s="11"/>
      <c r="UNT175" s="12"/>
      <c r="UOC175" s="11"/>
      <c r="UOD175" s="12"/>
      <c r="UOM175" s="11"/>
      <c r="UON175" s="12"/>
      <c r="UOW175" s="11"/>
      <c r="UOX175" s="12"/>
      <c r="UPG175" s="11"/>
      <c r="UPH175" s="12"/>
      <c r="UPQ175" s="11"/>
      <c r="UPR175" s="12"/>
      <c r="UQA175" s="11"/>
      <c r="UQB175" s="12"/>
      <c r="UQK175" s="11"/>
      <c r="UQL175" s="12"/>
      <c r="UQU175" s="11"/>
      <c r="UQV175" s="12"/>
      <c r="URE175" s="11"/>
      <c r="URF175" s="12"/>
      <c r="URO175" s="11"/>
      <c r="URP175" s="12"/>
      <c r="URY175" s="11"/>
      <c r="URZ175" s="12"/>
      <c r="USI175" s="11"/>
      <c r="USJ175" s="12"/>
      <c r="USS175" s="11"/>
      <c r="UST175" s="12"/>
      <c r="UTC175" s="11"/>
      <c r="UTD175" s="12"/>
      <c r="UTM175" s="11"/>
      <c r="UTN175" s="12"/>
      <c r="UTW175" s="11"/>
      <c r="UTX175" s="12"/>
      <c r="UUG175" s="11"/>
      <c r="UUH175" s="12"/>
      <c r="UUQ175" s="11"/>
      <c r="UUR175" s="12"/>
      <c r="UVA175" s="11"/>
      <c r="UVB175" s="12"/>
      <c r="UVK175" s="11"/>
      <c r="UVL175" s="12"/>
      <c r="UVU175" s="11"/>
      <c r="UVV175" s="12"/>
      <c r="UWE175" s="11"/>
      <c r="UWF175" s="12"/>
      <c r="UWO175" s="11"/>
      <c r="UWP175" s="12"/>
      <c r="UWY175" s="11"/>
      <c r="UWZ175" s="12"/>
      <c r="UXI175" s="11"/>
      <c r="UXJ175" s="12"/>
      <c r="UXS175" s="11"/>
      <c r="UXT175" s="12"/>
      <c r="UYC175" s="11"/>
      <c r="UYD175" s="12"/>
      <c r="UYM175" s="11"/>
      <c r="UYN175" s="12"/>
      <c r="UYW175" s="11"/>
      <c r="UYX175" s="12"/>
      <c r="UZG175" s="11"/>
      <c r="UZH175" s="12"/>
      <c r="UZQ175" s="11"/>
      <c r="UZR175" s="12"/>
      <c r="VAA175" s="11"/>
      <c r="VAB175" s="12"/>
      <c r="VAK175" s="11"/>
      <c r="VAL175" s="12"/>
      <c r="VAU175" s="11"/>
      <c r="VAV175" s="12"/>
      <c r="VBE175" s="11"/>
      <c r="VBF175" s="12"/>
      <c r="VBO175" s="11"/>
      <c r="VBP175" s="12"/>
      <c r="VBY175" s="11"/>
      <c r="VBZ175" s="12"/>
      <c r="VCI175" s="11"/>
      <c r="VCJ175" s="12"/>
      <c r="VCS175" s="11"/>
      <c r="VCT175" s="12"/>
      <c r="VDC175" s="11"/>
      <c r="VDD175" s="12"/>
      <c r="VDM175" s="11"/>
      <c r="VDN175" s="12"/>
      <c r="VDW175" s="11"/>
      <c r="VDX175" s="12"/>
      <c r="VEG175" s="11"/>
      <c r="VEH175" s="12"/>
      <c r="VEQ175" s="11"/>
      <c r="VER175" s="12"/>
      <c r="VFA175" s="11"/>
      <c r="VFB175" s="12"/>
      <c r="VFK175" s="11"/>
      <c r="VFL175" s="12"/>
      <c r="VFU175" s="11"/>
      <c r="VFV175" s="12"/>
      <c r="VGE175" s="11"/>
      <c r="VGF175" s="12"/>
      <c r="VGO175" s="11"/>
      <c r="VGP175" s="12"/>
      <c r="VGY175" s="11"/>
      <c r="VGZ175" s="12"/>
      <c r="VHI175" s="11"/>
      <c r="VHJ175" s="12"/>
      <c r="VHS175" s="11"/>
      <c r="VHT175" s="12"/>
      <c r="VIC175" s="11"/>
      <c r="VID175" s="12"/>
      <c r="VIM175" s="11"/>
      <c r="VIN175" s="12"/>
      <c r="VIW175" s="11"/>
      <c r="VIX175" s="12"/>
      <c r="VJG175" s="11"/>
      <c r="VJH175" s="12"/>
      <c r="VJQ175" s="11"/>
      <c r="VJR175" s="12"/>
      <c r="VKA175" s="11"/>
      <c r="VKB175" s="12"/>
      <c r="VKK175" s="11"/>
      <c r="VKL175" s="12"/>
      <c r="VKU175" s="11"/>
      <c r="VKV175" s="12"/>
      <c r="VLE175" s="11"/>
      <c r="VLF175" s="12"/>
      <c r="VLO175" s="11"/>
      <c r="VLP175" s="12"/>
      <c r="VLY175" s="11"/>
      <c r="VLZ175" s="12"/>
      <c r="VMI175" s="11"/>
      <c r="VMJ175" s="12"/>
      <c r="VMS175" s="11"/>
      <c r="VMT175" s="12"/>
      <c r="VNC175" s="11"/>
      <c r="VND175" s="12"/>
      <c r="VNM175" s="11"/>
      <c r="VNN175" s="12"/>
      <c r="VNW175" s="11"/>
      <c r="VNX175" s="12"/>
      <c r="VOG175" s="11"/>
      <c r="VOH175" s="12"/>
      <c r="VOQ175" s="11"/>
      <c r="VOR175" s="12"/>
      <c r="VPA175" s="11"/>
      <c r="VPB175" s="12"/>
      <c r="VPK175" s="11"/>
      <c r="VPL175" s="12"/>
      <c r="VPU175" s="11"/>
      <c r="VPV175" s="12"/>
      <c r="VQE175" s="11"/>
      <c r="VQF175" s="12"/>
      <c r="VQO175" s="11"/>
      <c r="VQP175" s="12"/>
      <c r="VQY175" s="11"/>
      <c r="VQZ175" s="12"/>
      <c r="VRI175" s="11"/>
      <c r="VRJ175" s="12"/>
      <c r="VRS175" s="11"/>
      <c r="VRT175" s="12"/>
      <c r="VSC175" s="11"/>
      <c r="VSD175" s="12"/>
      <c r="VSM175" s="11"/>
      <c r="VSN175" s="12"/>
      <c r="VSW175" s="11"/>
      <c r="VSX175" s="12"/>
      <c r="VTG175" s="11"/>
      <c r="VTH175" s="12"/>
      <c r="VTQ175" s="11"/>
      <c r="VTR175" s="12"/>
      <c r="VUA175" s="11"/>
      <c r="VUB175" s="12"/>
      <c r="VUK175" s="11"/>
      <c r="VUL175" s="12"/>
      <c r="VUU175" s="11"/>
      <c r="VUV175" s="12"/>
      <c r="VVE175" s="11"/>
      <c r="VVF175" s="12"/>
      <c r="VVO175" s="11"/>
      <c r="VVP175" s="12"/>
      <c r="VVY175" s="11"/>
      <c r="VVZ175" s="12"/>
      <c r="VWI175" s="11"/>
      <c r="VWJ175" s="12"/>
      <c r="VWS175" s="11"/>
      <c r="VWT175" s="12"/>
      <c r="VXC175" s="11"/>
      <c r="VXD175" s="12"/>
      <c r="VXM175" s="11"/>
      <c r="VXN175" s="12"/>
      <c r="VXW175" s="11"/>
      <c r="VXX175" s="12"/>
      <c r="VYG175" s="11"/>
      <c r="VYH175" s="12"/>
      <c r="VYQ175" s="11"/>
      <c r="VYR175" s="12"/>
      <c r="VZA175" s="11"/>
      <c r="VZB175" s="12"/>
      <c r="VZK175" s="11"/>
      <c r="VZL175" s="12"/>
      <c r="VZU175" s="11"/>
      <c r="VZV175" s="12"/>
      <c r="WAE175" s="11"/>
      <c r="WAF175" s="12"/>
      <c r="WAO175" s="11"/>
      <c r="WAP175" s="12"/>
      <c r="WAY175" s="11"/>
      <c r="WAZ175" s="12"/>
      <c r="WBI175" s="11"/>
      <c r="WBJ175" s="12"/>
      <c r="WBS175" s="11"/>
      <c r="WBT175" s="12"/>
      <c r="WCC175" s="11"/>
      <c r="WCD175" s="12"/>
      <c r="WCM175" s="11"/>
      <c r="WCN175" s="12"/>
      <c r="WCW175" s="11"/>
      <c r="WCX175" s="12"/>
      <c r="WDG175" s="11"/>
      <c r="WDH175" s="12"/>
      <c r="WDQ175" s="11"/>
      <c r="WDR175" s="12"/>
      <c r="WEA175" s="11"/>
      <c r="WEB175" s="12"/>
      <c r="WEK175" s="11"/>
      <c r="WEL175" s="12"/>
      <c r="WEU175" s="11"/>
      <c r="WEV175" s="12"/>
      <c r="WFE175" s="11"/>
      <c r="WFF175" s="12"/>
      <c r="WFO175" s="11"/>
      <c r="WFP175" s="12"/>
      <c r="WFY175" s="11"/>
      <c r="WFZ175" s="12"/>
      <c r="WGI175" s="11"/>
      <c r="WGJ175" s="12"/>
      <c r="WGS175" s="11"/>
      <c r="WGT175" s="12"/>
      <c r="WHC175" s="11"/>
      <c r="WHD175" s="12"/>
      <c r="WHM175" s="11"/>
      <c r="WHN175" s="12"/>
      <c r="WHW175" s="11"/>
      <c r="WHX175" s="12"/>
      <c r="WIG175" s="11"/>
      <c r="WIH175" s="12"/>
      <c r="WIQ175" s="11"/>
      <c r="WIR175" s="12"/>
      <c r="WJA175" s="11"/>
      <c r="WJB175" s="12"/>
      <c r="WJK175" s="11"/>
      <c r="WJL175" s="12"/>
      <c r="WJU175" s="11"/>
      <c r="WJV175" s="12"/>
      <c r="WKE175" s="11"/>
      <c r="WKF175" s="12"/>
      <c r="WKO175" s="11"/>
      <c r="WKP175" s="12"/>
      <c r="WKY175" s="11"/>
      <c r="WKZ175" s="12"/>
      <c r="WLI175" s="11"/>
      <c r="WLJ175" s="12"/>
      <c r="WLS175" s="11"/>
      <c r="WLT175" s="12"/>
      <c r="WMC175" s="11"/>
      <c r="WMD175" s="12"/>
      <c r="WMM175" s="11"/>
      <c r="WMN175" s="12"/>
      <c r="WMW175" s="11"/>
      <c r="WMX175" s="12"/>
      <c r="WNG175" s="11"/>
      <c r="WNH175" s="12"/>
      <c r="WNQ175" s="11"/>
      <c r="WNR175" s="12"/>
      <c r="WOA175" s="11"/>
      <c r="WOB175" s="12"/>
      <c r="WOK175" s="11"/>
      <c r="WOL175" s="12"/>
      <c r="WOU175" s="11"/>
      <c r="WOV175" s="12"/>
      <c r="WPE175" s="11"/>
      <c r="WPF175" s="12"/>
      <c r="WPO175" s="11"/>
      <c r="WPP175" s="12"/>
      <c r="WPY175" s="11"/>
      <c r="WPZ175" s="12"/>
      <c r="WQI175" s="11"/>
      <c r="WQJ175" s="12"/>
      <c r="WQS175" s="11"/>
      <c r="WQT175" s="12"/>
      <c r="WRC175" s="11"/>
      <c r="WRD175" s="12"/>
      <c r="WRM175" s="11"/>
      <c r="WRN175" s="12"/>
      <c r="WRW175" s="11"/>
      <c r="WRX175" s="12"/>
      <c r="WSG175" s="11"/>
      <c r="WSH175" s="12"/>
      <c r="WSQ175" s="11"/>
      <c r="WSR175" s="12"/>
      <c r="WTA175" s="11"/>
      <c r="WTB175" s="12"/>
      <c r="WTK175" s="11"/>
      <c r="WTL175" s="12"/>
      <c r="WTU175" s="11"/>
      <c r="WTV175" s="12"/>
      <c r="WUE175" s="11"/>
      <c r="WUF175" s="12"/>
      <c r="WUO175" s="11"/>
      <c r="WUP175" s="12"/>
      <c r="WUY175" s="11"/>
      <c r="WUZ175" s="12"/>
      <c r="WVI175" s="11"/>
      <c r="WVJ175" s="12"/>
      <c r="WVS175" s="11"/>
      <c r="WVT175" s="12"/>
      <c r="WWC175" s="11"/>
      <c r="WWD175" s="12"/>
      <c r="WWM175" s="11"/>
      <c r="WWN175" s="12"/>
      <c r="WWW175" s="11"/>
      <c r="WWX175" s="12"/>
      <c r="WXG175" s="11"/>
      <c r="WXH175" s="12"/>
      <c r="WXQ175" s="11"/>
      <c r="WXR175" s="12"/>
      <c r="WYA175" s="11"/>
      <c r="WYB175" s="12"/>
      <c r="WYK175" s="11"/>
      <c r="WYL175" s="12"/>
      <c r="WYU175" s="11"/>
      <c r="WYV175" s="12"/>
      <c r="WZE175" s="11"/>
      <c r="WZF175" s="12"/>
      <c r="WZO175" s="11"/>
      <c r="WZP175" s="12"/>
      <c r="WZY175" s="11"/>
      <c r="WZZ175" s="12"/>
      <c r="XAI175" s="11"/>
      <c r="XAJ175" s="12"/>
      <c r="XAS175" s="11"/>
      <c r="XAT175" s="12"/>
      <c r="XBC175" s="11"/>
      <c r="XBD175" s="12"/>
      <c r="XBM175" s="11"/>
      <c r="XBN175" s="12"/>
      <c r="XBW175" s="11"/>
      <c r="XBX175" s="12"/>
      <c r="XCG175" s="11"/>
      <c r="XCH175" s="12"/>
      <c r="XCQ175" s="11"/>
      <c r="XCR175" s="12"/>
      <c r="XDA175" s="11"/>
      <c r="XDB175" s="12"/>
      <c r="XDK175" s="11"/>
      <c r="XDL175" s="12"/>
      <c r="XDU175" s="11"/>
      <c r="XDV175" s="12"/>
      <c r="XEE175" s="11"/>
      <c r="XEF175" s="12"/>
      <c r="XEO175" s="11"/>
      <c r="XEP175" s="12"/>
      <c r="XEY175" s="11"/>
      <c r="XEZ175" s="12"/>
    </row>
    <row r="176" spans="1:1020 1029:2040 2049:3070 3079:4090 4099:5120 5129:6140 6149:7160 7169:8190 8199:9210 9219:10240 10249:11260 11269:12280 12289:13310 13319:14330 14339:15360 15369:16380" s="10" customFormat="1" ht="41.4" x14ac:dyDescent="0.3">
      <c r="A176"/>
      <c r="B176"/>
      <c r="C176"/>
      <c r="D176"/>
      <c r="E176"/>
      <c r="F176"/>
      <c r="G176"/>
      <c r="H176" s="32" t="s">
        <v>9</v>
      </c>
      <c r="I176" s="33" t="s">
        <v>41</v>
      </c>
      <c r="J176" s="34" t="s">
        <v>443</v>
      </c>
      <c r="K176" s="35" t="s">
        <v>290</v>
      </c>
      <c r="L176" s="33" t="s">
        <v>300</v>
      </c>
      <c r="M176" s="33">
        <v>8115</v>
      </c>
      <c r="N176" s="36"/>
      <c r="O176" s="33">
        <v>2</v>
      </c>
      <c r="P176" s="33">
        <f>IF(Tabela1[[#This Row],[Status]]="✔️",Tabela1[[#This Row],[Peso]],IF(Tabela1[[#This Row],[Status]]="✔️✔️",Tabela1[[#This Row],[Peso]]/2,0))</f>
        <v>0</v>
      </c>
      <c r="Q17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76" s="33" t="s">
        <v>127</v>
      </c>
      <c r="S176" s="37" t="s">
        <v>128</v>
      </c>
      <c r="T176" s="12"/>
      <c r="AC176" s="11"/>
      <c r="AD176" s="12"/>
      <c r="AM176" s="11"/>
      <c r="AN176" s="12"/>
      <c r="AW176" s="11"/>
      <c r="AX176" s="12"/>
      <c r="BG176" s="11"/>
      <c r="BH176" s="12"/>
      <c r="BQ176" s="11"/>
      <c r="BR176" s="12"/>
      <c r="CA176" s="11"/>
      <c r="CB176" s="12"/>
      <c r="CK176" s="11"/>
      <c r="CL176" s="12"/>
      <c r="CU176" s="11"/>
      <c r="CV176" s="12"/>
      <c r="DE176" s="11"/>
      <c r="DF176" s="12"/>
      <c r="DO176" s="11"/>
      <c r="DP176" s="12"/>
      <c r="DY176" s="11"/>
      <c r="DZ176" s="12"/>
      <c r="EI176" s="11"/>
      <c r="EJ176" s="12"/>
      <c r="ES176" s="11"/>
      <c r="ET176" s="12"/>
      <c r="FC176" s="11"/>
      <c r="FD176" s="12"/>
      <c r="FM176" s="11"/>
      <c r="FN176" s="12"/>
      <c r="FW176" s="11"/>
      <c r="FX176" s="12"/>
      <c r="GG176" s="11"/>
      <c r="GH176" s="12"/>
      <c r="GQ176" s="11"/>
      <c r="GR176" s="12"/>
      <c r="HA176" s="11"/>
      <c r="HB176" s="12"/>
      <c r="HK176" s="11"/>
      <c r="HL176" s="12"/>
      <c r="HU176" s="11"/>
      <c r="HV176" s="12"/>
      <c r="IE176" s="11"/>
      <c r="IF176" s="12"/>
      <c r="IO176" s="11"/>
      <c r="IP176" s="12"/>
      <c r="IY176" s="11"/>
      <c r="IZ176" s="12"/>
      <c r="JI176" s="11"/>
      <c r="JJ176" s="12"/>
      <c r="JS176" s="11"/>
      <c r="JT176" s="12"/>
      <c r="KC176" s="11"/>
      <c r="KD176" s="12"/>
      <c r="KM176" s="11"/>
      <c r="KN176" s="12"/>
      <c r="KW176" s="11"/>
      <c r="KX176" s="12"/>
      <c r="LG176" s="11"/>
      <c r="LH176" s="12"/>
      <c r="LQ176" s="11"/>
      <c r="LR176" s="12"/>
      <c r="MA176" s="11"/>
      <c r="MB176" s="12"/>
      <c r="MK176" s="11"/>
      <c r="ML176" s="12"/>
      <c r="MU176" s="11"/>
      <c r="MV176" s="12"/>
      <c r="NE176" s="11"/>
      <c r="NF176" s="12"/>
      <c r="NO176" s="11"/>
      <c r="NP176" s="12"/>
      <c r="NY176" s="11"/>
      <c r="NZ176" s="12"/>
      <c r="OI176" s="11"/>
      <c r="OJ176" s="12"/>
      <c r="OS176" s="11"/>
      <c r="OT176" s="12"/>
      <c r="PC176" s="11"/>
      <c r="PD176" s="12"/>
      <c r="PM176" s="11"/>
      <c r="PN176" s="12"/>
      <c r="PW176" s="11"/>
      <c r="PX176" s="12"/>
      <c r="QG176" s="11"/>
      <c r="QH176" s="12"/>
      <c r="QQ176" s="11"/>
      <c r="QR176" s="12"/>
      <c r="RA176" s="11"/>
      <c r="RB176" s="12"/>
      <c r="RK176" s="11"/>
      <c r="RL176" s="12"/>
      <c r="RU176" s="11"/>
      <c r="RV176" s="12"/>
      <c r="SE176" s="11"/>
      <c r="SF176" s="12"/>
      <c r="SO176" s="11"/>
      <c r="SP176" s="12"/>
      <c r="SY176" s="11"/>
      <c r="SZ176" s="12"/>
      <c r="TI176" s="11"/>
      <c r="TJ176" s="12"/>
      <c r="TS176" s="11"/>
      <c r="TT176" s="12"/>
      <c r="UC176" s="11"/>
      <c r="UD176" s="12"/>
      <c r="UM176" s="11"/>
      <c r="UN176" s="12"/>
      <c r="UW176" s="11"/>
      <c r="UX176" s="12"/>
      <c r="VG176" s="11"/>
      <c r="VH176" s="12"/>
      <c r="VQ176" s="11"/>
      <c r="VR176" s="12"/>
      <c r="WA176" s="11"/>
      <c r="WB176" s="12"/>
      <c r="WK176" s="11"/>
      <c r="WL176" s="12"/>
      <c r="WU176" s="11"/>
      <c r="WV176" s="12"/>
      <c r="XE176" s="11"/>
      <c r="XF176" s="12"/>
      <c r="XO176" s="11"/>
      <c r="XP176" s="12"/>
      <c r="XY176" s="11"/>
      <c r="XZ176" s="12"/>
      <c r="YI176" s="11"/>
      <c r="YJ176" s="12"/>
      <c r="YS176" s="11"/>
      <c r="YT176" s="12"/>
      <c r="ZC176" s="11"/>
      <c r="ZD176" s="12"/>
      <c r="ZM176" s="11"/>
      <c r="ZN176" s="12"/>
      <c r="ZW176" s="11"/>
      <c r="ZX176" s="12"/>
      <c r="AAG176" s="11"/>
      <c r="AAH176" s="12"/>
      <c r="AAQ176" s="11"/>
      <c r="AAR176" s="12"/>
      <c r="ABA176" s="11"/>
      <c r="ABB176" s="12"/>
      <c r="ABK176" s="11"/>
      <c r="ABL176" s="12"/>
      <c r="ABU176" s="11"/>
      <c r="ABV176" s="12"/>
      <c r="ACE176" s="11"/>
      <c r="ACF176" s="12"/>
      <c r="ACO176" s="11"/>
      <c r="ACP176" s="12"/>
      <c r="ACY176" s="11"/>
      <c r="ACZ176" s="12"/>
      <c r="ADI176" s="11"/>
      <c r="ADJ176" s="12"/>
      <c r="ADS176" s="11"/>
      <c r="ADT176" s="12"/>
      <c r="AEC176" s="11"/>
      <c r="AED176" s="12"/>
      <c r="AEM176" s="11"/>
      <c r="AEN176" s="12"/>
      <c r="AEW176" s="11"/>
      <c r="AEX176" s="12"/>
      <c r="AFG176" s="11"/>
      <c r="AFH176" s="12"/>
      <c r="AFQ176" s="11"/>
      <c r="AFR176" s="12"/>
      <c r="AGA176" s="11"/>
      <c r="AGB176" s="12"/>
      <c r="AGK176" s="11"/>
      <c r="AGL176" s="12"/>
      <c r="AGU176" s="11"/>
      <c r="AGV176" s="12"/>
      <c r="AHE176" s="11"/>
      <c r="AHF176" s="12"/>
      <c r="AHO176" s="11"/>
      <c r="AHP176" s="12"/>
      <c r="AHY176" s="11"/>
      <c r="AHZ176" s="12"/>
      <c r="AII176" s="11"/>
      <c r="AIJ176" s="12"/>
      <c r="AIS176" s="11"/>
      <c r="AIT176" s="12"/>
      <c r="AJC176" s="11"/>
      <c r="AJD176" s="12"/>
      <c r="AJM176" s="11"/>
      <c r="AJN176" s="12"/>
      <c r="AJW176" s="11"/>
      <c r="AJX176" s="12"/>
      <c r="AKG176" s="11"/>
      <c r="AKH176" s="12"/>
      <c r="AKQ176" s="11"/>
      <c r="AKR176" s="12"/>
      <c r="ALA176" s="11"/>
      <c r="ALB176" s="12"/>
      <c r="ALK176" s="11"/>
      <c r="ALL176" s="12"/>
      <c r="ALU176" s="11"/>
      <c r="ALV176" s="12"/>
      <c r="AME176" s="11"/>
      <c r="AMF176" s="12"/>
      <c r="AMO176" s="11"/>
      <c r="AMP176" s="12"/>
      <c r="AMY176" s="11"/>
      <c r="AMZ176" s="12"/>
      <c r="ANI176" s="11"/>
      <c r="ANJ176" s="12"/>
      <c r="ANS176" s="11"/>
      <c r="ANT176" s="12"/>
      <c r="AOC176" s="11"/>
      <c r="AOD176" s="12"/>
      <c r="AOM176" s="11"/>
      <c r="AON176" s="12"/>
      <c r="AOW176" s="11"/>
      <c r="AOX176" s="12"/>
      <c r="APG176" s="11"/>
      <c r="APH176" s="12"/>
      <c r="APQ176" s="11"/>
      <c r="APR176" s="12"/>
      <c r="AQA176" s="11"/>
      <c r="AQB176" s="12"/>
      <c r="AQK176" s="11"/>
      <c r="AQL176" s="12"/>
      <c r="AQU176" s="11"/>
      <c r="AQV176" s="12"/>
      <c r="ARE176" s="11"/>
      <c r="ARF176" s="12"/>
      <c r="ARO176" s="11"/>
      <c r="ARP176" s="12"/>
      <c r="ARY176" s="11"/>
      <c r="ARZ176" s="12"/>
      <c r="ASI176" s="11"/>
      <c r="ASJ176" s="12"/>
      <c r="ASS176" s="11"/>
      <c r="AST176" s="12"/>
      <c r="ATC176" s="11"/>
      <c r="ATD176" s="12"/>
      <c r="ATM176" s="11"/>
      <c r="ATN176" s="12"/>
      <c r="ATW176" s="11"/>
      <c r="ATX176" s="12"/>
      <c r="AUG176" s="11"/>
      <c r="AUH176" s="12"/>
      <c r="AUQ176" s="11"/>
      <c r="AUR176" s="12"/>
      <c r="AVA176" s="11"/>
      <c r="AVB176" s="12"/>
      <c r="AVK176" s="11"/>
      <c r="AVL176" s="12"/>
      <c r="AVU176" s="11"/>
      <c r="AVV176" s="12"/>
      <c r="AWE176" s="11"/>
      <c r="AWF176" s="12"/>
      <c r="AWO176" s="11"/>
      <c r="AWP176" s="12"/>
      <c r="AWY176" s="11"/>
      <c r="AWZ176" s="12"/>
      <c r="AXI176" s="11"/>
      <c r="AXJ176" s="12"/>
      <c r="AXS176" s="11"/>
      <c r="AXT176" s="12"/>
      <c r="AYC176" s="11"/>
      <c r="AYD176" s="12"/>
      <c r="AYM176" s="11"/>
      <c r="AYN176" s="12"/>
      <c r="AYW176" s="11"/>
      <c r="AYX176" s="12"/>
      <c r="AZG176" s="11"/>
      <c r="AZH176" s="12"/>
      <c r="AZQ176" s="11"/>
      <c r="AZR176" s="12"/>
      <c r="BAA176" s="11"/>
      <c r="BAB176" s="12"/>
      <c r="BAK176" s="11"/>
      <c r="BAL176" s="12"/>
      <c r="BAU176" s="11"/>
      <c r="BAV176" s="12"/>
      <c r="BBE176" s="11"/>
      <c r="BBF176" s="12"/>
      <c r="BBO176" s="11"/>
      <c r="BBP176" s="12"/>
      <c r="BBY176" s="11"/>
      <c r="BBZ176" s="12"/>
      <c r="BCI176" s="11"/>
      <c r="BCJ176" s="12"/>
      <c r="BCS176" s="11"/>
      <c r="BCT176" s="12"/>
      <c r="BDC176" s="11"/>
      <c r="BDD176" s="12"/>
      <c r="BDM176" s="11"/>
      <c r="BDN176" s="12"/>
      <c r="BDW176" s="11"/>
      <c r="BDX176" s="12"/>
      <c r="BEG176" s="11"/>
      <c r="BEH176" s="12"/>
      <c r="BEQ176" s="11"/>
      <c r="BER176" s="12"/>
      <c r="BFA176" s="11"/>
      <c r="BFB176" s="12"/>
      <c r="BFK176" s="11"/>
      <c r="BFL176" s="12"/>
      <c r="BFU176" s="11"/>
      <c r="BFV176" s="12"/>
      <c r="BGE176" s="11"/>
      <c r="BGF176" s="12"/>
      <c r="BGO176" s="11"/>
      <c r="BGP176" s="12"/>
      <c r="BGY176" s="11"/>
      <c r="BGZ176" s="12"/>
      <c r="BHI176" s="11"/>
      <c r="BHJ176" s="12"/>
      <c r="BHS176" s="11"/>
      <c r="BHT176" s="12"/>
      <c r="BIC176" s="11"/>
      <c r="BID176" s="12"/>
      <c r="BIM176" s="11"/>
      <c r="BIN176" s="12"/>
      <c r="BIW176" s="11"/>
      <c r="BIX176" s="12"/>
      <c r="BJG176" s="11"/>
      <c r="BJH176" s="12"/>
      <c r="BJQ176" s="11"/>
      <c r="BJR176" s="12"/>
      <c r="BKA176" s="11"/>
      <c r="BKB176" s="12"/>
      <c r="BKK176" s="11"/>
      <c r="BKL176" s="12"/>
      <c r="BKU176" s="11"/>
      <c r="BKV176" s="12"/>
      <c r="BLE176" s="11"/>
      <c r="BLF176" s="12"/>
      <c r="BLO176" s="11"/>
      <c r="BLP176" s="12"/>
      <c r="BLY176" s="11"/>
      <c r="BLZ176" s="12"/>
      <c r="BMI176" s="11"/>
      <c r="BMJ176" s="12"/>
      <c r="BMS176" s="11"/>
      <c r="BMT176" s="12"/>
      <c r="BNC176" s="11"/>
      <c r="BND176" s="12"/>
      <c r="BNM176" s="11"/>
      <c r="BNN176" s="12"/>
      <c r="BNW176" s="11"/>
      <c r="BNX176" s="12"/>
      <c r="BOG176" s="11"/>
      <c r="BOH176" s="12"/>
      <c r="BOQ176" s="11"/>
      <c r="BOR176" s="12"/>
      <c r="BPA176" s="11"/>
      <c r="BPB176" s="12"/>
      <c r="BPK176" s="11"/>
      <c r="BPL176" s="12"/>
      <c r="BPU176" s="11"/>
      <c r="BPV176" s="12"/>
      <c r="BQE176" s="11"/>
      <c r="BQF176" s="12"/>
      <c r="BQO176" s="11"/>
      <c r="BQP176" s="12"/>
      <c r="BQY176" s="11"/>
      <c r="BQZ176" s="12"/>
      <c r="BRI176" s="11"/>
      <c r="BRJ176" s="12"/>
      <c r="BRS176" s="11"/>
      <c r="BRT176" s="12"/>
      <c r="BSC176" s="11"/>
      <c r="BSD176" s="12"/>
      <c r="BSM176" s="11"/>
      <c r="BSN176" s="12"/>
      <c r="BSW176" s="11"/>
      <c r="BSX176" s="12"/>
      <c r="BTG176" s="11"/>
      <c r="BTH176" s="12"/>
      <c r="BTQ176" s="11"/>
      <c r="BTR176" s="12"/>
      <c r="BUA176" s="11"/>
      <c r="BUB176" s="12"/>
      <c r="BUK176" s="11"/>
      <c r="BUL176" s="12"/>
      <c r="BUU176" s="11"/>
      <c r="BUV176" s="12"/>
      <c r="BVE176" s="11"/>
      <c r="BVF176" s="12"/>
      <c r="BVO176" s="11"/>
      <c r="BVP176" s="12"/>
      <c r="BVY176" s="11"/>
      <c r="BVZ176" s="12"/>
      <c r="BWI176" s="11"/>
      <c r="BWJ176" s="12"/>
      <c r="BWS176" s="11"/>
      <c r="BWT176" s="12"/>
      <c r="BXC176" s="11"/>
      <c r="BXD176" s="12"/>
      <c r="BXM176" s="11"/>
      <c r="BXN176" s="12"/>
      <c r="BXW176" s="11"/>
      <c r="BXX176" s="12"/>
      <c r="BYG176" s="11"/>
      <c r="BYH176" s="12"/>
      <c r="BYQ176" s="11"/>
      <c r="BYR176" s="12"/>
      <c r="BZA176" s="11"/>
      <c r="BZB176" s="12"/>
      <c r="BZK176" s="11"/>
      <c r="BZL176" s="12"/>
      <c r="BZU176" s="11"/>
      <c r="BZV176" s="12"/>
      <c r="CAE176" s="11"/>
      <c r="CAF176" s="12"/>
      <c r="CAO176" s="11"/>
      <c r="CAP176" s="12"/>
      <c r="CAY176" s="11"/>
      <c r="CAZ176" s="12"/>
      <c r="CBI176" s="11"/>
      <c r="CBJ176" s="12"/>
      <c r="CBS176" s="11"/>
      <c r="CBT176" s="12"/>
      <c r="CCC176" s="11"/>
      <c r="CCD176" s="12"/>
      <c r="CCM176" s="11"/>
      <c r="CCN176" s="12"/>
      <c r="CCW176" s="11"/>
      <c r="CCX176" s="12"/>
      <c r="CDG176" s="11"/>
      <c r="CDH176" s="12"/>
      <c r="CDQ176" s="11"/>
      <c r="CDR176" s="12"/>
      <c r="CEA176" s="11"/>
      <c r="CEB176" s="12"/>
      <c r="CEK176" s="11"/>
      <c r="CEL176" s="12"/>
      <c r="CEU176" s="11"/>
      <c r="CEV176" s="12"/>
      <c r="CFE176" s="11"/>
      <c r="CFF176" s="12"/>
      <c r="CFO176" s="11"/>
      <c r="CFP176" s="12"/>
      <c r="CFY176" s="11"/>
      <c r="CFZ176" s="12"/>
      <c r="CGI176" s="11"/>
      <c r="CGJ176" s="12"/>
      <c r="CGS176" s="11"/>
      <c r="CGT176" s="12"/>
      <c r="CHC176" s="11"/>
      <c r="CHD176" s="12"/>
      <c r="CHM176" s="11"/>
      <c r="CHN176" s="12"/>
      <c r="CHW176" s="11"/>
      <c r="CHX176" s="12"/>
      <c r="CIG176" s="11"/>
      <c r="CIH176" s="12"/>
      <c r="CIQ176" s="11"/>
      <c r="CIR176" s="12"/>
      <c r="CJA176" s="11"/>
      <c r="CJB176" s="12"/>
      <c r="CJK176" s="11"/>
      <c r="CJL176" s="12"/>
      <c r="CJU176" s="11"/>
      <c r="CJV176" s="12"/>
      <c r="CKE176" s="11"/>
      <c r="CKF176" s="12"/>
      <c r="CKO176" s="11"/>
      <c r="CKP176" s="12"/>
      <c r="CKY176" s="11"/>
      <c r="CKZ176" s="12"/>
      <c r="CLI176" s="11"/>
      <c r="CLJ176" s="12"/>
      <c r="CLS176" s="11"/>
      <c r="CLT176" s="12"/>
      <c r="CMC176" s="11"/>
      <c r="CMD176" s="12"/>
      <c r="CMM176" s="11"/>
      <c r="CMN176" s="12"/>
      <c r="CMW176" s="11"/>
      <c r="CMX176" s="12"/>
      <c r="CNG176" s="11"/>
      <c r="CNH176" s="12"/>
      <c r="CNQ176" s="11"/>
      <c r="CNR176" s="12"/>
      <c r="COA176" s="11"/>
      <c r="COB176" s="12"/>
      <c r="COK176" s="11"/>
      <c r="COL176" s="12"/>
      <c r="COU176" s="11"/>
      <c r="COV176" s="12"/>
      <c r="CPE176" s="11"/>
      <c r="CPF176" s="12"/>
      <c r="CPO176" s="11"/>
      <c r="CPP176" s="12"/>
      <c r="CPY176" s="11"/>
      <c r="CPZ176" s="12"/>
      <c r="CQI176" s="11"/>
      <c r="CQJ176" s="12"/>
      <c r="CQS176" s="11"/>
      <c r="CQT176" s="12"/>
      <c r="CRC176" s="11"/>
      <c r="CRD176" s="12"/>
      <c r="CRM176" s="11"/>
      <c r="CRN176" s="12"/>
      <c r="CRW176" s="11"/>
      <c r="CRX176" s="12"/>
      <c r="CSG176" s="11"/>
      <c r="CSH176" s="12"/>
      <c r="CSQ176" s="11"/>
      <c r="CSR176" s="12"/>
      <c r="CTA176" s="11"/>
      <c r="CTB176" s="12"/>
      <c r="CTK176" s="11"/>
      <c r="CTL176" s="12"/>
      <c r="CTU176" s="11"/>
      <c r="CTV176" s="12"/>
      <c r="CUE176" s="11"/>
      <c r="CUF176" s="12"/>
      <c r="CUO176" s="11"/>
      <c r="CUP176" s="12"/>
      <c r="CUY176" s="11"/>
      <c r="CUZ176" s="12"/>
      <c r="CVI176" s="11"/>
      <c r="CVJ176" s="12"/>
      <c r="CVS176" s="11"/>
      <c r="CVT176" s="12"/>
      <c r="CWC176" s="11"/>
      <c r="CWD176" s="12"/>
      <c r="CWM176" s="11"/>
      <c r="CWN176" s="12"/>
      <c r="CWW176" s="11"/>
      <c r="CWX176" s="12"/>
      <c r="CXG176" s="11"/>
      <c r="CXH176" s="12"/>
      <c r="CXQ176" s="11"/>
      <c r="CXR176" s="12"/>
      <c r="CYA176" s="11"/>
      <c r="CYB176" s="12"/>
      <c r="CYK176" s="11"/>
      <c r="CYL176" s="12"/>
      <c r="CYU176" s="11"/>
      <c r="CYV176" s="12"/>
      <c r="CZE176" s="11"/>
      <c r="CZF176" s="12"/>
      <c r="CZO176" s="11"/>
      <c r="CZP176" s="12"/>
      <c r="CZY176" s="11"/>
      <c r="CZZ176" s="12"/>
      <c r="DAI176" s="11"/>
      <c r="DAJ176" s="12"/>
      <c r="DAS176" s="11"/>
      <c r="DAT176" s="12"/>
      <c r="DBC176" s="11"/>
      <c r="DBD176" s="12"/>
      <c r="DBM176" s="11"/>
      <c r="DBN176" s="12"/>
      <c r="DBW176" s="11"/>
      <c r="DBX176" s="12"/>
      <c r="DCG176" s="11"/>
      <c r="DCH176" s="12"/>
      <c r="DCQ176" s="11"/>
      <c r="DCR176" s="12"/>
      <c r="DDA176" s="11"/>
      <c r="DDB176" s="12"/>
      <c r="DDK176" s="11"/>
      <c r="DDL176" s="12"/>
      <c r="DDU176" s="11"/>
      <c r="DDV176" s="12"/>
      <c r="DEE176" s="11"/>
      <c r="DEF176" s="12"/>
      <c r="DEO176" s="11"/>
      <c r="DEP176" s="12"/>
      <c r="DEY176" s="11"/>
      <c r="DEZ176" s="12"/>
      <c r="DFI176" s="11"/>
      <c r="DFJ176" s="12"/>
      <c r="DFS176" s="11"/>
      <c r="DFT176" s="12"/>
      <c r="DGC176" s="11"/>
      <c r="DGD176" s="12"/>
      <c r="DGM176" s="11"/>
      <c r="DGN176" s="12"/>
      <c r="DGW176" s="11"/>
      <c r="DGX176" s="12"/>
      <c r="DHG176" s="11"/>
      <c r="DHH176" s="12"/>
      <c r="DHQ176" s="11"/>
      <c r="DHR176" s="12"/>
      <c r="DIA176" s="11"/>
      <c r="DIB176" s="12"/>
      <c r="DIK176" s="11"/>
      <c r="DIL176" s="12"/>
      <c r="DIU176" s="11"/>
      <c r="DIV176" s="12"/>
      <c r="DJE176" s="11"/>
      <c r="DJF176" s="12"/>
      <c r="DJO176" s="11"/>
      <c r="DJP176" s="12"/>
      <c r="DJY176" s="11"/>
      <c r="DJZ176" s="12"/>
      <c r="DKI176" s="11"/>
      <c r="DKJ176" s="12"/>
      <c r="DKS176" s="11"/>
      <c r="DKT176" s="12"/>
      <c r="DLC176" s="11"/>
      <c r="DLD176" s="12"/>
      <c r="DLM176" s="11"/>
      <c r="DLN176" s="12"/>
      <c r="DLW176" s="11"/>
      <c r="DLX176" s="12"/>
      <c r="DMG176" s="11"/>
      <c r="DMH176" s="12"/>
      <c r="DMQ176" s="11"/>
      <c r="DMR176" s="12"/>
      <c r="DNA176" s="11"/>
      <c r="DNB176" s="12"/>
      <c r="DNK176" s="11"/>
      <c r="DNL176" s="12"/>
      <c r="DNU176" s="11"/>
      <c r="DNV176" s="12"/>
      <c r="DOE176" s="11"/>
      <c r="DOF176" s="12"/>
      <c r="DOO176" s="11"/>
      <c r="DOP176" s="12"/>
      <c r="DOY176" s="11"/>
      <c r="DOZ176" s="12"/>
      <c r="DPI176" s="11"/>
      <c r="DPJ176" s="12"/>
      <c r="DPS176" s="11"/>
      <c r="DPT176" s="12"/>
      <c r="DQC176" s="11"/>
      <c r="DQD176" s="12"/>
      <c r="DQM176" s="11"/>
      <c r="DQN176" s="12"/>
      <c r="DQW176" s="11"/>
      <c r="DQX176" s="12"/>
      <c r="DRG176" s="11"/>
      <c r="DRH176" s="12"/>
      <c r="DRQ176" s="11"/>
      <c r="DRR176" s="12"/>
      <c r="DSA176" s="11"/>
      <c r="DSB176" s="12"/>
      <c r="DSK176" s="11"/>
      <c r="DSL176" s="12"/>
      <c r="DSU176" s="11"/>
      <c r="DSV176" s="12"/>
      <c r="DTE176" s="11"/>
      <c r="DTF176" s="12"/>
      <c r="DTO176" s="11"/>
      <c r="DTP176" s="12"/>
      <c r="DTY176" s="11"/>
      <c r="DTZ176" s="12"/>
      <c r="DUI176" s="11"/>
      <c r="DUJ176" s="12"/>
      <c r="DUS176" s="11"/>
      <c r="DUT176" s="12"/>
      <c r="DVC176" s="11"/>
      <c r="DVD176" s="12"/>
      <c r="DVM176" s="11"/>
      <c r="DVN176" s="12"/>
      <c r="DVW176" s="11"/>
      <c r="DVX176" s="12"/>
      <c r="DWG176" s="11"/>
      <c r="DWH176" s="12"/>
      <c r="DWQ176" s="11"/>
      <c r="DWR176" s="12"/>
      <c r="DXA176" s="11"/>
      <c r="DXB176" s="12"/>
      <c r="DXK176" s="11"/>
      <c r="DXL176" s="12"/>
      <c r="DXU176" s="11"/>
      <c r="DXV176" s="12"/>
      <c r="DYE176" s="11"/>
      <c r="DYF176" s="12"/>
      <c r="DYO176" s="11"/>
      <c r="DYP176" s="12"/>
      <c r="DYY176" s="11"/>
      <c r="DYZ176" s="12"/>
      <c r="DZI176" s="11"/>
      <c r="DZJ176" s="12"/>
      <c r="DZS176" s="11"/>
      <c r="DZT176" s="12"/>
      <c r="EAC176" s="11"/>
      <c r="EAD176" s="12"/>
      <c r="EAM176" s="11"/>
      <c r="EAN176" s="12"/>
      <c r="EAW176" s="11"/>
      <c r="EAX176" s="12"/>
      <c r="EBG176" s="11"/>
      <c r="EBH176" s="12"/>
      <c r="EBQ176" s="11"/>
      <c r="EBR176" s="12"/>
      <c r="ECA176" s="11"/>
      <c r="ECB176" s="12"/>
      <c r="ECK176" s="11"/>
      <c r="ECL176" s="12"/>
      <c r="ECU176" s="11"/>
      <c r="ECV176" s="12"/>
      <c r="EDE176" s="11"/>
      <c r="EDF176" s="12"/>
      <c r="EDO176" s="11"/>
      <c r="EDP176" s="12"/>
      <c r="EDY176" s="11"/>
      <c r="EDZ176" s="12"/>
      <c r="EEI176" s="11"/>
      <c r="EEJ176" s="12"/>
      <c r="EES176" s="11"/>
      <c r="EET176" s="12"/>
      <c r="EFC176" s="11"/>
      <c r="EFD176" s="12"/>
      <c r="EFM176" s="11"/>
      <c r="EFN176" s="12"/>
      <c r="EFW176" s="11"/>
      <c r="EFX176" s="12"/>
      <c r="EGG176" s="11"/>
      <c r="EGH176" s="12"/>
      <c r="EGQ176" s="11"/>
      <c r="EGR176" s="12"/>
      <c r="EHA176" s="11"/>
      <c r="EHB176" s="12"/>
      <c r="EHK176" s="11"/>
      <c r="EHL176" s="12"/>
      <c r="EHU176" s="11"/>
      <c r="EHV176" s="12"/>
      <c r="EIE176" s="11"/>
      <c r="EIF176" s="12"/>
      <c r="EIO176" s="11"/>
      <c r="EIP176" s="12"/>
      <c r="EIY176" s="11"/>
      <c r="EIZ176" s="12"/>
      <c r="EJI176" s="11"/>
      <c r="EJJ176" s="12"/>
      <c r="EJS176" s="11"/>
      <c r="EJT176" s="12"/>
      <c r="EKC176" s="11"/>
      <c r="EKD176" s="12"/>
      <c r="EKM176" s="11"/>
      <c r="EKN176" s="12"/>
      <c r="EKW176" s="11"/>
      <c r="EKX176" s="12"/>
      <c r="ELG176" s="11"/>
      <c r="ELH176" s="12"/>
      <c r="ELQ176" s="11"/>
      <c r="ELR176" s="12"/>
      <c r="EMA176" s="11"/>
      <c r="EMB176" s="12"/>
      <c r="EMK176" s="11"/>
      <c r="EML176" s="12"/>
      <c r="EMU176" s="11"/>
      <c r="EMV176" s="12"/>
      <c r="ENE176" s="11"/>
      <c r="ENF176" s="12"/>
      <c r="ENO176" s="11"/>
      <c r="ENP176" s="12"/>
      <c r="ENY176" s="11"/>
      <c r="ENZ176" s="12"/>
      <c r="EOI176" s="11"/>
      <c r="EOJ176" s="12"/>
      <c r="EOS176" s="11"/>
      <c r="EOT176" s="12"/>
      <c r="EPC176" s="11"/>
      <c r="EPD176" s="12"/>
      <c r="EPM176" s="11"/>
      <c r="EPN176" s="12"/>
      <c r="EPW176" s="11"/>
      <c r="EPX176" s="12"/>
      <c r="EQG176" s="11"/>
      <c r="EQH176" s="12"/>
      <c r="EQQ176" s="11"/>
      <c r="EQR176" s="12"/>
      <c r="ERA176" s="11"/>
      <c r="ERB176" s="12"/>
      <c r="ERK176" s="11"/>
      <c r="ERL176" s="12"/>
      <c r="ERU176" s="11"/>
      <c r="ERV176" s="12"/>
      <c r="ESE176" s="11"/>
      <c r="ESF176" s="12"/>
      <c r="ESO176" s="11"/>
      <c r="ESP176" s="12"/>
      <c r="ESY176" s="11"/>
      <c r="ESZ176" s="12"/>
      <c r="ETI176" s="11"/>
      <c r="ETJ176" s="12"/>
      <c r="ETS176" s="11"/>
      <c r="ETT176" s="12"/>
      <c r="EUC176" s="11"/>
      <c r="EUD176" s="12"/>
      <c r="EUM176" s="11"/>
      <c r="EUN176" s="12"/>
      <c r="EUW176" s="11"/>
      <c r="EUX176" s="12"/>
      <c r="EVG176" s="11"/>
      <c r="EVH176" s="12"/>
      <c r="EVQ176" s="11"/>
      <c r="EVR176" s="12"/>
      <c r="EWA176" s="11"/>
      <c r="EWB176" s="12"/>
      <c r="EWK176" s="11"/>
      <c r="EWL176" s="12"/>
      <c r="EWU176" s="11"/>
      <c r="EWV176" s="12"/>
      <c r="EXE176" s="11"/>
      <c r="EXF176" s="12"/>
      <c r="EXO176" s="11"/>
      <c r="EXP176" s="12"/>
      <c r="EXY176" s="11"/>
      <c r="EXZ176" s="12"/>
      <c r="EYI176" s="11"/>
      <c r="EYJ176" s="12"/>
      <c r="EYS176" s="11"/>
      <c r="EYT176" s="12"/>
      <c r="EZC176" s="11"/>
      <c r="EZD176" s="12"/>
      <c r="EZM176" s="11"/>
      <c r="EZN176" s="12"/>
      <c r="EZW176" s="11"/>
      <c r="EZX176" s="12"/>
      <c r="FAG176" s="11"/>
      <c r="FAH176" s="12"/>
      <c r="FAQ176" s="11"/>
      <c r="FAR176" s="12"/>
      <c r="FBA176" s="11"/>
      <c r="FBB176" s="12"/>
      <c r="FBK176" s="11"/>
      <c r="FBL176" s="12"/>
      <c r="FBU176" s="11"/>
      <c r="FBV176" s="12"/>
      <c r="FCE176" s="11"/>
      <c r="FCF176" s="12"/>
      <c r="FCO176" s="11"/>
      <c r="FCP176" s="12"/>
      <c r="FCY176" s="11"/>
      <c r="FCZ176" s="12"/>
      <c r="FDI176" s="11"/>
      <c r="FDJ176" s="12"/>
      <c r="FDS176" s="11"/>
      <c r="FDT176" s="12"/>
      <c r="FEC176" s="11"/>
      <c r="FED176" s="12"/>
      <c r="FEM176" s="11"/>
      <c r="FEN176" s="12"/>
      <c r="FEW176" s="11"/>
      <c r="FEX176" s="12"/>
      <c r="FFG176" s="11"/>
      <c r="FFH176" s="12"/>
      <c r="FFQ176" s="11"/>
      <c r="FFR176" s="12"/>
      <c r="FGA176" s="11"/>
      <c r="FGB176" s="12"/>
      <c r="FGK176" s="11"/>
      <c r="FGL176" s="12"/>
      <c r="FGU176" s="11"/>
      <c r="FGV176" s="12"/>
      <c r="FHE176" s="11"/>
      <c r="FHF176" s="12"/>
      <c r="FHO176" s="11"/>
      <c r="FHP176" s="12"/>
      <c r="FHY176" s="11"/>
      <c r="FHZ176" s="12"/>
      <c r="FII176" s="11"/>
      <c r="FIJ176" s="12"/>
      <c r="FIS176" s="11"/>
      <c r="FIT176" s="12"/>
      <c r="FJC176" s="11"/>
      <c r="FJD176" s="12"/>
      <c r="FJM176" s="11"/>
      <c r="FJN176" s="12"/>
      <c r="FJW176" s="11"/>
      <c r="FJX176" s="12"/>
      <c r="FKG176" s="11"/>
      <c r="FKH176" s="12"/>
      <c r="FKQ176" s="11"/>
      <c r="FKR176" s="12"/>
      <c r="FLA176" s="11"/>
      <c r="FLB176" s="12"/>
      <c r="FLK176" s="11"/>
      <c r="FLL176" s="12"/>
      <c r="FLU176" s="11"/>
      <c r="FLV176" s="12"/>
      <c r="FME176" s="11"/>
      <c r="FMF176" s="12"/>
      <c r="FMO176" s="11"/>
      <c r="FMP176" s="12"/>
      <c r="FMY176" s="11"/>
      <c r="FMZ176" s="12"/>
      <c r="FNI176" s="11"/>
      <c r="FNJ176" s="12"/>
      <c r="FNS176" s="11"/>
      <c r="FNT176" s="12"/>
      <c r="FOC176" s="11"/>
      <c r="FOD176" s="12"/>
      <c r="FOM176" s="11"/>
      <c r="FON176" s="12"/>
      <c r="FOW176" s="11"/>
      <c r="FOX176" s="12"/>
      <c r="FPG176" s="11"/>
      <c r="FPH176" s="12"/>
      <c r="FPQ176" s="11"/>
      <c r="FPR176" s="12"/>
      <c r="FQA176" s="11"/>
      <c r="FQB176" s="12"/>
      <c r="FQK176" s="11"/>
      <c r="FQL176" s="12"/>
      <c r="FQU176" s="11"/>
      <c r="FQV176" s="12"/>
      <c r="FRE176" s="11"/>
      <c r="FRF176" s="12"/>
      <c r="FRO176" s="11"/>
      <c r="FRP176" s="12"/>
      <c r="FRY176" s="11"/>
      <c r="FRZ176" s="12"/>
      <c r="FSI176" s="11"/>
      <c r="FSJ176" s="12"/>
      <c r="FSS176" s="11"/>
      <c r="FST176" s="12"/>
      <c r="FTC176" s="11"/>
      <c r="FTD176" s="12"/>
      <c r="FTM176" s="11"/>
      <c r="FTN176" s="12"/>
      <c r="FTW176" s="11"/>
      <c r="FTX176" s="12"/>
      <c r="FUG176" s="11"/>
      <c r="FUH176" s="12"/>
      <c r="FUQ176" s="11"/>
      <c r="FUR176" s="12"/>
      <c r="FVA176" s="11"/>
      <c r="FVB176" s="12"/>
      <c r="FVK176" s="11"/>
      <c r="FVL176" s="12"/>
      <c r="FVU176" s="11"/>
      <c r="FVV176" s="12"/>
      <c r="FWE176" s="11"/>
      <c r="FWF176" s="12"/>
      <c r="FWO176" s="11"/>
      <c r="FWP176" s="12"/>
      <c r="FWY176" s="11"/>
      <c r="FWZ176" s="12"/>
      <c r="FXI176" s="11"/>
      <c r="FXJ176" s="12"/>
      <c r="FXS176" s="11"/>
      <c r="FXT176" s="12"/>
      <c r="FYC176" s="11"/>
      <c r="FYD176" s="12"/>
      <c r="FYM176" s="11"/>
      <c r="FYN176" s="12"/>
      <c r="FYW176" s="11"/>
      <c r="FYX176" s="12"/>
      <c r="FZG176" s="11"/>
      <c r="FZH176" s="12"/>
      <c r="FZQ176" s="11"/>
      <c r="FZR176" s="12"/>
      <c r="GAA176" s="11"/>
      <c r="GAB176" s="12"/>
      <c r="GAK176" s="11"/>
      <c r="GAL176" s="12"/>
      <c r="GAU176" s="11"/>
      <c r="GAV176" s="12"/>
      <c r="GBE176" s="11"/>
      <c r="GBF176" s="12"/>
      <c r="GBO176" s="11"/>
      <c r="GBP176" s="12"/>
      <c r="GBY176" s="11"/>
      <c r="GBZ176" s="12"/>
      <c r="GCI176" s="11"/>
      <c r="GCJ176" s="12"/>
      <c r="GCS176" s="11"/>
      <c r="GCT176" s="12"/>
      <c r="GDC176" s="11"/>
      <c r="GDD176" s="12"/>
      <c r="GDM176" s="11"/>
      <c r="GDN176" s="12"/>
      <c r="GDW176" s="11"/>
      <c r="GDX176" s="12"/>
      <c r="GEG176" s="11"/>
      <c r="GEH176" s="12"/>
      <c r="GEQ176" s="11"/>
      <c r="GER176" s="12"/>
      <c r="GFA176" s="11"/>
      <c r="GFB176" s="12"/>
      <c r="GFK176" s="11"/>
      <c r="GFL176" s="12"/>
      <c r="GFU176" s="11"/>
      <c r="GFV176" s="12"/>
      <c r="GGE176" s="11"/>
      <c r="GGF176" s="12"/>
      <c r="GGO176" s="11"/>
      <c r="GGP176" s="12"/>
      <c r="GGY176" s="11"/>
      <c r="GGZ176" s="12"/>
      <c r="GHI176" s="11"/>
      <c r="GHJ176" s="12"/>
      <c r="GHS176" s="11"/>
      <c r="GHT176" s="12"/>
      <c r="GIC176" s="11"/>
      <c r="GID176" s="12"/>
      <c r="GIM176" s="11"/>
      <c r="GIN176" s="12"/>
      <c r="GIW176" s="11"/>
      <c r="GIX176" s="12"/>
      <c r="GJG176" s="11"/>
      <c r="GJH176" s="12"/>
      <c r="GJQ176" s="11"/>
      <c r="GJR176" s="12"/>
      <c r="GKA176" s="11"/>
      <c r="GKB176" s="12"/>
      <c r="GKK176" s="11"/>
      <c r="GKL176" s="12"/>
      <c r="GKU176" s="11"/>
      <c r="GKV176" s="12"/>
      <c r="GLE176" s="11"/>
      <c r="GLF176" s="12"/>
      <c r="GLO176" s="11"/>
      <c r="GLP176" s="12"/>
      <c r="GLY176" s="11"/>
      <c r="GLZ176" s="12"/>
      <c r="GMI176" s="11"/>
      <c r="GMJ176" s="12"/>
      <c r="GMS176" s="11"/>
      <c r="GMT176" s="12"/>
      <c r="GNC176" s="11"/>
      <c r="GND176" s="12"/>
      <c r="GNM176" s="11"/>
      <c r="GNN176" s="12"/>
      <c r="GNW176" s="11"/>
      <c r="GNX176" s="12"/>
      <c r="GOG176" s="11"/>
      <c r="GOH176" s="12"/>
      <c r="GOQ176" s="11"/>
      <c r="GOR176" s="12"/>
      <c r="GPA176" s="11"/>
      <c r="GPB176" s="12"/>
      <c r="GPK176" s="11"/>
      <c r="GPL176" s="12"/>
      <c r="GPU176" s="11"/>
      <c r="GPV176" s="12"/>
      <c r="GQE176" s="11"/>
      <c r="GQF176" s="12"/>
      <c r="GQO176" s="11"/>
      <c r="GQP176" s="12"/>
      <c r="GQY176" s="11"/>
      <c r="GQZ176" s="12"/>
      <c r="GRI176" s="11"/>
      <c r="GRJ176" s="12"/>
      <c r="GRS176" s="11"/>
      <c r="GRT176" s="12"/>
      <c r="GSC176" s="11"/>
      <c r="GSD176" s="12"/>
      <c r="GSM176" s="11"/>
      <c r="GSN176" s="12"/>
      <c r="GSW176" s="11"/>
      <c r="GSX176" s="12"/>
      <c r="GTG176" s="11"/>
      <c r="GTH176" s="12"/>
      <c r="GTQ176" s="11"/>
      <c r="GTR176" s="12"/>
      <c r="GUA176" s="11"/>
      <c r="GUB176" s="12"/>
      <c r="GUK176" s="11"/>
      <c r="GUL176" s="12"/>
      <c r="GUU176" s="11"/>
      <c r="GUV176" s="12"/>
      <c r="GVE176" s="11"/>
      <c r="GVF176" s="12"/>
      <c r="GVO176" s="11"/>
      <c r="GVP176" s="12"/>
      <c r="GVY176" s="11"/>
      <c r="GVZ176" s="12"/>
      <c r="GWI176" s="11"/>
      <c r="GWJ176" s="12"/>
      <c r="GWS176" s="11"/>
      <c r="GWT176" s="12"/>
      <c r="GXC176" s="11"/>
      <c r="GXD176" s="12"/>
      <c r="GXM176" s="11"/>
      <c r="GXN176" s="12"/>
      <c r="GXW176" s="11"/>
      <c r="GXX176" s="12"/>
      <c r="GYG176" s="11"/>
      <c r="GYH176" s="12"/>
      <c r="GYQ176" s="11"/>
      <c r="GYR176" s="12"/>
      <c r="GZA176" s="11"/>
      <c r="GZB176" s="12"/>
      <c r="GZK176" s="11"/>
      <c r="GZL176" s="12"/>
      <c r="GZU176" s="11"/>
      <c r="GZV176" s="12"/>
      <c r="HAE176" s="11"/>
      <c r="HAF176" s="12"/>
      <c r="HAO176" s="11"/>
      <c r="HAP176" s="12"/>
      <c r="HAY176" s="11"/>
      <c r="HAZ176" s="12"/>
      <c r="HBI176" s="11"/>
      <c r="HBJ176" s="12"/>
      <c r="HBS176" s="11"/>
      <c r="HBT176" s="12"/>
      <c r="HCC176" s="11"/>
      <c r="HCD176" s="12"/>
      <c r="HCM176" s="11"/>
      <c r="HCN176" s="12"/>
      <c r="HCW176" s="11"/>
      <c r="HCX176" s="12"/>
      <c r="HDG176" s="11"/>
      <c r="HDH176" s="12"/>
      <c r="HDQ176" s="11"/>
      <c r="HDR176" s="12"/>
      <c r="HEA176" s="11"/>
      <c r="HEB176" s="12"/>
      <c r="HEK176" s="11"/>
      <c r="HEL176" s="12"/>
      <c r="HEU176" s="11"/>
      <c r="HEV176" s="12"/>
      <c r="HFE176" s="11"/>
      <c r="HFF176" s="12"/>
      <c r="HFO176" s="11"/>
      <c r="HFP176" s="12"/>
      <c r="HFY176" s="11"/>
      <c r="HFZ176" s="12"/>
      <c r="HGI176" s="11"/>
      <c r="HGJ176" s="12"/>
      <c r="HGS176" s="11"/>
      <c r="HGT176" s="12"/>
      <c r="HHC176" s="11"/>
      <c r="HHD176" s="12"/>
      <c r="HHM176" s="11"/>
      <c r="HHN176" s="12"/>
      <c r="HHW176" s="11"/>
      <c r="HHX176" s="12"/>
      <c r="HIG176" s="11"/>
      <c r="HIH176" s="12"/>
      <c r="HIQ176" s="11"/>
      <c r="HIR176" s="12"/>
      <c r="HJA176" s="11"/>
      <c r="HJB176" s="12"/>
      <c r="HJK176" s="11"/>
      <c r="HJL176" s="12"/>
      <c r="HJU176" s="11"/>
      <c r="HJV176" s="12"/>
      <c r="HKE176" s="11"/>
      <c r="HKF176" s="12"/>
      <c r="HKO176" s="11"/>
      <c r="HKP176" s="12"/>
      <c r="HKY176" s="11"/>
      <c r="HKZ176" s="12"/>
      <c r="HLI176" s="11"/>
      <c r="HLJ176" s="12"/>
      <c r="HLS176" s="11"/>
      <c r="HLT176" s="12"/>
      <c r="HMC176" s="11"/>
      <c r="HMD176" s="12"/>
      <c r="HMM176" s="11"/>
      <c r="HMN176" s="12"/>
      <c r="HMW176" s="11"/>
      <c r="HMX176" s="12"/>
      <c r="HNG176" s="11"/>
      <c r="HNH176" s="12"/>
      <c r="HNQ176" s="11"/>
      <c r="HNR176" s="12"/>
      <c r="HOA176" s="11"/>
      <c r="HOB176" s="12"/>
      <c r="HOK176" s="11"/>
      <c r="HOL176" s="12"/>
      <c r="HOU176" s="11"/>
      <c r="HOV176" s="12"/>
      <c r="HPE176" s="11"/>
      <c r="HPF176" s="12"/>
      <c r="HPO176" s="11"/>
      <c r="HPP176" s="12"/>
      <c r="HPY176" s="11"/>
      <c r="HPZ176" s="12"/>
      <c r="HQI176" s="11"/>
      <c r="HQJ176" s="12"/>
      <c r="HQS176" s="11"/>
      <c r="HQT176" s="12"/>
      <c r="HRC176" s="11"/>
      <c r="HRD176" s="12"/>
      <c r="HRM176" s="11"/>
      <c r="HRN176" s="12"/>
      <c r="HRW176" s="11"/>
      <c r="HRX176" s="12"/>
      <c r="HSG176" s="11"/>
      <c r="HSH176" s="12"/>
      <c r="HSQ176" s="11"/>
      <c r="HSR176" s="12"/>
      <c r="HTA176" s="11"/>
      <c r="HTB176" s="12"/>
      <c r="HTK176" s="11"/>
      <c r="HTL176" s="12"/>
      <c r="HTU176" s="11"/>
      <c r="HTV176" s="12"/>
      <c r="HUE176" s="11"/>
      <c r="HUF176" s="12"/>
      <c r="HUO176" s="11"/>
      <c r="HUP176" s="12"/>
      <c r="HUY176" s="11"/>
      <c r="HUZ176" s="12"/>
      <c r="HVI176" s="11"/>
      <c r="HVJ176" s="12"/>
      <c r="HVS176" s="11"/>
      <c r="HVT176" s="12"/>
      <c r="HWC176" s="11"/>
      <c r="HWD176" s="12"/>
      <c r="HWM176" s="11"/>
      <c r="HWN176" s="12"/>
      <c r="HWW176" s="11"/>
      <c r="HWX176" s="12"/>
      <c r="HXG176" s="11"/>
      <c r="HXH176" s="12"/>
      <c r="HXQ176" s="11"/>
      <c r="HXR176" s="12"/>
      <c r="HYA176" s="11"/>
      <c r="HYB176" s="12"/>
      <c r="HYK176" s="11"/>
      <c r="HYL176" s="12"/>
      <c r="HYU176" s="11"/>
      <c r="HYV176" s="12"/>
      <c r="HZE176" s="11"/>
      <c r="HZF176" s="12"/>
      <c r="HZO176" s="11"/>
      <c r="HZP176" s="12"/>
      <c r="HZY176" s="11"/>
      <c r="HZZ176" s="12"/>
      <c r="IAI176" s="11"/>
      <c r="IAJ176" s="12"/>
      <c r="IAS176" s="11"/>
      <c r="IAT176" s="12"/>
      <c r="IBC176" s="11"/>
      <c r="IBD176" s="12"/>
      <c r="IBM176" s="11"/>
      <c r="IBN176" s="12"/>
      <c r="IBW176" s="11"/>
      <c r="IBX176" s="12"/>
      <c r="ICG176" s="11"/>
      <c r="ICH176" s="12"/>
      <c r="ICQ176" s="11"/>
      <c r="ICR176" s="12"/>
      <c r="IDA176" s="11"/>
      <c r="IDB176" s="12"/>
      <c r="IDK176" s="11"/>
      <c r="IDL176" s="12"/>
      <c r="IDU176" s="11"/>
      <c r="IDV176" s="12"/>
      <c r="IEE176" s="11"/>
      <c r="IEF176" s="12"/>
      <c r="IEO176" s="11"/>
      <c r="IEP176" s="12"/>
      <c r="IEY176" s="11"/>
      <c r="IEZ176" s="12"/>
      <c r="IFI176" s="11"/>
      <c r="IFJ176" s="12"/>
      <c r="IFS176" s="11"/>
      <c r="IFT176" s="12"/>
      <c r="IGC176" s="11"/>
      <c r="IGD176" s="12"/>
      <c r="IGM176" s="11"/>
      <c r="IGN176" s="12"/>
      <c r="IGW176" s="11"/>
      <c r="IGX176" s="12"/>
      <c r="IHG176" s="11"/>
      <c r="IHH176" s="12"/>
      <c r="IHQ176" s="11"/>
      <c r="IHR176" s="12"/>
      <c r="IIA176" s="11"/>
      <c r="IIB176" s="12"/>
      <c r="IIK176" s="11"/>
      <c r="IIL176" s="12"/>
      <c r="IIU176" s="11"/>
      <c r="IIV176" s="12"/>
      <c r="IJE176" s="11"/>
      <c r="IJF176" s="12"/>
      <c r="IJO176" s="11"/>
      <c r="IJP176" s="12"/>
      <c r="IJY176" s="11"/>
      <c r="IJZ176" s="12"/>
      <c r="IKI176" s="11"/>
      <c r="IKJ176" s="12"/>
      <c r="IKS176" s="11"/>
      <c r="IKT176" s="12"/>
      <c r="ILC176" s="11"/>
      <c r="ILD176" s="12"/>
      <c r="ILM176" s="11"/>
      <c r="ILN176" s="12"/>
      <c r="ILW176" s="11"/>
      <c r="ILX176" s="12"/>
      <c r="IMG176" s="11"/>
      <c r="IMH176" s="12"/>
      <c r="IMQ176" s="11"/>
      <c r="IMR176" s="12"/>
      <c r="INA176" s="11"/>
      <c r="INB176" s="12"/>
      <c r="INK176" s="11"/>
      <c r="INL176" s="12"/>
      <c r="INU176" s="11"/>
      <c r="INV176" s="12"/>
      <c r="IOE176" s="11"/>
      <c r="IOF176" s="12"/>
      <c r="IOO176" s="11"/>
      <c r="IOP176" s="12"/>
      <c r="IOY176" s="11"/>
      <c r="IOZ176" s="12"/>
      <c r="IPI176" s="11"/>
      <c r="IPJ176" s="12"/>
      <c r="IPS176" s="11"/>
      <c r="IPT176" s="12"/>
      <c r="IQC176" s="11"/>
      <c r="IQD176" s="12"/>
      <c r="IQM176" s="11"/>
      <c r="IQN176" s="12"/>
      <c r="IQW176" s="11"/>
      <c r="IQX176" s="12"/>
      <c r="IRG176" s="11"/>
      <c r="IRH176" s="12"/>
      <c r="IRQ176" s="11"/>
      <c r="IRR176" s="12"/>
      <c r="ISA176" s="11"/>
      <c r="ISB176" s="12"/>
      <c r="ISK176" s="11"/>
      <c r="ISL176" s="12"/>
      <c r="ISU176" s="11"/>
      <c r="ISV176" s="12"/>
      <c r="ITE176" s="11"/>
      <c r="ITF176" s="12"/>
      <c r="ITO176" s="11"/>
      <c r="ITP176" s="12"/>
      <c r="ITY176" s="11"/>
      <c r="ITZ176" s="12"/>
      <c r="IUI176" s="11"/>
      <c r="IUJ176" s="12"/>
      <c r="IUS176" s="11"/>
      <c r="IUT176" s="12"/>
      <c r="IVC176" s="11"/>
      <c r="IVD176" s="12"/>
      <c r="IVM176" s="11"/>
      <c r="IVN176" s="12"/>
      <c r="IVW176" s="11"/>
      <c r="IVX176" s="12"/>
      <c r="IWG176" s="11"/>
      <c r="IWH176" s="12"/>
      <c r="IWQ176" s="11"/>
      <c r="IWR176" s="12"/>
      <c r="IXA176" s="11"/>
      <c r="IXB176" s="12"/>
      <c r="IXK176" s="11"/>
      <c r="IXL176" s="12"/>
      <c r="IXU176" s="11"/>
      <c r="IXV176" s="12"/>
      <c r="IYE176" s="11"/>
      <c r="IYF176" s="12"/>
      <c r="IYO176" s="11"/>
      <c r="IYP176" s="12"/>
      <c r="IYY176" s="11"/>
      <c r="IYZ176" s="12"/>
      <c r="IZI176" s="11"/>
      <c r="IZJ176" s="12"/>
      <c r="IZS176" s="11"/>
      <c r="IZT176" s="12"/>
      <c r="JAC176" s="11"/>
      <c r="JAD176" s="12"/>
      <c r="JAM176" s="11"/>
      <c r="JAN176" s="12"/>
      <c r="JAW176" s="11"/>
      <c r="JAX176" s="12"/>
      <c r="JBG176" s="11"/>
      <c r="JBH176" s="12"/>
      <c r="JBQ176" s="11"/>
      <c r="JBR176" s="12"/>
      <c r="JCA176" s="11"/>
      <c r="JCB176" s="12"/>
      <c r="JCK176" s="11"/>
      <c r="JCL176" s="12"/>
      <c r="JCU176" s="11"/>
      <c r="JCV176" s="12"/>
      <c r="JDE176" s="11"/>
      <c r="JDF176" s="12"/>
      <c r="JDO176" s="11"/>
      <c r="JDP176" s="12"/>
      <c r="JDY176" s="11"/>
      <c r="JDZ176" s="12"/>
      <c r="JEI176" s="11"/>
      <c r="JEJ176" s="12"/>
      <c r="JES176" s="11"/>
      <c r="JET176" s="12"/>
      <c r="JFC176" s="11"/>
      <c r="JFD176" s="12"/>
      <c r="JFM176" s="11"/>
      <c r="JFN176" s="12"/>
      <c r="JFW176" s="11"/>
      <c r="JFX176" s="12"/>
      <c r="JGG176" s="11"/>
      <c r="JGH176" s="12"/>
      <c r="JGQ176" s="11"/>
      <c r="JGR176" s="12"/>
      <c r="JHA176" s="11"/>
      <c r="JHB176" s="12"/>
      <c r="JHK176" s="11"/>
      <c r="JHL176" s="12"/>
      <c r="JHU176" s="11"/>
      <c r="JHV176" s="12"/>
      <c r="JIE176" s="11"/>
      <c r="JIF176" s="12"/>
      <c r="JIO176" s="11"/>
      <c r="JIP176" s="12"/>
      <c r="JIY176" s="11"/>
      <c r="JIZ176" s="12"/>
      <c r="JJI176" s="11"/>
      <c r="JJJ176" s="12"/>
      <c r="JJS176" s="11"/>
      <c r="JJT176" s="12"/>
      <c r="JKC176" s="11"/>
      <c r="JKD176" s="12"/>
      <c r="JKM176" s="11"/>
      <c r="JKN176" s="12"/>
      <c r="JKW176" s="11"/>
      <c r="JKX176" s="12"/>
      <c r="JLG176" s="11"/>
      <c r="JLH176" s="12"/>
      <c r="JLQ176" s="11"/>
      <c r="JLR176" s="12"/>
      <c r="JMA176" s="11"/>
      <c r="JMB176" s="12"/>
      <c r="JMK176" s="11"/>
      <c r="JML176" s="12"/>
      <c r="JMU176" s="11"/>
      <c r="JMV176" s="12"/>
      <c r="JNE176" s="11"/>
      <c r="JNF176" s="12"/>
      <c r="JNO176" s="11"/>
      <c r="JNP176" s="12"/>
      <c r="JNY176" s="11"/>
      <c r="JNZ176" s="12"/>
      <c r="JOI176" s="11"/>
      <c r="JOJ176" s="12"/>
      <c r="JOS176" s="11"/>
      <c r="JOT176" s="12"/>
      <c r="JPC176" s="11"/>
      <c r="JPD176" s="12"/>
      <c r="JPM176" s="11"/>
      <c r="JPN176" s="12"/>
      <c r="JPW176" s="11"/>
      <c r="JPX176" s="12"/>
      <c r="JQG176" s="11"/>
      <c r="JQH176" s="12"/>
      <c r="JQQ176" s="11"/>
      <c r="JQR176" s="12"/>
      <c r="JRA176" s="11"/>
      <c r="JRB176" s="12"/>
      <c r="JRK176" s="11"/>
      <c r="JRL176" s="12"/>
      <c r="JRU176" s="11"/>
      <c r="JRV176" s="12"/>
      <c r="JSE176" s="11"/>
      <c r="JSF176" s="12"/>
      <c r="JSO176" s="11"/>
      <c r="JSP176" s="12"/>
      <c r="JSY176" s="11"/>
      <c r="JSZ176" s="12"/>
      <c r="JTI176" s="11"/>
      <c r="JTJ176" s="12"/>
      <c r="JTS176" s="11"/>
      <c r="JTT176" s="12"/>
      <c r="JUC176" s="11"/>
      <c r="JUD176" s="12"/>
      <c r="JUM176" s="11"/>
      <c r="JUN176" s="12"/>
      <c r="JUW176" s="11"/>
      <c r="JUX176" s="12"/>
      <c r="JVG176" s="11"/>
      <c r="JVH176" s="12"/>
      <c r="JVQ176" s="11"/>
      <c r="JVR176" s="12"/>
      <c r="JWA176" s="11"/>
      <c r="JWB176" s="12"/>
      <c r="JWK176" s="11"/>
      <c r="JWL176" s="12"/>
      <c r="JWU176" s="11"/>
      <c r="JWV176" s="12"/>
      <c r="JXE176" s="11"/>
      <c r="JXF176" s="12"/>
      <c r="JXO176" s="11"/>
      <c r="JXP176" s="12"/>
      <c r="JXY176" s="11"/>
      <c r="JXZ176" s="12"/>
      <c r="JYI176" s="11"/>
      <c r="JYJ176" s="12"/>
      <c r="JYS176" s="11"/>
      <c r="JYT176" s="12"/>
      <c r="JZC176" s="11"/>
      <c r="JZD176" s="12"/>
      <c r="JZM176" s="11"/>
      <c r="JZN176" s="12"/>
      <c r="JZW176" s="11"/>
      <c r="JZX176" s="12"/>
      <c r="KAG176" s="11"/>
      <c r="KAH176" s="12"/>
      <c r="KAQ176" s="11"/>
      <c r="KAR176" s="12"/>
      <c r="KBA176" s="11"/>
      <c r="KBB176" s="12"/>
      <c r="KBK176" s="11"/>
      <c r="KBL176" s="12"/>
      <c r="KBU176" s="11"/>
      <c r="KBV176" s="12"/>
      <c r="KCE176" s="11"/>
      <c r="KCF176" s="12"/>
      <c r="KCO176" s="11"/>
      <c r="KCP176" s="12"/>
      <c r="KCY176" s="11"/>
      <c r="KCZ176" s="12"/>
      <c r="KDI176" s="11"/>
      <c r="KDJ176" s="12"/>
      <c r="KDS176" s="11"/>
      <c r="KDT176" s="12"/>
      <c r="KEC176" s="11"/>
      <c r="KED176" s="12"/>
      <c r="KEM176" s="11"/>
      <c r="KEN176" s="12"/>
      <c r="KEW176" s="11"/>
      <c r="KEX176" s="12"/>
      <c r="KFG176" s="11"/>
      <c r="KFH176" s="12"/>
      <c r="KFQ176" s="11"/>
      <c r="KFR176" s="12"/>
      <c r="KGA176" s="11"/>
      <c r="KGB176" s="12"/>
      <c r="KGK176" s="11"/>
      <c r="KGL176" s="12"/>
      <c r="KGU176" s="11"/>
      <c r="KGV176" s="12"/>
      <c r="KHE176" s="11"/>
      <c r="KHF176" s="12"/>
      <c r="KHO176" s="11"/>
      <c r="KHP176" s="12"/>
      <c r="KHY176" s="11"/>
      <c r="KHZ176" s="12"/>
      <c r="KII176" s="11"/>
      <c r="KIJ176" s="12"/>
      <c r="KIS176" s="11"/>
      <c r="KIT176" s="12"/>
      <c r="KJC176" s="11"/>
      <c r="KJD176" s="12"/>
      <c r="KJM176" s="11"/>
      <c r="KJN176" s="12"/>
      <c r="KJW176" s="11"/>
      <c r="KJX176" s="12"/>
      <c r="KKG176" s="11"/>
      <c r="KKH176" s="12"/>
      <c r="KKQ176" s="11"/>
      <c r="KKR176" s="12"/>
      <c r="KLA176" s="11"/>
      <c r="KLB176" s="12"/>
      <c r="KLK176" s="11"/>
      <c r="KLL176" s="12"/>
      <c r="KLU176" s="11"/>
      <c r="KLV176" s="12"/>
      <c r="KME176" s="11"/>
      <c r="KMF176" s="12"/>
      <c r="KMO176" s="11"/>
      <c r="KMP176" s="12"/>
      <c r="KMY176" s="11"/>
      <c r="KMZ176" s="12"/>
      <c r="KNI176" s="11"/>
      <c r="KNJ176" s="12"/>
      <c r="KNS176" s="11"/>
      <c r="KNT176" s="12"/>
      <c r="KOC176" s="11"/>
      <c r="KOD176" s="12"/>
      <c r="KOM176" s="11"/>
      <c r="KON176" s="12"/>
      <c r="KOW176" s="11"/>
      <c r="KOX176" s="12"/>
      <c r="KPG176" s="11"/>
      <c r="KPH176" s="12"/>
      <c r="KPQ176" s="11"/>
      <c r="KPR176" s="12"/>
      <c r="KQA176" s="11"/>
      <c r="KQB176" s="12"/>
      <c r="KQK176" s="11"/>
      <c r="KQL176" s="12"/>
      <c r="KQU176" s="11"/>
      <c r="KQV176" s="12"/>
      <c r="KRE176" s="11"/>
      <c r="KRF176" s="12"/>
      <c r="KRO176" s="11"/>
      <c r="KRP176" s="12"/>
      <c r="KRY176" s="11"/>
      <c r="KRZ176" s="12"/>
      <c r="KSI176" s="11"/>
      <c r="KSJ176" s="12"/>
      <c r="KSS176" s="11"/>
      <c r="KST176" s="12"/>
      <c r="KTC176" s="11"/>
      <c r="KTD176" s="12"/>
      <c r="KTM176" s="11"/>
      <c r="KTN176" s="12"/>
      <c r="KTW176" s="11"/>
      <c r="KTX176" s="12"/>
      <c r="KUG176" s="11"/>
      <c r="KUH176" s="12"/>
      <c r="KUQ176" s="11"/>
      <c r="KUR176" s="12"/>
      <c r="KVA176" s="11"/>
      <c r="KVB176" s="12"/>
      <c r="KVK176" s="11"/>
      <c r="KVL176" s="12"/>
      <c r="KVU176" s="11"/>
      <c r="KVV176" s="12"/>
      <c r="KWE176" s="11"/>
      <c r="KWF176" s="12"/>
      <c r="KWO176" s="11"/>
      <c r="KWP176" s="12"/>
      <c r="KWY176" s="11"/>
      <c r="KWZ176" s="12"/>
      <c r="KXI176" s="11"/>
      <c r="KXJ176" s="12"/>
      <c r="KXS176" s="11"/>
      <c r="KXT176" s="12"/>
      <c r="KYC176" s="11"/>
      <c r="KYD176" s="12"/>
      <c r="KYM176" s="11"/>
      <c r="KYN176" s="12"/>
      <c r="KYW176" s="11"/>
      <c r="KYX176" s="12"/>
      <c r="KZG176" s="11"/>
      <c r="KZH176" s="12"/>
      <c r="KZQ176" s="11"/>
      <c r="KZR176" s="12"/>
      <c r="LAA176" s="11"/>
      <c r="LAB176" s="12"/>
      <c r="LAK176" s="11"/>
      <c r="LAL176" s="12"/>
      <c r="LAU176" s="11"/>
      <c r="LAV176" s="12"/>
      <c r="LBE176" s="11"/>
      <c r="LBF176" s="12"/>
      <c r="LBO176" s="11"/>
      <c r="LBP176" s="12"/>
      <c r="LBY176" s="11"/>
      <c r="LBZ176" s="12"/>
      <c r="LCI176" s="11"/>
      <c r="LCJ176" s="12"/>
      <c r="LCS176" s="11"/>
      <c r="LCT176" s="12"/>
      <c r="LDC176" s="11"/>
      <c r="LDD176" s="12"/>
      <c r="LDM176" s="11"/>
      <c r="LDN176" s="12"/>
      <c r="LDW176" s="11"/>
      <c r="LDX176" s="12"/>
      <c r="LEG176" s="11"/>
      <c r="LEH176" s="12"/>
      <c r="LEQ176" s="11"/>
      <c r="LER176" s="12"/>
      <c r="LFA176" s="11"/>
      <c r="LFB176" s="12"/>
      <c r="LFK176" s="11"/>
      <c r="LFL176" s="12"/>
      <c r="LFU176" s="11"/>
      <c r="LFV176" s="12"/>
      <c r="LGE176" s="11"/>
      <c r="LGF176" s="12"/>
      <c r="LGO176" s="11"/>
      <c r="LGP176" s="12"/>
      <c r="LGY176" s="11"/>
      <c r="LGZ176" s="12"/>
      <c r="LHI176" s="11"/>
      <c r="LHJ176" s="12"/>
      <c r="LHS176" s="11"/>
      <c r="LHT176" s="12"/>
      <c r="LIC176" s="11"/>
      <c r="LID176" s="12"/>
      <c r="LIM176" s="11"/>
      <c r="LIN176" s="12"/>
      <c r="LIW176" s="11"/>
      <c r="LIX176" s="12"/>
      <c r="LJG176" s="11"/>
      <c r="LJH176" s="12"/>
      <c r="LJQ176" s="11"/>
      <c r="LJR176" s="12"/>
      <c r="LKA176" s="11"/>
      <c r="LKB176" s="12"/>
      <c r="LKK176" s="11"/>
      <c r="LKL176" s="12"/>
      <c r="LKU176" s="11"/>
      <c r="LKV176" s="12"/>
      <c r="LLE176" s="11"/>
      <c r="LLF176" s="12"/>
      <c r="LLO176" s="11"/>
      <c r="LLP176" s="12"/>
      <c r="LLY176" s="11"/>
      <c r="LLZ176" s="12"/>
      <c r="LMI176" s="11"/>
      <c r="LMJ176" s="12"/>
      <c r="LMS176" s="11"/>
      <c r="LMT176" s="12"/>
      <c r="LNC176" s="11"/>
      <c r="LND176" s="12"/>
      <c r="LNM176" s="11"/>
      <c r="LNN176" s="12"/>
      <c r="LNW176" s="11"/>
      <c r="LNX176" s="12"/>
      <c r="LOG176" s="11"/>
      <c r="LOH176" s="12"/>
      <c r="LOQ176" s="11"/>
      <c r="LOR176" s="12"/>
      <c r="LPA176" s="11"/>
      <c r="LPB176" s="12"/>
      <c r="LPK176" s="11"/>
      <c r="LPL176" s="12"/>
      <c r="LPU176" s="11"/>
      <c r="LPV176" s="12"/>
      <c r="LQE176" s="11"/>
      <c r="LQF176" s="12"/>
      <c r="LQO176" s="11"/>
      <c r="LQP176" s="12"/>
      <c r="LQY176" s="11"/>
      <c r="LQZ176" s="12"/>
      <c r="LRI176" s="11"/>
      <c r="LRJ176" s="12"/>
      <c r="LRS176" s="11"/>
      <c r="LRT176" s="12"/>
      <c r="LSC176" s="11"/>
      <c r="LSD176" s="12"/>
      <c r="LSM176" s="11"/>
      <c r="LSN176" s="12"/>
      <c r="LSW176" s="11"/>
      <c r="LSX176" s="12"/>
      <c r="LTG176" s="11"/>
      <c r="LTH176" s="12"/>
      <c r="LTQ176" s="11"/>
      <c r="LTR176" s="12"/>
      <c r="LUA176" s="11"/>
      <c r="LUB176" s="12"/>
      <c r="LUK176" s="11"/>
      <c r="LUL176" s="12"/>
      <c r="LUU176" s="11"/>
      <c r="LUV176" s="12"/>
      <c r="LVE176" s="11"/>
      <c r="LVF176" s="12"/>
      <c r="LVO176" s="11"/>
      <c r="LVP176" s="12"/>
      <c r="LVY176" s="11"/>
      <c r="LVZ176" s="12"/>
      <c r="LWI176" s="11"/>
      <c r="LWJ176" s="12"/>
      <c r="LWS176" s="11"/>
      <c r="LWT176" s="12"/>
      <c r="LXC176" s="11"/>
      <c r="LXD176" s="12"/>
      <c r="LXM176" s="11"/>
      <c r="LXN176" s="12"/>
      <c r="LXW176" s="11"/>
      <c r="LXX176" s="12"/>
      <c r="LYG176" s="11"/>
      <c r="LYH176" s="12"/>
      <c r="LYQ176" s="11"/>
      <c r="LYR176" s="12"/>
      <c r="LZA176" s="11"/>
      <c r="LZB176" s="12"/>
      <c r="LZK176" s="11"/>
      <c r="LZL176" s="12"/>
      <c r="LZU176" s="11"/>
      <c r="LZV176" s="12"/>
      <c r="MAE176" s="11"/>
      <c r="MAF176" s="12"/>
      <c r="MAO176" s="11"/>
      <c r="MAP176" s="12"/>
      <c r="MAY176" s="11"/>
      <c r="MAZ176" s="12"/>
      <c r="MBI176" s="11"/>
      <c r="MBJ176" s="12"/>
      <c r="MBS176" s="11"/>
      <c r="MBT176" s="12"/>
      <c r="MCC176" s="11"/>
      <c r="MCD176" s="12"/>
      <c r="MCM176" s="11"/>
      <c r="MCN176" s="12"/>
      <c r="MCW176" s="11"/>
      <c r="MCX176" s="12"/>
      <c r="MDG176" s="11"/>
      <c r="MDH176" s="12"/>
      <c r="MDQ176" s="11"/>
      <c r="MDR176" s="12"/>
      <c r="MEA176" s="11"/>
      <c r="MEB176" s="12"/>
      <c r="MEK176" s="11"/>
      <c r="MEL176" s="12"/>
      <c r="MEU176" s="11"/>
      <c r="MEV176" s="12"/>
      <c r="MFE176" s="11"/>
      <c r="MFF176" s="12"/>
      <c r="MFO176" s="11"/>
      <c r="MFP176" s="12"/>
      <c r="MFY176" s="11"/>
      <c r="MFZ176" s="12"/>
      <c r="MGI176" s="11"/>
      <c r="MGJ176" s="12"/>
      <c r="MGS176" s="11"/>
      <c r="MGT176" s="12"/>
      <c r="MHC176" s="11"/>
      <c r="MHD176" s="12"/>
      <c r="MHM176" s="11"/>
      <c r="MHN176" s="12"/>
      <c r="MHW176" s="11"/>
      <c r="MHX176" s="12"/>
      <c r="MIG176" s="11"/>
      <c r="MIH176" s="12"/>
      <c r="MIQ176" s="11"/>
      <c r="MIR176" s="12"/>
      <c r="MJA176" s="11"/>
      <c r="MJB176" s="12"/>
      <c r="MJK176" s="11"/>
      <c r="MJL176" s="12"/>
      <c r="MJU176" s="11"/>
      <c r="MJV176" s="12"/>
      <c r="MKE176" s="11"/>
      <c r="MKF176" s="12"/>
      <c r="MKO176" s="11"/>
      <c r="MKP176" s="12"/>
      <c r="MKY176" s="11"/>
      <c r="MKZ176" s="12"/>
      <c r="MLI176" s="11"/>
      <c r="MLJ176" s="12"/>
      <c r="MLS176" s="11"/>
      <c r="MLT176" s="12"/>
      <c r="MMC176" s="11"/>
      <c r="MMD176" s="12"/>
      <c r="MMM176" s="11"/>
      <c r="MMN176" s="12"/>
      <c r="MMW176" s="11"/>
      <c r="MMX176" s="12"/>
      <c r="MNG176" s="11"/>
      <c r="MNH176" s="12"/>
      <c r="MNQ176" s="11"/>
      <c r="MNR176" s="12"/>
      <c r="MOA176" s="11"/>
      <c r="MOB176" s="12"/>
      <c r="MOK176" s="11"/>
      <c r="MOL176" s="12"/>
      <c r="MOU176" s="11"/>
      <c r="MOV176" s="12"/>
      <c r="MPE176" s="11"/>
      <c r="MPF176" s="12"/>
      <c r="MPO176" s="11"/>
      <c r="MPP176" s="12"/>
      <c r="MPY176" s="11"/>
      <c r="MPZ176" s="12"/>
      <c r="MQI176" s="11"/>
      <c r="MQJ176" s="12"/>
      <c r="MQS176" s="11"/>
      <c r="MQT176" s="12"/>
      <c r="MRC176" s="11"/>
      <c r="MRD176" s="12"/>
      <c r="MRM176" s="11"/>
      <c r="MRN176" s="12"/>
      <c r="MRW176" s="11"/>
      <c r="MRX176" s="12"/>
      <c r="MSG176" s="11"/>
      <c r="MSH176" s="12"/>
      <c r="MSQ176" s="11"/>
      <c r="MSR176" s="12"/>
      <c r="MTA176" s="11"/>
      <c r="MTB176" s="12"/>
      <c r="MTK176" s="11"/>
      <c r="MTL176" s="12"/>
      <c r="MTU176" s="11"/>
      <c r="MTV176" s="12"/>
      <c r="MUE176" s="11"/>
      <c r="MUF176" s="12"/>
      <c r="MUO176" s="11"/>
      <c r="MUP176" s="12"/>
      <c r="MUY176" s="11"/>
      <c r="MUZ176" s="12"/>
      <c r="MVI176" s="11"/>
      <c r="MVJ176" s="12"/>
      <c r="MVS176" s="11"/>
      <c r="MVT176" s="12"/>
      <c r="MWC176" s="11"/>
      <c r="MWD176" s="12"/>
      <c r="MWM176" s="11"/>
      <c r="MWN176" s="12"/>
      <c r="MWW176" s="11"/>
      <c r="MWX176" s="12"/>
      <c r="MXG176" s="11"/>
      <c r="MXH176" s="12"/>
      <c r="MXQ176" s="11"/>
      <c r="MXR176" s="12"/>
      <c r="MYA176" s="11"/>
      <c r="MYB176" s="12"/>
      <c r="MYK176" s="11"/>
      <c r="MYL176" s="12"/>
      <c r="MYU176" s="11"/>
      <c r="MYV176" s="12"/>
      <c r="MZE176" s="11"/>
      <c r="MZF176" s="12"/>
      <c r="MZO176" s="11"/>
      <c r="MZP176" s="12"/>
      <c r="MZY176" s="11"/>
      <c r="MZZ176" s="12"/>
      <c r="NAI176" s="11"/>
      <c r="NAJ176" s="12"/>
      <c r="NAS176" s="11"/>
      <c r="NAT176" s="12"/>
      <c r="NBC176" s="11"/>
      <c r="NBD176" s="12"/>
      <c r="NBM176" s="11"/>
      <c r="NBN176" s="12"/>
      <c r="NBW176" s="11"/>
      <c r="NBX176" s="12"/>
      <c r="NCG176" s="11"/>
      <c r="NCH176" s="12"/>
      <c r="NCQ176" s="11"/>
      <c r="NCR176" s="12"/>
      <c r="NDA176" s="11"/>
      <c r="NDB176" s="12"/>
      <c r="NDK176" s="11"/>
      <c r="NDL176" s="12"/>
      <c r="NDU176" s="11"/>
      <c r="NDV176" s="12"/>
      <c r="NEE176" s="11"/>
      <c r="NEF176" s="12"/>
      <c r="NEO176" s="11"/>
      <c r="NEP176" s="12"/>
      <c r="NEY176" s="11"/>
      <c r="NEZ176" s="12"/>
      <c r="NFI176" s="11"/>
      <c r="NFJ176" s="12"/>
      <c r="NFS176" s="11"/>
      <c r="NFT176" s="12"/>
      <c r="NGC176" s="11"/>
      <c r="NGD176" s="12"/>
      <c r="NGM176" s="11"/>
      <c r="NGN176" s="12"/>
      <c r="NGW176" s="11"/>
      <c r="NGX176" s="12"/>
      <c r="NHG176" s="11"/>
      <c r="NHH176" s="12"/>
      <c r="NHQ176" s="11"/>
      <c r="NHR176" s="12"/>
      <c r="NIA176" s="11"/>
      <c r="NIB176" s="12"/>
      <c r="NIK176" s="11"/>
      <c r="NIL176" s="12"/>
      <c r="NIU176" s="11"/>
      <c r="NIV176" s="12"/>
      <c r="NJE176" s="11"/>
      <c r="NJF176" s="12"/>
      <c r="NJO176" s="11"/>
      <c r="NJP176" s="12"/>
      <c r="NJY176" s="11"/>
      <c r="NJZ176" s="12"/>
      <c r="NKI176" s="11"/>
      <c r="NKJ176" s="12"/>
      <c r="NKS176" s="11"/>
      <c r="NKT176" s="12"/>
      <c r="NLC176" s="11"/>
      <c r="NLD176" s="12"/>
      <c r="NLM176" s="11"/>
      <c r="NLN176" s="12"/>
      <c r="NLW176" s="11"/>
      <c r="NLX176" s="12"/>
      <c r="NMG176" s="11"/>
      <c r="NMH176" s="12"/>
      <c r="NMQ176" s="11"/>
      <c r="NMR176" s="12"/>
      <c r="NNA176" s="11"/>
      <c r="NNB176" s="12"/>
      <c r="NNK176" s="11"/>
      <c r="NNL176" s="12"/>
      <c r="NNU176" s="11"/>
      <c r="NNV176" s="12"/>
      <c r="NOE176" s="11"/>
      <c r="NOF176" s="12"/>
      <c r="NOO176" s="11"/>
      <c r="NOP176" s="12"/>
      <c r="NOY176" s="11"/>
      <c r="NOZ176" s="12"/>
      <c r="NPI176" s="11"/>
      <c r="NPJ176" s="12"/>
      <c r="NPS176" s="11"/>
      <c r="NPT176" s="12"/>
      <c r="NQC176" s="11"/>
      <c r="NQD176" s="12"/>
      <c r="NQM176" s="11"/>
      <c r="NQN176" s="12"/>
      <c r="NQW176" s="11"/>
      <c r="NQX176" s="12"/>
      <c r="NRG176" s="11"/>
      <c r="NRH176" s="12"/>
      <c r="NRQ176" s="11"/>
      <c r="NRR176" s="12"/>
      <c r="NSA176" s="11"/>
      <c r="NSB176" s="12"/>
      <c r="NSK176" s="11"/>
      <c r="NSL176" s="12"/>
      <c r="NSU176" s="11"/>
      <c r="NSV176" s="12"/>
      <c r="NTE176" s="11"/>
      <c r="NTF176" s="12"/>
      <c r="NTO176" s="11"/>
      <c r="NTP176" s="12"/>
      <c r="NTY176" s="11"/>
      <c r="NTZ176" s="12"/>
      <c r="NUI176" s="11"/>
      <c r="NUJ176" s="12"/>
      <c r="NUS176" s="11"/>
      <c r="NUT176" s="12"/>
      <c r="NVC176" s="11"/>
      <c r="NVD176" s="12"/>
      <c r="NVM176" s="11"/>
      <c r="NVN176" s="12"/>
      <c r="NVW176" s="11"/>
      <c r="NVX176" s="12"/>
      <c r="NWG176" s="11"/>
      <c r="NWH176" s="12"/>
      <c r="NWQ176" s="11"/>
      <c r="NWR176" s="12"/>
      <c r="NXA176" s="11"/>
      <c r="NXB176" s="12"/>
      <c r="NXK176" s="11"/>
      <c r="NXL176" s="12"/>
      <c r="NXU176" s="11"/>
      <c r="NXV176" s="12"/>
      <c r="NYE176" s="11"/>
      <c r="NYF176" s="12"/>
      <c r="NYO176" s="11"/>
      <c r="NYP176" s="12"/>
      <c r="NYY176" s="11"/>
      <c r="NYZ176" s="12"/>
      <c r="NZI176" s="11"/>
      <c r="NZJ176" s="12"/>
      <c r="NZS176" s="11"/>
      <c r="NZT176" s="12"/>
      <c r="OAC176" s="11"/>
      <c r="OAD176" s="12"/>
      <c r="OAM176" s="11"/>
      <c r="OAN176" s="12"/>
      <c r="OAW176" s="11"/>
      <c r="OAX176" s="12"/>
      <c r="OBG176" s="11"/>
      <c r="OBH176" s="12"/>
      <c r="OBQ176" s="11"/>
      <c r="OBR176" s="12"/>
      <c r="OCA176" s="11"/>
      <c r="OCB176" s="12"/>
      <c r="OCK176" s="11"/>
      <c r="OCL176" s="12"/>
      <c r="OCU176" s="11"/>
      <c r="OCV176" s="12"/>
      <c r="ODE176" s="11"/>
      <c r="ODF176" s="12"/>
      <c r="ODO176" s="11"/>
      <c r="ODP176" s="12"/>
      <c r="ODY176" s="11"/>
      <c r="ODZ176" s="12"/>
      <c r="OEI176" s="11"/>
      <c r="OEJ176" s="12"/>
      <c r="OES176" s="11"/>
      <c r="OET176" s="12"/>
      <c r="OFC176" s="11"/>
      <c r="OFD176" s="12"/>
      <c r="OFM176" s="11"/>
      <c r="OFN176" s="12"/>
      <c r="OFW176" s="11"/>
      <c r="OFX176" s="12"/>
      <c r="OGG176" s="11"/>
      <c r="OGH176" s="12"/>
      <c r="OGQ176" s="11"/>
      <c r="OGR176" s="12"/>
      <c r="OHA176" s="11"/>
      <c r="OHB176" s="12"/>
      <c r="OHK176" s="11"/>
      <c r="OHL176" s="12"/>
      <c r="OHU176" s="11"/>
      <c r="OHV176" s="12"/>
      <c r="OIE176" s="11"/>
      <c r="OIF176" s="12"/>
      <c r="OIO176" s="11"/>
      <c r="OIP176" s="12"/>
      <c r="OIY176" s="11"/>
      <c r="OIZ176" s="12"/>
      <c r="OJI176" s="11"/>
      <c r="OJJ176" s="12"/>
      <c r="OJS176" s="11"/>
      <c r="OJT176" s="12"/>
      <c r="OKC176" s="11"/>
      <c r="OKD176" s="12"/>
      <c r="OKM176" s="11"/>
      <c r="OKN176" s="12"/>
      <c r="OKW176" s="11"/>
      <c r="OKX176" s="12"/>
      <c r="OLG176" s="11"/>
      <c r="OLH176" s="12"/>
      <c r="OLQ176" s="11"/>
      <c r="OLR176" s="12"/>
      <c r="OMA176" s="11"/>
      <c r="OMB176" s="12"/>
      <c r="OMK176" s="11"/>
      <c r="OML176" s="12"/>
      <c r="OMU176" s="11"/>
      <c r="OMV176" s="12"/>
      <c r="ONE176" s="11"/>
      <c r="ONF176" s="12"/>
      <c r="ONO176" s="11"/>
      <c r="ONP176" s="12"/>
      <c r="ONY176" s="11"/>
      <c r="ONZ176" s="12"/>
      <c r="OOI176" s="11"/>
      <c r="OOJ176" s="12"/>
      <c r="OOS176" s="11"/>
      <c r="OOT176" s="12"/>
      <c r="OPC176" s="11"/>
      <c r="OPD176" s="12"/>
      <c r="OPM176" s="11"/>
      <c r="OPN176" s="12"/>
      <c r="OPW176" s="11"/>
      <c r="OPX176" s="12"/>
      <c r="OQG176" s="11"/>
      <c r="OQH176" s="12"/>
      <c r="OQQ176" s="11"/>
      <c r="OQR176" s="12"/>
      <c r="ORA176" s="11"/>
      <c r="ORB176" s="12"/>
      <c r="ORK176" s="11"/>
      <c r="ORL176" s="12"/>
      <c r="ORU176" s="11"/>
      <c r="ORV176" s="12"/>
      <c r="OSE176" s="11"/>
      <c r="OSF176" s="12"/>
      <c r="OSO176" s="11"/>
      <c r="OSP176" s="12"/>
      <c r="OSY176" s="11"/>
      <c r="OSZ176" s="12"/>
      <c r="OTI176" s="11"/>
      <c r="OTJ176" s="12"/>
      <c r="OTS176" s="11"/>
      <c r="OTT176" s="12"/>
      <c r="OUC176" s="11"/>
      <c r="OUD176" s="12"/>
      <c r="OUM176" s="11"/>
      <c r="OUN176" s="12"/>
      <c r="OUW176" s="11"/>
      <c r="OUX176" s="12"/>
      <c r="OVG176" s="11"/>
      <c r="OVH176" s="12"/>
      <c r="OVQ176" s="11"/>
      <c r="OVR176" s="12"/>
      <c r="OWA176" s="11"/>
      <c r="OWB176" s="12"/>
      <c r="OWK176" s="11"/>
      <c r="OWL176" s="12"/>
      <c r="OWU176" s="11"/>
      <c r="OWV176" s="12"/>
      <c r="OXE176" s="11"/>
      <c r="OXF176" s="12"/>
      <c r="OXO176" s="11"/>
      <c r="OXP176" s="12"/>
      <c r="OXY176" s="11"/>
      <c r="OXZ176" s="12"/>
      <c r="OYI176" s="11"/>
      <c r="OYJ176" s="12"/>
      <c r="OYS176" s="11"/>
      <c r="OYT176" s="12"/>
      <c r="OZC176" s="11"/>
      <c r="OZD176" s="12"/>
      <c r="OZM176" s="11"/>
      <c r="OZN176" s="12"/>
      <c r="OZW176" s="11"/>
      <c r="OZX176" s="12"/>
      <c r="PAG176" s="11"/>
      <c r="PAH176" s="12"/>
      <c r="PAQ176" s="11"/>
      <c r="PAR176" s="12"/>
      <c r="PBA176" s="11"/>
      <c r="PBB176" s="12"/>
      <c r="PBK176" s="11"/>
      <c r="PBL176" s="12"/>
      <c r="PBU176" s="11"/>
      <c r="PBV176" s="12"/>
      <c r="PCE176" s="11"/>
      <c r="PCF176" s="12"/>
      <c r="PCO176" s="11"/>
      <c r="PCP176" s="12"/>
      <c r="PCY176" s="11"/>
      <c r="PCZ176" s="12"/>
      <c r="PDI176" s="11"/>
      <c r="PDJ176" s="12"/>
      <c r="PDS176" s="11"/>
      <c r="PDT176" s="12"/>
      <c r="PEC176" s="11"/>
      <c r="PED176" s="12"/>
      <c r="PEM176" s="11"/>
      <c r="PEN176" s="12"/>
      <c r="PEW176" s="11"/>
      <c r="PEX176" s="12"/>
      <c r="PFG176" s="11"/>
      <c r="PFH176" s="12"/>
      <c r="PFQ176" s="11"/>
      <c r="PFR176" s="12"/>
      <c r="PGA176" s="11"/>
      <c r="PGB176" s="12"/>
      <c r="PGK176" s="11"/>
      <c r="PGL176" s="12"/>
      <c r="PGU176" s="11"/>
      <c r="PGV176" s="12"/>
      <c r="PHE176" s="11"/>
      <c r="PHF176" s="12"/>
      <c r="PHO176" s="11"/>
      <c r="PHP176" s="12"/>
      <c r="PHY176" s="11"/>
      <c r="PHZ176" s="12"/>
      <c r="PII176" s="11"/>
      <c r="PIJ176" s="12"/>
      <c r="PIS176" s="11"/>
      <c r="PIT176" s="12"/>
      <c r="PJC176" s="11"/>
      <c r="PJD176" s="12"/>
      <c r="PJM176" s="11"/>
      <c r="PJN176" s="12"/>
      <c r="PJW176" s="11"/>
      <c r="PJX176" s="12"/>
      <c r="PKG176" s="11"/>
      <c r="PKH176" s="12"/>
      <c r="PKQ176" s="11"/>
      <c r="PKR176" s="12"/>
      <c r="PLA176" s="11"/>
      <c r="PLB176" s="12"/>
      <c r="PLK176" s="11"/>
      <c r="PLL176" s="12"/>
      <c r="PLU176" s="11"/>
      <c r="PLV176" s="12"/>
      <c r="PME176" s="11"/>
      <c r="PMF176" s="12"/>
      <c r="PMO176" s="11"/>
      <c r="PMP176" s="12"/>
      <c r="PMY176" s="11"/>
      <c r="PMZ176" s="12"/>
      <c r="PNI176" s="11"/>
      <c r="PNJ176" s="12"/>
      <c r="PNS176" s="11"/>
      <c r="PNT176" s="12"/>
      <c r="POC176" s="11"/>
      <c r="POD176" s="12"/>
      <c r="POM176" s="11"/>
      <c r="PON176" s="12"/>
      <c r="POW176" s="11"/>
      <c r="POX176" s="12"/>
      <c r="PPG176" s="11"/>
      <c r="PPH176" s="12"/>
      <c r="PPQ176" s="11"/>
      <c r="PPR176" s="12"/>
      <c r="PQA176" s="11"/>
      <c r="PQB176" s="12"/>
      <c r="PQK176" s="11"/>
      <c r="PQL176" s="12"/>
      <c r="PQU176" s="11"/>
      <c r="PQV176" s="12"/>
      <c r="PRE176" s="11"/>
      <c r="PRF176" s="12"/>
      <c r="PRO176" s="11"/>
      <c r="PRP176" s="12"/>
      <c r="PRY176" s="11"/>
      <c r="PRZ176" s="12"/>
      <c r="PSI176" s="11"/>
      <c r="PSJ176" s="12"/>
      <c r="PSS176" s="11"/>
      <c r="PST176" s="12"/>
      <c r="PTC176" s="11"/>
      <c r="PTD176" s="12"/>
      <c r="PTM176" s="11"/>
      <c r="PTN176" s="12"/>
      <c r="PTW176" s="11"/>
      <c r="PTX176" s="12"/>
      <c r="PUG176" s="11"/>
      <c r="PUH176" s="12"/>
      <c r="PUQ176" s="11"/>
      <c r="PUR176" s="12"/>
      <c r="PVA176" s="11"/>
      <c r="PVB176" s="12"/>
      <c r="PVK176" s="11"/>
      <c r="PVL176" s="12"/>
      <c r="PVU176" s="11"/>
      <c r="PVV176" s="12"/>
      <c r="PWE176" s="11"/>
      <c r="PWF176" s="12"/>
      <c r="PWO176" s="11"/>
      <c r="PWP176" s="12"/>
      <c r="PWY176" s="11"/>
      <c r="PWZ176" s="12"/>
      <c r="PXI176" s="11"/>
      <c r="PXJ176" s="12"/>
      <c r="PXS176" s="11"/>
      <c r="PXT176" s="12"/>
      <c r="PYC176" s="11"/>
      <c r="PYD176" s="12"/>
      <c r="PYM176" s="11"/>
      <c r="PYN176" s="12"/>
      <c r="PYW176" s="11"/>
      <c r="PYX176" s="12"/>
      <c r="PZG176" s="11"/>
      <c r="PZH176" s="12"/>
      <c r="PZQ176" s="11"/>
      <c r="PZR176" s="12"/>
      <c r="QAA176" s="11"/>
      <c r="QAB176" s="12"/>
      <c r="QAK176" s="11"/>
      <c r="QAL176" s="12"/>
      <c r="QAU176" s="11"/>
      <c r="QAV176" s="12"/>
      <c r="QBE176" s="11"/>
      <c r="QBF176" s="12"/>
      <c r="QBO176" s="11"/>
      <c r="QBP176" s="12"/>
      <c r="QBY176" s="11"/>
      <c r="QBZ176" s="12"/>
      <c r="QCI176" s="11"/>
      <c r="QCJ176" s="12"/>
      <c r="QCS176" s="11"/>
      <c r="QCT176" s="12"/>
      <c r="QDC176" s="11"/>
      <c r="QDD176" s="12"/>
      <c r="QDM176" s="11"/>
      <c r="QDN176" s="12"/>
      <c r="QDW176" s="11"/>
      <c r="QDX176" s="12"/>
      <c r="QEG176" s="11"/>
      <c r="QEH176" s="12"/>
      <c r="QEQ176" s="11"/>
      <c r="QER176" s="12"/>
      <c r="QFA176" s="11"/>
      <c r="QFB176" s="12"/>
      <c r="QFK176" s="11"/>
      <c r="QFL176" s="12"/>
      <c r="QFU176" s="11"/>
      <c r="QFV176" s="12"/>
      <c r="QGE176" s="11"/>
      <c r="QGF176" s="12"/>
      <c r="QGO176" s="11"/>
      <c r="QGP176" s="12"/>
      <c r="QGY176" s="11"/>
      <c r="QGZ176" s="12"/>
      <c r="QHI176" s="11"/>
      <c r="QHJ176" s="12"/>
      <c r="QHS176" s="11"/>
      <c r="QHT176" s="12"/>
      <c r="QIC176" s="11"/>
      <c r="QID176" s="12"/>
      <c r="QIM176" s="11"/>
      <c r="QIN176" s="12"/>
      <c r="QIW176" s="11"/>
      <c r="QIX176" s="12"/>
      <c r="QJG176" s="11"/>
      <c r="QJH176" s="12"/>
      <c r="QJQ176" s="11"/>
      <c r="QJR176" s="12"/>
      <c r="QKA176" s="11"/>
      <c r="QKB176" s="12"/>
      <c r="QKK176" s="11"/>
      <c r="QKL176" s="12"/>
      <c r="QKU176" s="11"/>
      <c r="QKV176" s="12"/>
      <c r="QLE176" s="11"/>
      <c r="QLF176" s="12"/>
      <c r="QLO176" s="11"/>
      <c r="QLP176" s="12"/>
      <c r="QLY176" s="11"/>
      <c r="QLZ176" s="12"/>
      <c r="QMI176" s="11"/>
      <c r="QMJ176" s="12"/>
      <c r="QMS176" s="11"/>
      <c r="QMT176" s="12"/>
      <c r="QNC176" s="11"/>
      <c r="QND176" s="12"/>
      <c r="QNM176" s="11"/>
      <c r="QNN176" s="12"/>
      <c r="QNW176" s="11"/>
      <c r="QNX176" s="12"/>
      <c r="QOG176" s="11"/>
      <c r="QOH176" s="12"/>
      <c r="QOQ176" s="11"/>
      <c r="QOR176" s="12"/>
      <c r="QPA176" s="11"/>
      <c r="QPB176" s="12"/>
      <c r="QPK176" s="11"/>
      <c r="QPL176" s="12"/>
      <c r="QPU176" s="11"/>
      <c r="QPV176" s="12"/>
      <c r="QQE176" s="11"/>
      <c r="QQF176" s="12"/>
      <c r="QQO176" s="11"/>
      <c r="QQP176" s="12"/>
      <c r="QQY176" s="11"/>
      <c r="QQZ176" s="12"/>
      <c r="QRI176" s="11"/>
      <c r="QRJ176" s="12"/>
      <c r="QRS176" s="11"/>
      <c r="QRT176" s="12"/>
      <c r="QSC176" s="11"/>
      <c r="QSD176" s="12"/>
      <c r="QSM176" s="11"/>
      <c r="QSN176" s="12"/>
      <c r="QSW176" s="11"/>
      <c r="QSX176" s="12"/>
      <c r="QTG176" s="11"/>
      <c r="QTH176" s="12"/>
      <c r="QTQ176" s="11"/>
      <c r="QTR176" s="12"/>
      <c r="QUA176" s="11"/>
      <c r="QUB176" s="12"/>
      <c r="QUK176" s="11"/>
      <c r="QUL176" s="12"/>
      <c r="QUU176" s="11"/>
      <c r="QUV176" s="12"/>
      <c r="QVE176" s="11"/>
      <c r="QVF176" s="12"/>
      <c r="QVO176" s="11"/>
      <c r="QVP176" s="12"/>
      <c r="QVY176" s="11"/>
      <c r="QVZ176" s="12"/>
      <c r="QWI176" s="11"/>
      <c r="QWJ176" s="12"/>
      <c r="QWS176" s="11"/>
      <c r="QWT176" s="12"/>
      <c r="QXC176" s="11"/>
      <c r="QXD176" s="12"/>
      <c r="QXM176" s="11"/>
      <c r="QXN176" s="12"/>
      <c r="QXW176" s="11"/>
      <c r="QXX176" s="12"/>
      <c r="QYG176" s="11"/>
      <c r="QYH176" s="12"/>
      <c r="QYQ176" s="11"/>
      <c r="QYR176" s="12"/>
      <c r="QZA176" s="11"/>
      <c r="QZB176" s="12"/>
      <c r="QZK176" s="11"/>
      <c r="QZL176" s="12"/>
      <c r="QZU176" s="11"/>
      <c r="QZV176" s="12"/>
      <c r="RAE176" s="11"/>
      <c r="RAF176" s="12"/>
      <c r="RAO176" s="11"/>
      <c r="RAP176" s="12"/>
      <c r="RAY176" s="11"/>
      <c r="RAZ176" s="12"/>
      <c r="RBI176" s="11"/>
      <c r="RBJ176" s="12"/>
      <c r="RBS176" s="11"/>
      <c r="RBT176" s="12"/>
      <c r="RCC176" s="11"/>
      <c r="RCD176" s="12"/>
      <c r="RCM176" s="11"/>
      <c r="RCN176" s="12"/>
      <c r="RCW176" s="11"/>
      <c r="RCX176" s="12"/>
      <c r="RDG176" s="11"/>
      <c r="RDH176" s="12"/>
      <c r="RDQ176" s="11"/>
      <c r="RDR176" s="12"/>
      <c r="REA176" s="11"/>
      <c r="REB176" s="12"/>
      <c r="REK176" s="11"/>
      <c r="REL176" s="12"/>
      <c r="REU176" s="11"/>
      <c r="REV176" s="12"/>
      <c r="RFE176" s="11"/>
      <c r="RFF176" s="12"/>
      <c r="RFO176" s="11"/>
      <c r="RFP176" s="12"/>
      <c r="RFY176" s="11"/>
      <c r="RFZ176" s="12"/>
      <c r="RGI176" s="11"/>
      <c r="RGJ176" s="12"/>
      <c r="RGS176" s="11"/>
      <c r="RGT176" s="12"/>
      <c r="RHC176" s="11"/>
      <c r="RHD176" s="12"/>
      <c r="RHM176" s="11"/>
      <c r="RHN176" s="12"/>
      <c r="RHW176" s="11"/>
      <c r="RHX176" s="12"/>
      <c r="RIG176" s="11"/>
      <c r="RIH176" s="12"/>
      <c r="RIQ176" s="11"/>
      <c r="RIR176" s="12"/>
      <c r="RJA176" s="11"/>
      <c r="RJB176" s="12"/>
      <c r="RJK176" s="11"/>
      <c r="RJL176" s="12"/>
      <c r="RJU176" s="11"/>
      <c r="RJV176" s="12"/>
      <c r="RKE176" s="11"/>
      <c r="RKF176" s="12"/>
      <c r="RKO176" s="11"/>
      <c r="RKP176" s="12"/>
      <c r="RKY176" s="11"/>
      <c r="RKZ176" s="12"/>
      <c r="RLI176" s="11"/>
      <c r="RLJ176" s="12"/>
      <c r="RLS176" s="11"/>
      <c r="RLT176" s="12"/>
      <c r="RMC176" s="11"/>
      <c r="RMD176" s="12"/>
      <c r="RMM176" s="11"/>
      <c r="RMN176" s="12"/>
      <c r="RMW176" s="11"/>
      <c r="RMX176" s="12"/>
      <c r="RNG176" s="11"/>
      <c r="RNH176" s="12"/>
      <c r="RNQ176" s="11"/>
      <c r="RNR176" s="12"/>
      <c r="ROA176" s="11"/>
      <c r="ROB176" s="12"/>
      <c r="ROK176" s="11"/>
      <c r="ROL176" s="12"/>
      <c r="ROU176" s="11"/>
      <c r="ROV176" s="12"/>
      <c r="RPE176" s="11"/>
      <c r="RPF176" s="12"/>
      <c r="RPO176" s="11"/>
      <c r="RPP176" s="12"/>
      <c r="RPY176" s="11"/>
      <c r="RPZ176" s="12"/>
      <c r="RQI176" s="11"/>
      <c r="RQJ176" s="12"/>
      <c r="RQS176" s="11"/>
      <c r="RQT176" s="12"/>
      <c r="RRC176" s="11"/>
      <c r="RRD176" s="12"/>
      <c r="RRM176" s="11"/>
      <c r="RRN176" s="12"/>
      <c r="RRW176" s="11"/>
      <c r="RRX176" s="12"/>
      <c r="RSG176" s="11"/>
      <c r="RSH176" s="12"/>
      <c r="RSQ176" s="11"/>
      <c r="RSR176" s="12"/>
      <c r="RTA176" s="11"/>
      <c r="RTB176" s="12"/>
      <c r="RTK176" s="11"/>
      <c r="RTL176" s="12"/>
      <c r="RTU176" s="11"/>
      <c r="RTV176" s="12"/>
      <c r="RUE176" s="11"/>
      <c r="RUF176" s="12"/>
      <c r="RUO176" s="11"/>
      <c r="RUP176" s="12"/>
      <c r="RUY176" s="11"/>
      <c r="RUZ176" s="12"/>
      <c r="RVI176" s="11"/>
      <c r="RVJ176" s="12"/>
      <c r="RVS176" s="11"/>
      <c r="RVT176" s="12"/>
      <c r="RWC176" s="11"/>
      <c r="RWD176" s="12"/>
      <c r="RWM176" s="11"/>
      <c r="RWN176" s="12"/>
      <c r="RWW176" s="11"/>
      <c r="RWX176" s="12"/>
      <c r="RXG176" s="11"/>
      <c r="RXH176" s="12"/>
      <c r="RXQ176" s="11"/>
      <c r="RXR176" s="12"/>
      <c r="RYA176" s="11"/>
      <c r="RYB176" s="12"/>
      <c r="RYK176" s="11"/>
      <c r="RYL176" s="12"/>
      <c r="RYU176" s="11"/>
      <c r="RYV176" s="12"/>
      <c r="RZE176" s="11"/>
      <c r="RZF176" s="12"/>
      <c r="RZO176" s="11"/>
      <c r="RZP176" s="12"/>
      <c r="RZY176" s="11"/>
      <c r="RZZ176" s="12"/>
      <c r="SAI176" s="11"/>
      <c r="SAJ176" s="12"/>
      <c r="SAS176" s="11"/>
      <c r="SAT176" s="12"/>
      <c r="SBC176" s="11"/>
      <c r="SBD176" s="12"/>
      <c r="SBM176" s="11"/>
      <c r="SBN176" s="12"/>
      <c r="SBW176" s="11"/>
      <c r="SBX176" s="12"/>
      <c r="SCG176" s="11"/>
      <c r="SCH176" s="12"/>
      <c r="SCQ176" s="11"/>
      <c r="SCR176" s="12"/>
      <c r="SDA176" s="11"/>
      <c r="SDB176" s="12"/>
      <c r="SDK176" s="11"/>
      <c r="SDL176" s="12"/>
      <c r="SDU176" s="11"/>
      <c r="SDV176" s="12"/>
      <c r="SEE176" s="11"/>
      <c r="SEF176" s="12"/>
      <c r="SEO176" s="11"/>
      <c r="SEP176" s="12"/>
      <c r="SEY176" s="11"/>
      <c r="SEZ176" s="12"/>
      <c r="SFI176" s="11"/>
      <c r="SFJ176" s="12"/>
      <c r="SFS176" s="11"/>
      <c r="SFT176" s="12"/>
      <c r="SGC176" s="11"/>
      <c r="SGD176" s="12"/>
      <c r="SGM176" s="11"/>
      <c r="SGN176" s="12"/>
      <c r="SGW176" s="11"/>
      <c r="SGX176" s="12"/>
      <c r="SHG176" s="11"/>
      <c r="SHH176" s="12"/>
      <c r="SHQ176" s="11"/>
      <c r="SHR176" s="12"/>
      <c r="SIA176" s="11"/>
      <c r="SIB176" s="12"/>
      <c r="SIK176" s="11"/>
      <c r="SIL176" s="12"/>
      <c r="SIU176" s="11"/>
      <c r="SIV176" s="12"/>
      <c r="SJE176" s="11"/>
      <c r="SJF176" s="12"/>
      <c r="SJO176" s="11"/>
      <c r="SJP176" s="12"/>
      <c r="SJY176" s="11"/>
      <c r="SJZ176" s="12"/>
      <c r="SKI176" s="11"/>
      <c r="SKJ176" s="12"/>
      <c r="SKS176" s="11"/>
      <c r="SKT176" s="12"/>
      <c r="SLC176" s="11"/>
      <c r="SLD176" s="12"/>
      <c r="SLM176" s="11"/>
      <c r="SLN176" s="12"/>
      <c r="SLW176" s="11"/>
      <c r="SLX176" s="12"/>
      <c r="SMG176" s="11"/>
      <c r="SMH176" s="12"/>
      <c r="SMQ176" s="11"/>
      <c r="SMR176" s="12"/>
      <c r="SNA176" s="11"/>
      <c r="SNB176" s="12"/>
      <c r="SNK176" s="11"/>
      <c r="SNL176" s="12"/>
      <c r="SNU176" s="11"/>
      <c r="SNV176" s="12"/>
      <c r="SOE176" s="11"/>
      <c r="SOF176" s="12"/>
      <c r="SOO176" s="11"/>
      <c r="SOP176" s="12"/>
      <c r="SOY176" s="11"/>
      <c r="SOZ176" s="12"/>
      <c r="SPI176" s="11"/>
      <c r="SPJ176" s="12"/>
      <c r="SPS176" s="11"/>
      <c r="SPT176" s="12"/>
      <c r="SQC176" s="11"/>
      <c r="SQD176" s="12"/>
      <c r="SQM176" s="11"/>
      <c r="SQN176" s="12"/>
      <c r="SQW176" s="11"/>
      <c r="SQX176" s="12"/>
      <c r="SRG176" s="11"/>
      <c r="SRH176" s="12"/>
      <c r="SRQ176" s="11"/>
      <c r="SRR176" s="12"/>
      <c r="SSA176" s="11"/>
      <c r="SSB176" s="12"/>
      <c r="SSK176" s="11"/>
      <c r="SSL176" s="12"/>
      <c r="SSU176" s="11"/>
      <c r="SSV176" s="12"/>
      <c r="STE176" s="11"/>
      <c r="STF176" s="12"/>
      <c r="STO176" s="11"/>
      <c r="STP176" s="12"/>
      <c r="STY176" s="11"/>
      <c r="STZ176" s="12"/>
      <c r="SUI176" s="11"/>
      <c r="SUJ176" s="12"/>
      <c r="SUS176" s="11"/>
      <c r="SUT176" s="12"/>
      <c r="SVC176" s="11"/>
      <c r="SVD176" s="12"/>
      <c r="SVM176" s="11"/>
      <c r="SVN176" s="12"/>
      <c r="SVW176" s="11"/>
      <c r="SVX176" s="12"/>
      <c r="SWG176" s="11"/>
      <c r="SWH176" s="12"/>
      <c r="SWQ176" s="11"/>
      <c r="SWR176" s="12"/>
      <c r="SXA176" s="11"/>
      <c r="SXB176" s="12"/>
      <c r="SXK176" s="11"/>
      <c r="SXL176" s="12"/>
      <c r="SXU176" s="11"/>
      <c r="SXV176" s="12"/>
      <c r="SYE176" s="11"/>
      <c r="SYF176" s="12"/>
      <c r="SYO176" s="11"/>
      <c r="SYP176" s="12"/>
      <c r="SYY176" s="11"/>
      <c r="SYZ176" s="12"/>
      <c r="SZI176" s="11"/>
      <c r="SZJ176" s="12"/>
      <c r="SZS176" s="11"/>
      <c r="SZT176" s="12"/>
      <c r="TAC176" s="11"/>
      <c r="TAD176" s="12"/>
      <c r="TAM176" s="11"/>
      <c r="TAN176" s="12"/>
      <c r="TAW176" s="11"/>
      <c r="TAX176" s="12"/>
      <c r="TBG176" s="11"/>
      <c r="TBH176" s="12"/>
      <c r="TBQ176" s="11"/>
      <c r="TBR176" s="12"/>
      <c r="TCA176" s="11"/>
      <c r="TCB176" s="12"/>
      <c r="TCK176" s="11"/>
      <c r="TCL176" s="12"/>
      <c r="TCU176" s="11"/>
      <c r="TCV176" s="12"/>
      <c r="TDE176" s="11"/>
      <c r="TDF176" s="12"/>
      <c r="TDO176" s="11"/>
      <c r="TDP176" s="12"/>
      <c r="TDY176" s="11"/>
      <c r="TDZ176" s="12"/>
      <c r="TEI176" s="11"/>
      <c r="TEJ176" s="12"/>
      <c r="TES176" s="11"/>
      <c r="TET176" s="12"/>
      <c r="TFC176" s="11"/>
      <c r="TFD176" s="12"/>
      <c r="TFM176" s="11"/>
      <c r="TFN176" s="12"/>
      <c r="TFW176" s="11"/>
      <c r="TFX176" s="12"/>
      <c r="TGG176" s="11"/>
      <c r="TGH176" s="12"/>
      <c r="TGQ176" s="11"/>
      <c r="TGR176" s="12"/>
      <c r="THA176" s="11"/>
      <c r="THB176" s="12"/>
      <c r="THK176" s="11"/>
      <c r="THL176" s="12"/>
      <c r="THU176" s="11"/>
      <c r="THV176" s="12"/>
      <c r="TIE176" s="11"/>
      <c r="TIF176" s="12"/>
      <c r="TIO176" s="11"/>
      <c r="TIP176" s="12"/>
      <c r="TIY176" s="11"/>
      <c r="TIZ176" s="12"/>
      <c r="TJI176" s="11"/>
      <c r="TJJ176" s="12"/>
      <c r="TJS176" s="11"/>
      <c r="TJT176" s="12"/>
      <c r="TKC176" s="11"/>
      <c r="TKD176" s="12"/>
      <c r="TKM176" s="11"/>
      <c r="TKN176" s="12"/>
      <c r="TKW176" s="11"/>
      <c r="TKX176" s="12"/>
      <c r="TLG176" s="11"/>
      <c r="TLH176" s="12"/>
      <c r="TLQ176" s="11"/>
      <c r="TLR176" s="12"/>
      <c r="TMA176" s="11"/>
      <c r="TMB176" s="12"/>
      <c r="TMK176" s="11"/>
      <c r="TML176" s="12"/>
      <c r="TMU176" s="11"/>
      <c r="TMV176" s="12"/>
      <c r="TNE176" s="11"/>
      <c r="TNF176" s="12"/>
      <c r="TNO176" s="11"/>
      <c r="TNP176" s="12"/>
      <c r="TNY176" s="11"/>
      <c r="TNZ176" s="12"/>
      <c r="TOI176" s="11"/>
      <c r="TOJ176" s="12"/>
      <c r="TOS176" s="11"/>
      <c r="TOT176" s="12"/>
      <c r="TPC176" s="11"/>
      <c r="TPD176" s="12"/>
      <c r="TPM176" s="11"/>
      <c r="TPN176" s="12"/>
      <c r="TPW176" s="11"/>
      <c r="TPX176" s="12"/>
      <c r="TQG176" s="11"/>
      <c r="TQH176" s="12"/>
      <c r="TQQ176" s="11"/>
      <c r="TQR176" s="12"/>
      <c r="TRA176" s="11"/>
      <c r="TRB176" s="12"/>
      <c r="TRK176" s="11"/>
      <c r="TRL176" s="12"/>
      <c r="TRU176" s="11"/>
      <c r="TRV176" s="12"/>
      <c r="TSE176" s="11"/>
      <c r="TSF176" s="12"/>
      <c r="TSO176" s="11"/>
      <c r="TSP176" s="12"/>
      <c r="TSY176" s="11"/>
      <c r="TSZ176" s="12"/>
      <c r="TTI176" s="11"/>
      <c r="TTJ176" s="12"/>
      <c r="TTS176" s="11"/>
      <c r="TTT176" s="12"/>
      <c r="TUC176" s="11"/>
      <c r="TUD176" s="12"/>
      <c r="TUM176" s="11"/>
      <c r="TUN176" s="12"/>
      <c r="TUW176" s="11"/>
      <c r="TUX176" s="12"/>
      <c r="TVG176" s="11"/>
      <c r="TVH176" s="12"/>
      <c r="TVQ176" s="11"/>
      <c r="TVR176" s="12"/>
      <c r="TWA176" s="11"/>
      <c r="TWB176" s="12"/>
      <c r="TWK176" s="11"/>
      <c r="TWL176" s="12"/>
      <c r="TWU176" s="11"/>
      <c r="TWV176" s="12"/>
      <c r="TXE176" s="11"/>
      <c r="TXF176" s="12"/>
      <c r="TXO176" s="11"/>
      <c r="TXP176" s="12"/>
      <c r="TXY176" s="11"/>
      <c r="TXZ176" s="12"/>
      <c r="TYI176" s="11"/>
      <c r="TYJ176" s="12"/>
      <c r="TYS176" s="11"/>
      <c r="TYT176" s="12"/>
      <c r="TZC176" s="11"/>
      <c r="TZD176" s="12"/>
      <c r="TZM176" s="11"/>
      <c r="TZN176" s="12"/>
      <c r="TZW176" s="11"/>
      <c r="TZX176" s="12"/>
      <c r="UAG176" s="11"/>
      <c r="UAH176" s="12"/>
      <c r="UAQ176" s="11"/>
      <c r="UAR176" s="12"/>
      <c r="UBA176" s="11"/>
      <c r="UBB176" s="12"/>
      <c r="UBK176" s="11"/>
      <c r="UBL176" s="12"/>
      <c r="UBU176" s="11"/>
      <c r="UBV176" s="12"/>
      <c r="UCE176" s="11"/>
      <c r="UCF176" s="12"/>
      <c r="UCO176" s="11"/>
      <c r="UCP176" s="12"/>
      <c r="UCY176" s="11"/>
      <c r="UCZ176" s="12"/>
      <c r="UDI176" s="11"/>
      <c r="UDJ176" s="12"/>
      <c r="UDS176" s="11"/>
      <c r="UDT176" s="12"/>
      <c r="UEC176" s="11"/>
      <c r="UED176" s="12"/>
      <c r="UEM176" s="11"/>
      <c r="UEN176" s="12"/>
      <c r="UEW176" s="11"/>
      <c r="UEX176" s="12"/>
      <c r="UFG176" s="11"/>
      <c r="UFH176" s="12"/>
      <c r="UFQ176" s="11"/>
      <c r="UFR176" s="12"/>
      <c r="UGA176" s="11"/>
      <c r="UGB176" s="12"/>
      <c r="UGK176" s="11"/>
      <c r="UGL176" s="12"/>
      <c r="UGU176" s="11"/>
      <c r="UGV176" s="12"/>
      <c r="UHE176" s="11"/>
      <c r="UHF176" s="12"/>
      <c r="UHO176" s="11"/>
      <c r="UHP176" s="12"/>
      <c r="UHY176" s="11"/>
      <c r="UHZ176" s="12"/>
      <c r="UII176" s="11"/>
      <c r="UIJ176" s="12"/>
      <c r="UIS176" s="11"/>
      <c r="UIT176" s="12"/>
      <c r="UJC176" s="11"/>
      <c r="UJD176" s="12"/>
      <c r="UJM176" s="11"/>
      <c r="UJN176" s="12"/>
      <c r="UJW176" s="11"/>
      <c r="UJX176" s="12"/>
      <c r="UKG176" s="11"/>
      <c r="UKH176" s="12"/>
      <c r="UKQ176" s="11"/>
      <c r="UKR176" s="12"/>
      <c r="ULA176" s="11"/>
      <c r="ULB176" s="12"/>
      <c r="ULK176" s="11"/>
      <c r="ULL176" s="12"/>
      <c r="ULU176" s="11"/>
      <c r="ULV176" s="12"/>
      <c r="UME176" s="11"/>
      <c r="UMF176" s="12"/>
      <c r="UMO176" s="11"/>
      <c r="UMP176" s="12"/>
      <c r="UMY176" s="11"/>
      <c r="UMZ176" s="12"/>
      <c r="UNI176" s="11"/>
      <c r="UNJ176" s="12"/>
      <c r="UNS176" s="11"/>
      <c r="UNT176" s="12"/>
      <c r="UOC176" s="11"/>
      <c r="UOD176" s="12"/>
      <c r="UOM176" s="11"/>
      <c r="UON176" s="12"/>
      <c r="UOW176" s="11"/>
      <c r="UOX176" s="12"/>
      <c r="UPG176" s="11"/>
      <c r="UPH176" s="12"/>
      <c r="UPQ176" s="11"/>
      <c r="UPR176" s="12"/>
      <c r="UQA176" s="11"/>
      <c r="UQB176" s="12"/>
      <c r="UQK176" s="11"/>
      <c r="UQL176" s="12"/>
      <c r="UQU176" s="11"/>
      <c r="UQV176" s="12"/>
      <c r="URE176" s="11"/>
      <c r="URF176" s="12"/>
      <c r="URO176" s="11"/>
      <c r="URP176" s="12"/>
      <c r="URY176" s="11"/>
      <c r="URZ176" s="12"/>
      <c r="USI176" s="11"/>
      <c r="USJ176" s="12"/>
      <c r="USS176" s="11"/>
      <c r="UST176" s="12"/>
      <c r="UTC176" s="11"/>
      <c r="UTD176" s="12"/>
      <c r="UTM176" s="11"/>
      <c r="UTN176" s="12"/>
      <c r="UTW176" s="11"/>
      <c r="UTX176" s="12"/>
      <c r="UUG176" s="11"/>
      <c r="UUH176" s="12"/>
      <c r="UUQ176" s="11"/>
      <c r="UUR176" s="12"/>
      <c r="UVA176" s="11"/>
      <c r="UVB176" s="12"/>
      <c r="UVK176" s="11"/>
      <c r="UVL176" s="12"/>
      <c r="UVU176" s="11"/>
      <c r="UVV176" s="12"/>
      <c r="UWE176" s="11"/>
      <c r="UWF176" s="12"/>
      <c r="UWO176" s="11"/>
      <c r="UWP176" s="12"/>
      <c r="UWY176" s="11"/>
      <c r="UWZ176" s="12"/>
      <c r="UXI176" s="11"/>
      <c r="UXJ176" s="12"/>
      <c r="UXS176" s="11"/>
      <c r="UXT176" s="12"/>
      <c r="UYC176" s="11"/>
      <c r="UYD176" s="12"/>
      <c r="UYM176" s="11"/>
      <c r="UYN176" s="12"/>
      <c r="UYW176" s="11"/>
      <c r="UYX176" s="12"/>
      <c r="UZG176" s="11"/>
      <c r="UZH176" s="12"/>
      <c r="UZQ176" s="11"/>
      <c r="UZR176" s="12"/>
      <c r="VAA176" s="11"/>
      <c r="VAB176" s="12"/>
      <c r="VAK176" s="11"/>
      <c r="VAL176" s="12"/>
      <c r="VAU176" s="11"/>
      <c r="VAV176" s="12"/>
      <c r="VBE176" s="11"/>
      <c r="VBF176" s="12"/>
      <c r="VBO176" s="11"/>
      <c r="VBP176" s="12"/>
      <c r="VBY176" s="11"/>
      <c r="VBZ176" s="12"/>
      <c r="VCI176" s="11"/>
      <c r="VCJ176" s="12"/>
      <c r="VCS176" s="11"/>
      <c r="VCT176" s="12"/>
      <c r="VDC176" s="11"/>
      <c r="VDD176" s="12"/>
      <c r="VDM176" s="11"/>
      <c r="VDN176" s="12"/>
      <c r="VDW176" s="11"/>
      <c r="VDX176" s="12"/>
      <c r="VEG176" s="11"/>
      <c r="VEH176" s="12"/>
      <c r="VEQ176" s="11"/>
      <c r="VER176" s="12"/>
      <c r="VFA176" s="11"/>
      <c r="VFB176" s="12"/>
      <c r="VFK176" s="11"/>
      <c r="VFL176" s="12"/>
      <c r="VFU176" s="11"/>
      <c r="VFV176" s="12"/>
      <c r="VGE176" s="11"/>
      <c r="VGF176" s="12"/>
      <c r="VGO176" s="11"/>
      <c r="VGP176" s="12"/>
      <c r="VGY176" s="11"/>
      <c r="VGZ176" s="12"/>
      <c r="VHI176" s="11"/>
      <c r="VHJ176" s="12"/>
      <c r="VHS176" s="11"/>
      <c r="VHT176" s="12"/>
      <c r="VIC176" s="11"/>
      <c r="VID176" s="12"/>
      <c r="VIM176" s="11"/>
      <c r="VIN176" s="12"/>
      <c r="VIW176" s="11"/>
      <c r="VIX176" s="12"/>
      <c r="VJG176" s="11"/>
      <c r="VJH176" s="12"/>
      <c r="VJQ176" s="11"/>
      <c r="VJR176" s="12"/>
      <c r="VKA176" s="11"/>
      <c r="VKB176" s="12"/>
      <c r="VKK176" s="11"/>
      <c r="VKL176" s="12"/>
      <c r="VKU176" s="11"/>
      <c r="VKV176" s="12"/>
      <c r="VLE176" s="11"/>
      <c r="VLF176" s="12"/>
      <c r="VLO176" s="11"/>
      <c r="VLP176" s="12"/>
      <c r="VLY176" s="11"/>
      <c r="VLZ176" s="12"/>
      <c r="VMI176" s="11"/>
      <c r="VMJ176" s="12"/>
      <c r="VMS176" s="11"/>
      <c r="VMT176" s="12"/>
      <c r="VNC176" s="11"/>
      <c r="VND176" s="12"/>
      <c r="VNM176" s="11"/>
      <c r="VNN176" s="12"/>
      <c r="VNW176" s="11"/>
      <c r="VNX176" s="12"/>
      <c r="VOG176" s="11"/>
      <c r="VOH176" s="12"/>
      <c r="VOQ176" s="11"/>
      <c r="VOR176" s="12"/>
      <c r="VPA176" s="11"/>
      <c r="VPB176" s="12"/>
      <c r="VPK176" s="11"/>
      <c r="VPL176" s="12"/>
      <c r="VPU176" s="11"/>
      <c r="VPV176" s="12"/>
      <c r="VQE176" s="11"/>
      <c r="VQF176" s="12"/>
      <c r="VQO176" s="11"/>
      <c r="VQP176" s="12"/>
      <c r="VQY176" s="11"/>
      <c r="VQZ176" s="12"/>
      <c r="VRI176" s="11"/>
      <c r="VRJ176" s="12"/>
      <c r="VRS176" s="11"/>
      <c r="VRT176" s="12"/>
      <c r="VSC176" s="11"/>
      <c r="VSD176" s="12"/>
      <c r="VSM176" s="11"/>
      <c r="VSN176" s="12"/>
      <c r="VSW176" s="11"/>
      <c r="VSX176" s="12"/>
      <c r="VTG176" s="11"/>
      <c r="VTH176" s="12"/>
      <c r="VTQ176" s="11"/>
      <c r="VTR176" s="12"/>
      <c r="VUA176" s="11"/>
      <c r="VUB176" s="12"/>
      <c r="VUK176" s="11"/>
      <c r="VUL176" s="12"/>
      <c r="VUU176" s="11"/>
      <c r="VUV176" s="12"/>
      <c r="VVE176" s="11"/>
      <c r="VVF176" s="12"/>
      <c r="VVO176" s="11"/>
      <c r="VVP176" s="12"/>
      <c r="VVY176" s="11"/>
      <c r="VVZ176" s="12"/>
      <c r="VWI176" s="11"/>
      <c r="VWJ176" s="12"/>
      <c r="VWS176" s="11"/>
      <c r="VWT176" s="12"/>
      <c r="VXC176" s="11"/>
      <c r="VXD176" s="12"/>
      <c r="VXM176" s="11"/>
      <c r="VXN176" s="12"/>
      <c r="VXW176" s="11"/>
      <c r="VXX176" s="12"/>
      <c r="VYG176" s="11"/>
      <c r="VYH176" s="12"/>
      <c r="VYQ176" s="11"/>
      <c r="VYR176" s="12"/>
      <c r="VZA176" s="11"/>
      <c r="VZB176" s="12"/>
      <c r="VZK176" s="11"/>
      <c r="VZL176" s="12"/>
      <c r="VZU176" s="11"/>
      <c r="VZV176" s="12"/>
      <c r="WAE176" s="11"/>
      <c r="WAF176" s="12"/>
      <c r="WAO176" s="11"/>
      <c r="WAP176" s="12"/>
      <c r="WAY176" s="11"/>
      <c r="WAZ176" s="12"/>
      <c r="WBI176" s="11"/>
      <c r="WBJ176" s="12"/>
      <c r="WBS176" s="11"/>
      <c r="WBT176" s="12"/>
      <c r="WCC176" s="11"/>
      <c r="WCD176" s="12"/>
      <c r="WCM176" s="11"/>
      <c r="WCN176" s="12"/>
      <c r="WCW176" s="11"/>
      <c r="WCX176" s="12"/>
      <c r="WDG176" s="11"/>
      <c r="WDH176" s="12"/>
      <c r="WDQ176" s="11"/>
      <c r="WDR176" s="12"/>
      <c r="WEA176" s="11"/>
      <c r="WEB176" s="12"/>
      <c r="WEK176" s="11"/>
      <c r="WEL176" s="12"/>
      <c r="WEU176" s="11"/>
      <c r="WEV176" s="12"/>
      <c r="WFE176" s="11"/>
      <c r="WFF176" s="12"/>
      <c r="WFO176" s="11"/>
      <c r="WFP176" s="12"/>
      <c r="WFY176" s="11"/>
      <c r="WFZ176" s="12"/>
      <c r="WGI176" s="11"/>
      <c r="WGJ176" s="12"/>
      <c r="WGS176" s="11"/>
      <c r="WGT176" s="12"/>
      <c r="WHC176" s="11"/>
      <c r="WHD176" s="12"/>
      <c r="WHM176" s="11"/>
      <c r="WHN176" s="12"/>
      <c r="WHW176" s="11"/>
      <c r="WHX176" s="12"/>
      <c r="WIG176" s="11"/>
      <c r="WIH176" s="12"/>
      <c r="WIQ176" s="11"/>
      <c r="WIR176" s="12"/>
      <c r="WJA176" s="11"/>
      <c r="WJB176" s="12"/>
      <c r="WJK176" s="11"/>
      <c r="WJL176" s="12"/>
      <c r="WJU176" s="11"/>
      <c r="WJV176" s="12"/>
      <c r="WKE176" s="11"/>
      <c r="WKF176" s="12"/>
      <c r="WKO176" s="11"/>
      <c r="WKP176" s="12"/>
      <c r="WKY176" s="11"/>
      <c r="WKZ176" s="12"/>
      <c r="WLI176" s="11"/>
      <c r="WLJ176" s="12"/>
      <c r="WLS176" s="11"/>
      <c r="WLT176" s="12"/>
      <c r="WMC176" s="11"/>
      <c r="WMD176" s="12"/>
      <c r="WMM176" s="11"/>
      <c r="WMN176" s="12"/>
      <c r="WMW176" s="11"/>
      <c r="WMX176" s="12"/>
      <c r="WNG176" s="11"/>
      <c r="WNH176" s="12"/>
      <c r="WNQ176" s="11"/>
      <c r="WNR176" s="12"/>
      <c r="WOA176" s="11"/>
      <c r="WOB176" s="12"/>
      <c r="WOK176" s="11"/>
      <c r="WOL176" s="12"/>
      <c r="WOU176" s="11"/>
      <c r="WOV176" s="12"/>
      <c r="WPE176" s="11"/>
      <c r="WPF176" s="12"/>
      <c r="WPO176" s="11"/>
      <c r="WPP176" s="12"/>
      <c r="WPY176" s="11"/>
      <c r="WPZ176" s="12"/>
      <c r="WQI176" s="11"/>
      <c r="WQJ176" s="12"/>
      <c r="WQS176" s="11"/>
      <c r="WQT176" s="12"/>
      <c r="WRC176" s="11"/>
      <c r="WRD176" s="12"/>
      <c r="WRM176" s="11"/>
      <c r="WRN176" s="12"/>
      <c r="WRW176" s="11"/>
      <c r="WRX176" s="12"/>
      <c r="WSG176" s="11"/>
      <c r="WSH176" s="12"/>
      <c r="WSQ176" s="11"/>
      <c r="WSR176" s="12"/>
      <c r="WTA176" s="11"/>
      <c r="WTB176" s="12"/>
      <c r="WTK176" s="11"/>
      <c r="WTL176" s="12"/>
      <c r="WTU176" s="11"/>
      <c r="WTV176" s="12"/>
      <c r="WUE176" s="11"/>
      <c r="WUF176" s="12"/>
      <c r="WUO176" s="11"/>
      <c r="WUP176" s="12"/>
      <c r="WUY176" s="11"/>
      <c r="WUZ176" s="12"/>
      <c r="WVI176" s="11"/>
      <c r="WVJ176" s="12"/>
      <c r="WVS176" s="11"/>
      <c r="WVT176" s="12"/>
      <c r="WWC176" s="11"/>
      <c r="WWD176" s="12"/>
      <c r="WWM176" s="11"/>
      <c r="WWN176" s="12"/>
      <c r="WWW176" s="11"/>
      <c r="WWX176" s="12"/>
      <c r="WXG176" s="11"/>
      <c r="WXH176" s="12"/>
      <c r="WXQ176" s="11"/>
      <c r="WXR176" s="12"/>
      <c r="WYA176" s="11"/>
      <c r="WYB176" s="12"/>
      <c r="WYK176" s="11"/>
      <c r="WYL176" s="12"/>
      <c r="WYU176" s="11"/>
      <c r="WYV176" s="12"/>
      <c r="WZE176" s="11"/>
      <c r="WZF176" s="12"/>
      <c r="WZO176" s="11"/>
      <c r="WZP176" s="12"/>
      <c r="WZY176" s="11"/>
      <c r="WZZ176" s="12"/>
      <c r="XAI176" s="11"/>
      <c r="XAJ176" s="12"/>
      <c r="XAS176" s="11"/>
      <c r="XAT176" s="12"/>
      <c r="XBC176" s="11"/>
      <c r="XBD176" s="12"/>
      <c r="XBM176" s="11"/>
      <c r="XBN176" s="12"/>
      <c r="XBW176" s="11"/>
      <c r="XBX176" s="12"/>
      <c r="XCG176" s="11"/>
      <c r="XCH176" s="12"/>
      <c r="XCQ176" s="11"/>
      <c r="XCR176" s="12"/>
      <c r="XDA176" s="11"/>
      <c r="XDB176" s="12"/>
      <c r="XDK176" s="11"/>
      <c r="XDL176" s="12"/>
      <c r="XDU176" s="11"/>
      <c r="XDV176" s="12"/>
      <c r="XEE176" s="11"/>
      <c r="XEF176" s="12"/>
      <c r="XEO176" s="11"/>
      <c r="XEP176" s="12"/>
      <c r="XEY176" s="11"/>
      <c r="XEZ176" s="12"/>
    </row>
    <row r="177" spans="1:1020 1029:2040 2049:3070 3079:4090 4099:5120 5129:6140 6149:7160 7169:8190 8199:9210 9219:10240 10249:11260 11269:12280 12289:13310 13319:14330 14339:15360 15369:16380" s="10" customFormat="1" ht="27.6" x14ac:dyDescent="0.3">
      <c r="A177"/>
      <c r="B177"/>
      <c r="C177"/>
      <c r="D177"/>
      <c r="E177"/>
      <c r="F177"/>
      <c r="G177"/>
      <c r="H177" s="32" t="s">
        <v>9</v>
      </c>
      <c r="I177" s="33" t="s">
        <v>10</v>
      </c>
      <c r="J177" s="34" t="s">
        <v>444</v>
      </c>
      <c r="K177" s="35" t="s">
        <v>290</v>
      </c>
      <c r="L177" s="33" t="s">
        <v>369</v>
      </c>
      <c r="M177" s="33">
        <v>7850</v>
      </c>
      <c r="N177" s="36"/>
      <c r="O177" s="33">
        <v>3</v>
      </c>
      <c r="P177" s="33">
        <f>IF(Tabela1[[#This Row],[Status]]="✔️",Tabela1[[#This Row],[Peso]],IF(Tabela1[[#This Row],[Status]]="✔️✔️",Tabela1[[#This Row],[Peso]]/2,0))</f>
        <v>0</v>
      </c>
      <c r="Q17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7" s="33" t="s">
        <v>127</v>
      </c>
      <c r="S177" s="37" t="s">
        <v>349</v>
      </c>
      <c r="T177" s="12"/>
      <c r="AC177" s="11"/>
      <c r="AD177" s="12"/>
      <c r="AM177" s="11"/>
      <c r="AN177" s="12"/>
      <c r="AW177" s="11"/>
      <c r="AX177" s="12"/>
      <c r="BG177" s="11"/>
      <c r="BH177" s="12"/>
      <c r="BQ177" s="11"/>
      <c r="BR177" s="12"/>
      <c r="CA177" s="11"/>
      <c r="CB177" s="12"/>
      <c r="CK177" s="11"/>
      <c r="CL177" s="12"/>
      <c r="CU177" s="11"/>
      <c r="CV177" s="12"/>
      <c r="DE177" s="11"/>
      <c r="DF177" s="12"/>
      <c r="DO177" s="11"/>
      <c r="DP177" s="12"/>
      <c r="DY177" s="11"/>
      <c r="DZ177" s="12"/>
      <c r="EI177" s="11"/>
      <c r="EJ177" s="12"/>
      <c r="ES177" s="11"/>
      <c r="ET177" s="12"/>
      <c r="FC177" s="11"/>
      <c r="FD177" s="12"/>
      <c r="FM177" s="11"/>
      <c r="FN177" s="12"/>
      <c r="FW177" s="11"/>
      <c r="FX177" s="12"/>
      <c r="GG177" s="11"/>
      <c r="GH177" s="12"/>
      <c r="GQ177" s="11"/>
      <c r="GR177" s="12"/>
      <c r="HA177" s="11"/>
      <c r="HB177" s="12"/>
      <c r="HK177" s="11"/>
      <c r="HL177" s="12"/>
      <c r="HU177" s="11"/>
      <c r="HV177" s="12"/>
      <c r="IE177" s="11"/>
      <c r="IF177" s="12"/>
      <c r="IO177" s="11"/>
      <c r="IP177" s="12"/>
      <c r="IY177" s="11"/>
      <c r="IZ177" s="12"/>
      <c r="JI177" s="11"/>
      <c r="JJ177" s="12"/>
      <c r="JS177" s="11"/>
      <c r="JT177" s="12"/>
      <c r="KC177" s="11"/>
      <c r="KD177" s="12"/>
      <c r="KM177" s="11"/>
      <c r="KN177" s="12"/>
      <c r="KW177" s="11"/>
      <c r="KX177" s="12"/>
      <c r="LG177" s="11"/>
      <c r="LH177" s="12"/>
      <c r="LQ177" s="11"/>
      <c r="LR177" s="12"/>
      <c r="MA177" s="11"/>
      <c r="MB177" s="12"/>
      <c r="MK177" s="11"/>
      <c r="ML177" s="12"/>
      <c r="MU177" s="11"/>
      <c r="MV177" s="12"/>
      <c r="NE177" s="11"/>
      <c r="NF177" s="12"/>
      <c r="NO177" s="11"/>
      <c r="NP177" s="12"/>
      <c r="NY177" s="11"/>
      <c r="NZ177" s="12"/>
      <c r="OI177" s="11"/>
      <c r="OJ177" s="12"/>
      <c r="OS177" s="11"/>
      <c r="OT177" s="12"/>
      <c r="PC177" s="11"/>
      <c r="PD177" s="12"/>
      <c r="PM177" s="11"/>
      <c r="PN177" s="12"/>
      <c r="PW177" s="11"/>
      <c r="PX177" s="12"/>
      <c r="QG177" s="11"/>
      <c r="QH177" s="12"/>
      <c r="QQ177" s="11"/>
      <c r="QR177" s="12"/>
      <c r="RA177" s="11"/>
      <c r="RB177" s="12"/>
      <c r="RK177" s="11"/>
      <c r="RL177" s="12"/>
      <c r="RU177" s="11"/>
      <c r="RV177" s="12"/>
      <c r="SE177" s="11"/>
      <c r="SF177" s="12"/>
      <c r="SO177" s="11"/>
      <c r="SP177" s="12"/>
      <c r="SY177" s="11"/>
      <c r="SZ177" s="12"/>
      <c r="TI177" s="11"/>
      <c r="TJ177" s="12"/>
      <c r="TS177" s="11"/>
      <c r="TT177" s="12"/>
      <c r="UC177" s="11"/>
      <c r="UD177" s="12"/>
      <c r="UM177" s="11"/>
      <c r="UN177" s="12"/>
      <c r="UW177" s="11"/>
      <c r="UX177" s="12"/>
      <c r="VG177" s="11"/>
      <c r="VH177" s="12"/>
      <c r="VQ177" s="11"/>
      <c r="VR177" s="12"/>
      <c r="WA177" s="11"/>
      <c r="WB177" s="12"/>
      <c r="WK177" s="11"/>
      <c r="WL177" s="12"/>
      <c r="WU177" s="11"/>
      <c r="WV177" s="12"/>
      <c r="XE177" s="11"/>
      <c r="XF177" s="12"/>
      <c r="XO177" s="11"/>
      <c r="XP177" s="12"/>
      <c r="XY177" s="11"/>
      <c r="XZ177" s="12"/>
      <c r="YI177" s="11"/>
      <c r="YJ177" s="12"/>
      <c r="YS177" s="11"/>
      <c r="YT177" s="12"/>
      <c r="ZC177" s="11"/>
      <c r="ZD177" s="12"/>
      <c r="ZM177" s="11"/>
      <c r="ZN177" s="12"/>
      <c r="ZW177" s="11"/>
      <c r="ZX177" s="12"/>
      <c r="AAG177" s="11"/>
      <c r="AAH177" s="12"/>
      <c r="AAQ177" s="11"/>
      <c r="AAR177" s="12"/>
      <c r="ABA177" s="11"/>
      <c r="ABB177" s="12"/>
      <c r="ABK177" s="11"/>
      <c r="ABL177" s="12"/>
      <c r="ABU177" s="11"/>
      <c r="ABV177" s="12"/>
      <c r="ACE177" s="11"/>
      <c r="ACF177" s="12"/>
      <c r="ACO177" s="11"/>
      <c r="ACP177" s="12"/>
      <c r="ACY177" s="11"/>
      <c r="ACZ177" s="12"/>
      <c r="ADI177" s="11"/>
      <c r="ADJ177" s="12"/>
      <c r="ADS177" s="11"/>
      <c r="ADT177" s="12"/>
      <c r="AEC177" s="11"/>
      <c r="AED177" s="12"/>
      <c r="AEM177" s="11"/>
      <c r="AEN177" s="12"/>
      <c r="AEW177" s="11"/>
      <c r="AEX177" s="12"/>
      <c r="AFG177" s="11"/>
      <c r="AFH177" s="12"/>
      <c r="AFQ177" s="11"/>
      <c r="AFR177" s="12"/>
      <c r="AGA177" s="11"/>
      <c r="AGB177" s="12"/>
      <c r="AGK177" s="11"/>
      <c r="AGL177" s="12"/>
      <c r="AGU177" s="11"/>
      <c r="AGV177" s="12"/>
      <c r="AHE177" s="11"/>
      <c r="AHF177" s="12"/>
      <c r="AHO177" s="11"/>
      <c r="AHP177" s="12"/>
      <c r="AHY177" s="11"/>
      <c r="AHZ177" s="12"/>
      <c r="AII177" s="11"/>
      <c r="AIJ177" s="12"/>
      <c r="AIS177" s="11"/>
      <c r="AIT177" s="12"/>
      <c r="AJC177" s="11"/>
      <c r="AJD177" s="12"/>
      <c r="AJM177" s="11"/>
      <c r="AJN177" s="12"/>
      <c r="AJW177" s="11"/>
      <c r="AJX177" s="12"/>
      <c r="AKG177" s="11"/>
      <c r="AKH177" s="12"/>
      <c r="AKQ177" s="11"/>
      <c r="AKR177" s="12"/>
      <c r="ALA177" s="11"/>
      <c r="ALB177" s="12"/>
      <c r="ALK177" s="11"/>
      <c r="ALL177" s="12"/>
      <c r="ALU177" s="11"/>
      <c r="ALV177" s="12"/>
      <c r="AME177" s="11"/>
      <c r="AMF177" s="12"/>
      <c r="AMO177" s="11"/>
      <c r="AMP177" s="12"/>
      <c r="AMY177" s="11"/>
      <c r="AMZ177" s="12"/>
      <c r="ANI177" s="11"/>
      <c r="ANJ177" s="12"/>
      <c r="ANS177" s="11"/>
      <c r="ANT177" s="12"/>
      <c r="AOC177" s="11"/>
      <c r="AOD177" s="12"/>
      <c r="AOM177" s="11"/>
      <c r="AON177" s="12"/>
      <c r="AOW177" s="11"/>
      <c r="AOX177" s="12"/>
      <c r="APG177" s="11"/>
      <c r="APH177" s="12"/>
      <c r="APQ177" s="11"/>
      <c r="APR177" s="12"/>
      <c r="AQA177" s="11"/>
      <c r="AQB177" s="12"/>
      <c r="AQK177" s="11"/>
      <c r="AQL177" s="12"/>
      <c r="AQU177" s="11"/>
      <c r="AQV177" s="12"/>
      <c r="ARE177" s="11"/>
      <c r="ARF177" s="12"/>
      <c r="ARO177" s="11"/>
      <c r="ARP177" s="12"/>
      <c r="ARY177" s="11"/>
      <c r="ARZ177" s="12"/>
      <c r="ASI177" s="11"/>
      <c r="ASJ177" s="12"/>
      <c r="ASS177" s="11"/>
      <c r="AST177" s="12"/>
      <c r="ATC177" s="11"/>
      <c r="ATD177" s="12"/>
      <c r="ATM177" s="11"/>
      <c r="ATN177" s="12"/>
      <c r="ATW177" s="11"/>
      <c r="ATX177" s="12"/>
      <c r="AUG177" s="11"/>
      <c r="AUH177" s="12"/>
      <c r="AUQ177" s="11"/>
      <c r="AUR177" s="12"/>
      <c r="AVA177" s="11"/>
      <c r="AVB177" s="12"/>
      <c r="AVK177" s="11"/>
      <c r="AVL177" s="12"/>
      <c r="AVU177" s="11"/>
      <c r="AVV177" s="12"/>
      <c r="AWE177" s="11"/>
      <c r="AWF177" s="12"/>
      <c r="AWO177" s="11"/>
      <c r="AWP177" s="12"/>
      <c r="AWY177" s="11"/>
      <c r="AWZ177" s="12"/>
      <c r="AXI177" s="11"/>
      <c r="AXJ177" s="12"/>
      <c r="AXS177" s="11"/>
      <c r="AXT177" s="12"/>
      <c r="AYC177" s="11"/>
      <c r="AYD177" s="12"/>
      <c r="AYM177" s="11"/>
      <c r="AYN177" s="12"/>
      <c r="AYW177" s="11"/>
      <c r="AYX177" s="12"/>
      <c r="AZG177" s="11"/>
      <c r="AZH177" s="12"/>
      <c r="AZQ177" s="11"/>
      <c r="AZR177" s="12"/>
      <c r="BAA177" s="11"/>
      <c r="BAB177" s="12"/>
      <c r="BAK177" s="11"/>
      <c r="BAL177" s="12"/>
      <c r="BAU177" s="11"/>
      <c r="BAV177" s="12"/>
      <c r="BBE177" s="11"/>
      <c r="BBF177" s="12"/>
      <c r="BBO177" s="11"/>
      <c r="BBP177" s="12"/>
      <c r="BBY177" s="11"/>
      <c r="BBZ177" s="12"/>
      <c r="BCI177" s="11"/>
      <c r="BCJ177" s="12"/>
      <c r="BCS177" s="11"/>
      <c r="BCT177" s="12"/>
      <c r="BDC177" s="11"/>
      <c r="BDD177" s="12"/>
      <c r="BDM177" s="11"/>
      <c r="BDN177" s="12"/>
      <c r="BDW177" s="11"/>
      <c r="BDX177" s="12"/>
      <c r="BEG177" s="11"/>
      <c r="BEH177" s="12"/>
      <c r="BEQ177" s="11"/>
      <c r="BER177" s="12"/>
      <c r="BFA177" s="11"/>
      <c r="BFB177" s="12"/>
      <c r="BFK177" s="11"/>
      <c r="BFL177" s="12"/>
      <c r="BFU177" s="11"/>
      <c r="BFV177" s="12"/>
      <c r="BGE177" s="11"/>
      <c r="BGF177" s="12"/>
      <c r="BGO177" s="11"/>
      <c r="BGP177" s="12"/>
      <c r="BGY177" s="11"/>
      <c r="BGZ177" s="12"/>
      <c r="BHI177" s="11"/>
      <c r="BHJ177" s="12"/>
      <c r="BHS177" s="11"/>
      <c r="BHT177" s="12"/>
      <c r="BIC177" s="11"/>
      <c r="BID177" s="12"/>
      <c r="BIM177" s="11"/>
      <c r="BIN177" s="12"/>
      <c r="BIW177" s="11"/>
      <c r="BIX177" s="12"/>
      <c r="BJG177" s="11"/>
      <c r="BJH177" s="12"/>
      <c r="BJQ177" s="11"/>
      <c r="BJR177" s="12"/>
      <c r="BKA177" s="11"/>
      <c r="BKB177" s="12"/>
      <c r="BKK177" s="11"/>
      <c r="BKL177" s="12"/>
      <c r="BKU177" s="11"/>
      <c r="BKV177" s="12"/>
      <c r="BLE177" s="11"/>
      <c r="BLF177" s="12"/>
      <c r="BLO177" s="11"/>
      <c r="BLP177" s="12"/>
      <c r="BLY177" s="11"/>
      <c r="BLZ177" s="12"/>
      <c r="BMI177" s="11"/>
      <c r="BMJ177" s="12"/>
      <c r="BMS177" s="11"/>
      <c r="BMT177" s="12"/>
      <c r="BNC177" s="11"/>
      <c r="BND177" s="12"/>
      <c r="BNM177" s="11"/>
      <c r="BNN177" s="12"/>
      <c r="BNW177" s="11"/>
      <c r="BNX177" s="12"/>
      <c r="BOG177" s="11"/>
      <c r="BOH177" s="12"/>
      <c r="BOQ177" s="11"/>
      <c r="BOR177" s="12"/>
      <c r="BPA177" s="11"/>
      <c r="BPB177" s="12"/>
      <c r="BPK177" s="11"/>
      <c r="BPL177" s="12"/>
      <c r="BPU177" s="11"/>
      <c r="BPV177" s="12"/>
      <c r="BQE177" s="11"/>
      <c r="BQF177" s="12"/>
      <c r="BQO177" s="11"/>
      <c r="BQP177" s="12"/>
      <c r="BQY177" s="11"/>
      <c r="BQZ177" s="12"/>
      <c r="BRI177" s="11"/>
      <c r="BRJ177" s="12"/>
      <c r="BRS177" s="11"/>
      <c r="BRT177" s="12"/>
      <c r="BSC177" s="11"/>
      <c r="BSD177" s="12"/>
      <c r="BSM177" s="11"/>
      <c r="BSN177" s="12"/>
      <c r="BSW177" s="11"/>
      <c r="BSX177" s="12"/>
      <c r="BTG177" s="11"/>
      <c r="BTH177" s="12"/>
      <c r="BTQ177" s="11"/>
      <c r="BTR177" s="12"/>
      <c r="BUA177" s="11"/>
      <c r="BUB177" s="12"/>
      <c r="BUK177" s="11"/>
      <c r="BUL177" s="12"/>
      <c r="BUU177" s="11"/>
      <c r="BUV177" s="12"/>
      <c r="BVE177" s="11"/>
      <c r="BVF177" s="12"/>
      <c r="BVO177" s="11"/>
      <c r="BVP177" s="12"/>
      <c r="BVY177" s="11"/>
      <c r="BVZ177" s="12"/>
      <c r="BWI177" s="11"/>
      <c r="BWJ177" s="12"/>
      <c r="BWS177" s="11"/>
      <c r="BWT177" s="12"/>
      <c r="BXC177" s="11"/>
      <c r="BXD177" s="12"/>
      <c r="BXM177" s="11"/>
      <c r="BXN177" s="12"/>
      <c r="BXW177" s="11"/>
      <c r="BXX177" s="12"/>
      <c r="BYG177" s="11"/>
      <c r="BYH177" s="12"/>
      <c r="BYQ177" s="11"/>
      <c r="BYR177" s="12"/>
      <c r="BZA177" s="11"/>
      <c r="BZB177" s="12"/>
      <c r="BZK177" s="11"/>
      <c r="BZL177" s="12"/>
      <c r="BZU177" s="11"/>
      <c r="BZV177" s="12"/>
      <c r="CAE177" s="11"/>
      <c r="CAF177" s="12"/>
      <c r="CAO177" s="11"/>
      <c r="CAP177" s="12"/>
      <c r="CAY177" s="11"/>
      <c r="CAZ177" s="12"/>
      <c r="CBI177" s="11"/>
      <c r="CBJ177" s="12"/>
      <c r="CBS177" s="11"/>
      <c r="CBT177" s="12"/>
      <c r="CCC177" s="11"/>
      <c r="CCD177" s="12"/>
      <c r="CCM177" s="11"/>
      <c r="CCN177" s="12"/>
      <c r="CCW177" s="11"/>
      <c r="CCX177" s="12"/>
      <c r="CDG177" s="11"/>
      <c r="CDH177" s="12"/>
      <c r="CDQ177" s="11"/>
      <c r="CDR177" s="12"/>
      <c r="CEA177" s="11"/>
      <c r="CEB177" s="12"/>
      <c r="CEK177" s="11"/>
      <c r="CEL177" s="12"/>
      <c r="CEU177" s="11"/>
      <c r="CEV177" s="12"/>
      <c r="CFE177" s="11"/>
      <c r="CFF177" s="12"/>
      <c r="CFO177" s="11"/>
      <c r="CFP177" s="12"/>
      <c r="CFY177" s="11"/>
      <c r="CFZ177" s="12"/>
      <c r="CGI177" s="11"/>
      <c r="CGJ177" s="12"/>
      <c r="CGS177" s="11"/>
      <c r="CGT177" s="12"/>
      <c r="CHC177" s="11"/>
      <c r="CHD177" s="12"/>
      <c r="CHM177" s="11"/>
      <c r="CHN177" s="12"/>
      <c r="CHW177" s="11"/>
      <c r="CHX177" s="12"/>
      <c r="CIG177" s="11"/>
      <c r="CIH177" s="12"/>
      <c r="CIQ177" s="11"/>
      <c r="CIR177" s="12"/>
      <c r="CJA177" s="11"/>
      <c r="CJB177" s="12"/>
      <c r="CJK177" s="11"/>
      <c r="CJL177" s="12"/>
      <c r="CJU177" s="11"/>
      <c r="CJV177" s="12"/>
      <c r="CKE177" s="11"/>
      <c r="CKF177" s="12"/>
      <c r="CKO177" s="11"/>
      <c r="CKP177" s="12"/>
      <c r="CKY177" s="11"/>
      <c r="CKZ177" s="12"/>
      <c r="CLI177" s="11"/>
      <c r="CLJ177" s="12"/>
      <c r="CLS177" s="11"/>
      <c r="CLT177" s="12"/>
      <c r="CMC177" s="11"/>
      <c r="CMD177" s="12"/>
      <c r="CMM177" s="11"/>
      <c r="CMN177" s="12"/>
      <c r="CMW177" s="11"/>
      <c r="CMX177" s="12"/>
      <c r="CNG177" s="11"/>
      <c r="CNH177" s="12"/>
      <c r="CNQ177" s="11"/>
      <c r="CNR177" s="12"/>
      <c r="COA177" s="11"/>
      <c r="COB177" s="12"/>
      <c r="COK177" s="11"/>
      <c r="COL177" s="12"/>
      <c r="COU177" s="11"/>
      <c r="COV177" s="12"/>
      <c r="CPE177" s="11"/>
      <c r="CPF177" s="12"/>
      <c r="CPO177" s="11"/>
      <c r="CPP177" s="12"/>
      <c r="CPY177" s="11"/>
      <c r="CPZ177" s="12"/>
      <c r="CQI177" s="11"/>
      <c r="CQJ177" s="12"/>
      <c r="CQS177" s="11"/>
      <c r="CQT177" s="12"/>
      <c r="CRC177" s="11"/>
      <c r="CRD177" s="12"/>
      <c r="CRM177" s="11"/>
      <c r="CRN177" s="12"/>
      <c r="CRW177" s="11"/>
      <c r="CRX177" s="12"/>
      <c r="CSG177" s="11"/>
      <c r="CSH177" s="12"/>
      <c r="CSQ177" s="11"/>
      <c r="CSR177" s="12"/>
      <c r="CTA177" s="11"/>
      <c r="CTB177" s="12"/>
      <c r="CTK177" s="11"/>
      <c r="CTL177" s="12"/>
      <c r="CTU177" s="11"/>
      <c r="CTV177" s="12"/>
      <c r="CUE177" s="11"/>
      <c r="CUF177" s="12"/>
      <c r="CUO177" s="11"/>
      <c r="CUP177" s="12"/>
      <c r="CUY177" s="11"/>
      <c r="CUZ177" s="12"/>
      <c r="CVI177" s="11"/>
      <c r="CVJ177" s="12"/>
      <c r="CVS177" s="11"/>
      <c r="CVT177" s="12"/>
      <c r="CWC177" s="11"/>
      <c r="CWD177" s="12"/>
      <c r="CWM177" s="11"/>
      <c r="CWN177" s="12"/>
      <c r="CWW177" s="11"/>
      <c r="CWX177" s="12"/>
      <c r="CXG177" s="11"/>
      <c r="CXH177" s="12"/>
      <c r="CXQ177" s="11"/>
      <c r="CXR177" s="12"/>
      <c r="CYA177" s="11"/>
      <c r="CYB177" s="12"/>
      <c r="CYK177" s="11"/>
      <c r="CYL177" s="12"/>
      <c r="CYU177" s="11"/>
      <c r="CYV177" s="12"/>
      <c r="CZE177" s="11"/>
      <c r="CZF177" s="12"/>
      <c r="CZO177" s="11"/>
      <c r="CZP177" s="12"/>
      <c r="CZY177" s="11"/>
      <c r="CZZ177" s="12"/>
      <c r="DAI177" s="11"/>
      <c r="DAJ177" s="12"/>
      <c r="DAS177" s="11"/>
      <c r="DAT177" s="12"/>
      <c r="DBC177" s="11"/>
      <c r="DBD177" s="12"/>
      <c r="DBM177" s="11"/>
      <c r="DBN177" s="12"/>
      <c r="DBW177" s="11"/>
      <c r="DBX177" s="12"/>
      <c r="DCG177" s="11"/>
      <c r="DCH177" s="12"/>
      <c r="DCQ177" s="11"/>
      <c r="DCR177" s="12"/>
      <c r="DDA177" s="11"/>
      <c r="DDB177" s="12"/>
      <c r="DDK177" s="11"/>
      <c r="DDL177" s="12"/>
      <c r="DDU177" s="11"/>
      <c r="DDV177" s="12"/>
      <c r="DEE177" s="11"/>
      <c r="DEF177" s="12"/>
      <c r="DEO177" s="11"/>
      <c r="DEP177" s="12"/>
      <c r="DEY177" s="11"/>
      <c r="DEZ177" s="12"/>
      <c r="DFI177" s="11"/>
      <c r="DFJ177" s="12"/>
      <c r="DFS177" s="11"/>
      <c r="DFT177" s="12"/>
      <c r="DGC177" s="11"/>
      <c r="DGD177" s="12"/>
      <c r="DGM177" s="11"/>
      <c r="DGN177" s="12"/>
      <c r="DGW177" s="11"/>
      <c r="DGX177" s="12"/>
      <c r="DHG177" s="11"/>
      <c r="DHH177" s="12"/>
      <c r="DHQ177" s="11"/>
      <c r="DHR177" s="12"/>
      <c r="DIA177" s="11"/>
      <c r="DIB177" s="12"/>
      <c r="DIK177" s="11"/>
      <c r="DIL177" s="12"/>
      <c r="DIU177" s="11"/>
      <c r="DIV177" s="12"/>
      <c r="DJE177" s="11"/>
      <c r="DJF177" s="12"/>
      <c r="DJO177" s="11"/>
      <c r="DJP177" s="12"/>
      <c r="DJY177" s="11"/>
      <c r="DJZ177" s="12"/>
      <c r="DKI177" s="11"/>
      <c r="DKJ177" s="12"/>
      <c r="DKS177" s="11"/>
      <c r="DKT177" s="12"/>
      <c r="DLC177" s="11"/>
      <c r="DLD177" s="12"/>
      <c r="DLM177" s="11"/>
      <c r="DLN177" s="12"/>
      <c r="DLW177" s="11"/>
      <c r="DLX177" s="12"/>
      <c r="DMG177" s="11"/>
      <c r="DMH177" s="12"/>
      <c r="DMQ177" s="11"/>
      <c r="DMR177" s="12"/>
      <c r="DNA177" s="11"/>
      <c r="DNB177" s="12"/>
      <c r="DNK177" s="11"/>
      <c r="DNL177" s="12"/>
      <c r="DNU177" s="11"/>
      <c r="DNV177" s="12"/>
      <c r="DOE177" s="11"/>
      <c r="DOF177" s="12"/>
      <c r="DOO177" s="11"/>
      <c r="DOP177" s="12"/>
      <c r="DOY177" s="11"/>
      <c r="DOZ177" s="12"/>
      <c r="DPI177" s="11"/>
      <c r="DPJ177" s="12"/>
      <c r="DPS177" s="11"/>
      <c r="DPT177" s="12"/>
      <c r="DQC177" s="11"/>
      <c r="DQD177" s="12"/>
      <c r="DQM177" s="11"/>
      <c r="DQN177" s="12"/>
      <c r="DQW177" s="11"/>
      <c r="DQX177" s="12"/>
      <c r="DRG177" s="11"/>
      <c r="DRH177" s="12"/>
      <c r="DRQ177" s="11"/>
      <c r="DRR177" s="12"/>
      <c r="DSA177" s="11"/>
      <c r="DSB177" s="12"/>
      <c r="DSK177" s="11"/>
      <c r="DSL177" s="12"/>
      <c r="DSU177" s="11"/>
      <c r="DSV177" s="12"/>
      <c r="DTE177" s="11"/>
      <c r="DTF177" s="12"/>
      <c r="DTO177" s="11"/>
      <c r="DTP177" s="12"/>
      <c r="DTY177" s="11"/>
      <c r="DTZ177" s="12"/>
      <c r="DUI177" s="11"/>
      <c r="DUJ177" s="12"/>
      <c r="DUS177" s="11"/>
      <c r="DUT177" s="12"/>
      <c r="DVC177" s="11"/>
      <c r="DVD177" s="12"/>
      <c r="DVM177" s="11"/>
      <c r="DVN177" s="12"/>
      <c r="DVW177" s="11"/>
      <c r="DVX177" s="12"/>
      <c r="DWG177" s="11"/>
      <c r="DWH177" s="12"/>
      <c r="DWQ177" s="11"/>
      <c r="DWR177" s="12"/>
      <c r="DXA177" s="11"/>
      <c r="DXB177" s="12"/>
      <c r="DXK177" s="11"/>
      <c r="DXL177" s="12"/>
      <c r="DXU177" s="11"/>
      <c r="DXV177" s="12"/>
      <c r="DYE177" s="11"/>
      <c r="DYF177" s="12"/>
      <c r="DYO177" s="11"/>
      <c r="DYP177" s="12"/>
      <c r="DYY177" s="11"/>
      <c r="DYZ177" s="12"/>
      <c r="DZI177" s="11"/>
      <c r="DZJ177" s="12"/>
      <c r="DZS177" s="11"/>
      <c r="DZT177" s="12"/>
      <c r="EAC177" s="11"/>
      <c r="EAD177" s="12"/>
      <c r="EAM177" s="11"/>
      <c r="EAN177" s="12"/>
      <c r="EAW177" s="11"/>
      <c r="EAX177" s="12"/>
      <c r="EBG177" s="11"/>
      <c r="EBH177" s="12"/>
      <c r="EBQ177" s="11"/>
      <c r="EBR177" s="12"/>
      <c r="ECA177" s="11"/>
      <c r="ECB177" s="12"/>
      <c r="ECK177" s="11"/>
      <c r="ECL177" s="12"/>
      <c r="ECU177" s="11"/>
      <c r="ECV177" s="12"/>
      <c r="EDE177" s="11"/>
      <c r="EDF177" s="12"/>
      <c r="EDO177" s="11"/>
      <c r="EDP177" s="12"/>
      <c r="EDY177" s="11"/>
      <c r="EDZ177" s="12"/>
      <c r="EEI177" s="11"/>
      <c r="EEJ177" s="12"/>
      <c r="EES177" s="11"/>
      <c r="EET177" s="12"/>
      <c r="EFC177" s="11"/>
      <c r="EFD177" s="12"/>
      <c r="EFM177" s="11"/>
      <c r="EFN177" s="12"/>
      <c r="EFW177" s="11"/>
      <c r="EFX177" s="12"/>
      <c r="EGG177" s="11"/>
      <c r="EGH177" s="12"/>
      <c r="EGQ177" s="11"/>
      <c r="EGR177" s="12"/>
      <c r="EHA177" s="11"/>
      <c r="EHB177" s="12"/>
      <c r="EHK177" s="11"/>
      <c r="EHL177" s="12"/>
      <c r="EHU177" s="11"/>
      <c r="EHV177" s="12"/>
      <c r="EIE177" s="11"/>
      <c r="EIF177" s="12"/>
      <c r="EIO177" s="11"/>
      <c r="EIP177" s="12"/>
      <c r="EIY177" s="11"/>
      <c r="EIZ177" s="12"/>
      <c r="EJI177" s="11"/>
      <c r="EJJ177" s="12"/>
      <c r="EJS177" s="11"/>
      <c r="EJT177" s="12"/>
      <c r="EKC177" s="11"/>
      <c r="EKD177" s="12"/>
      <c r="EKM177" s="11"/>
      <c r="EKN177" s="12"/>
      <c r="EKW177" s="11"/>
      <c r="EKX177" s="12"/>
      <c r="ELG177" s="11"/>
      <c r="ELH177" s="12"/>
      <c r="ELQ177" s="11"/>
      <c r="ELR177" s="12"/>
      <c r="EMA177" s="11"/>
      <c r="EMB177" s="12"/>
      <c r="EMK177" s="11"/>
      <c r="EML177" s="12"/>
      <c r="EMU177" s="11"/>
      <c r="EMV177" s="12"/>
      <c r="ENE177" s="11"/>
      <c r="ENF177" s="12"/>
      <c r="ENO177" s="11"/>
      <c r="ENP177" s="12"/>
      <c r="ENY177" s="11"/>
      <c r="ENZ177" s="12"/>
      <c r="EOI177" s="11"/>
      <c r="EOJ177" s="12"/>
      <c r="EOS177" s="11"/>
      <c r="EOT177" s="12"/>
      <c r="EPC177" s="11"/>
      <c r="EPD177" s="12"/>
      <c r="EPM177" s="11"/>
      <c r="EPN177" s="12"/>
      <c r="EPW177" s="11"/>
      <c r="EPX177" s="12"/>
      <c r="EQG177" s="11"/>
      <c r="EQH177" s="12"/>
      <c r="EQQ177" s="11"/>
      <c r="EQR177" s="12"/>
      <c r="ERA177" s="11"/>
      <c r="ERB177" s="12"/>
      <c r="ERK177" s="11"/>
      <c r="ERL177" s="12"/>
      <c r="ERU177" s="11"/>
      <c r="ERV177" s="12"/>
      <c r="ESE177" s="11"/>
      <c r="ESF177" s="12"/>
      <c r="ESO177" s="11"/>
      <c r="ESP177" s="12"/>
      <c r="ESY177" s="11"/>
      <c r="ESZ177" s="12"/>
      <c r="ETI177" s="11"/>
      <c r="ETJ177" s="12"/>
      <c r="ETS177" s="11"/>
      <c r="ETT177" s="12"/>
      <c r="EUC177" s="11"/>
      <c r="EUD177" s="12"/>
      <c r="EUM177" s="11"/>
      <c r="EUN177" s="12"/>
      <c r="EUW177" s="11"/>
      <c r="EUX177" s="12"/>
      <c r="EVG177" s="11"/>
      <c r="EVH177" s="12"/>
      <c r="EVQ177" s="11"/>
      <c r="EVR177" s="12"/>
      <c r="EWA177" s="11"/>
      <c r="EWB177" s="12"/>
      <c r="EWK177" s="11"/>
      <c r="EWL177" s="12"/>
      <c r="EWU177" s="11"/>
      <c r="EWV177" s="12"/>
      <c r="EXE177" s="11"/>
      <c r="EXF177" s="12"/>
      <c r="EXO177" s="11"/>
      <c r="EXP177" s="12"/>
      <c r="EXY177" s="11"/>
      <c r="EXZ177" s="12"/>
      <c r="EYI177" s="11"/>
      <c r="EYJ177" s="12"/>
      <c r="EYS177" s="11"/>
      <c r="EYT177" s="12"/>
      <c r="EZC177" s="11"/>
      <c r="EZD177" s="12"/>
      <c r="EZM177" s="11"/>
      <c r="EZN177" s="12"/>
      <c r="EZW177" s="11"/>
      <c r="EZX177" s="12"/>
      <c r="FAG177" s="11"/>
      <c r="FAH177" s="12"/>
      <c r="FAQ177" s="11"/>
      <c r="FAR177" s="12"/>
      <c r="FBA177" s="11"/>
      <c r="FBB177" s="12"/>
      <c r="FBK177" s="11"/>
      <c r="FBL177" s="12"/>
      <c r="FBU177" s="11"/>
      <c r="FBV177" s="12"/>
      <c r="FCE177" s="11"/>
      <c r="FCF177" s="12"/>
      <c r="FCO177" s="11"/>
      <c r="FCP177" s="12"/>
      <c r="FCY177" s="11"/>
      <c r="FCZ177" s="12"/>
      <c r="FDI177" s="11"/>
      <c r="FDJ177" s="12"/>
      <c r="FDS177" s="11"/>
      <c r="FDT177" s="12"/>
      <c r="FEC177" s="11"/>
      <c r="FED177" s="12"/>
      <c r="FEM177" s="11"/>
      <c r="FEN177" s="12"/>
      <c r="FEW177" s="11"/>
      <c r="FEX177" s="12"/>
      <c r="FFG177" s="11"/>
      <c r="FFH177" s="12"/>
      <c r="FFQ177" s="11"/>
      <c r="FFR177" s="12"/>
      <c r="FGA177" s="11"/>
      <c r="FGB177" s="12"/>
      <c r="FGK177" s="11"/>
      <c r="FGL177" s="12"/>
      <c r="FGU177" s="11"/>
      <c r="FGV177" s="12"/>
      <c r="FHE177" s="11"/>
      <c r="FHF177" s="12"/>
      <c r="FHO177" s="11"/>
      <c r="FHP177" s="12"/>
      <c r="FHY177" s="11"/>
      <c r="FHZ177" s="12"/>
      <c r="FII177" s="11"/>
      <c r="FIJ177" s="12"/>
      <c r="FIS177" s="11"/>
      <c r="FIT177" s="12"/>
      <c r="FJC177" s="11"/>
      <c r="FJD177" s="12"/>
      <c r="FJM177" s="11"/>
      <c r="FJN177" s="12"/>
      <c r="FJW177" s="11"/>
      <c r="FJX177" s="12"/>
      <c r="FKG177" s="11"/>
      <c r="FKH177" s="12"/>
      <c r="FKQ177" s="11"/>
      <c r="FKR177" s="12"/>
      <c r="FLA177" s="11"/>
      <c r="FLB177" s="12"/>
      <c r="FLK177" s="11"/>
      <c r="FLL177" s="12"/>
      <c r="FLU177" s="11"/>
      <c r="FLV177" s="12"/>
      <c r="FME177" s="11"/>
      <c r="FMF177" s="12"/>
      <c r="FMO177" s="11"/>
      <c r="FMP177" s="12"/>
      <c r="FMY177" s="11"/>
      <c r="FMZ177" s="12"/>
      <c r="FNI177" s="11"/>
      <c r="FNJ177" s="12"/>
      <c r="FNS177" s="11"/>
      <c r="FNT177" s="12"/>
      <c r="FOC177" s="11"/>
      <c r="FOD177" s="12"/>
      <c r="FOM177" s="11"/>
      <c r="FON177" s="12"/>
      <c r="FOW177" s="11"/>
      <c r="FOX177" s="12"/>
      <c r="FPG177" s="11"/>
      <c r="FPH177" s="12"/>
      <c r="FPQ177" s="11"/>
      <c r="FPR177" s="12"/>
      <c r="FQA177" s="11"/>
      <c r="FQB177" s="12"/>
      <c r="FQK177" s="11"/>
      <c r="FQL177" s="12"/>
      <c r="FQU177" s="11"/>
      <c r="FQV177" s="12"/>
      <c r="FRE177" s="11"/>
      <c r="FRF177" s="12"/>
      <c r="FRO177" s="11"/>
      <c r="FRP177" s="12"/>
      <c r="FRY177" s="11"/>
      <c r="FRZ177" s="12"/>
      <c r="FSI177" s="11"/>
      <c r="FSJ177" s="12"/>
      <c r="FSS177" s="11"/>
      <c r="FST177" s="12"/>
      <c r="FTC177" s="11"/>
      <c r="FTD177" s="12"/>
      <c r="FTM177" s="11"/>
      <c r="FTN177" s="12"/>
      <c r="FTW177" s="11"/>
      <c r="FTX177" s="12"/>
      <c r="FUG177" s="11"/>
      <c r="FUH177" s="12"/>
      <c r="FUQ177" s="11"/>
      <c r="FUR177" s="12"/>
      <c r="FVA177" s="11"/>
      <c r="FVB177" s="12"/>
      <c r="FVK177" s="11"/>
      <c r="FVL177" s="12"/>
      <c r="FVU177" s="11"/>
      <c r="FVV177" s="12"/>
      <c r="FWE177" s="11"/>
      <c r="FWF177" s="12"/>
      <c r="FWO177" s="11"/>
      <c r="FWP177" s="12"/>
      <c r="FWY177" s="11"/>
      <c r="FWZ177" s="12"/>
      <c r="FXI177" s="11"/>
      <c r="FXJ177" s="12"/>
      <c r="FXS177" s="11"/>
      <c r="FXT177" s="12"/>
      <c r="FYC177" s="11"/>
      <c r="FYD177" s="12"/>
      <c r="FYM177" s="11"/>
      <c r="FYN177" s="12"/>
      <c r="FYW177" s="11"/>
      <c r="FYX177" s="12"/>
      <c r="FZG177" s="11"/>
      <c r="FZH177" s="12"/>
      <c r="FZQ177" s="11"/>
      <c r="FZR177" s="12"/>
      <c r="GAA177" s="11"/>
      <c r="GAB177" s="12"/>
      <c r="GAK177" s="11"/>
      <c r="GAL177" s="12"/>
      <c r="GAU177" s="11"/>
      <c r="GAV177" s="12"/>
      <c r="GBE177" s="11"/>
      <c r="GBF177" s="12"/>
      <c r="GBO177" s="11"/>
      <c r="GBP177" s="12"/>
      <c r="GBY177" s="11"/>
      <c r="GBZ177" s="12"/>
      <c r="GCI177" s="11"/>
      <c r="GCJ177" s="12"/>
      <c r="GCS177" s="11"/>
      <c r="GCT177" s="12"/>
      <c r="GDC177" s="11"/>
      <c r="GDD177" s="12"/>
      <c r="GDM177" s="11"/>
      <c r="GDN177" s="12"/>
      <c r="GDW177" s="11"/>
      <c r="GDX177" s="12"/>
      <c r="GEG177" s="11"/>
      <c r="GEH177" s="12"/>
      <c r="GEQ177" s="11"/>
      <c r="GER177" s="12"/>
      <c r="GFA177" s="11"/>
      <c r="GFB177" s="12"/>
      <c r="GFK177" s="11"/>
      <c r="GFL177" s="12"/>
      <c r="GFU177" s="11"/>
      <c r="GFV177" s="12"/>
      <c r="GGE177" s="11"/>
      <c r="GGF177" s="12"/>
      <c r="GGO177" s="11"/>
      <c r="GGP177" s="12"/>
      <c r="GGY177" s="11"/>
      <c r="GGZ177" s="12"/>
      <c r="GHI177" s="11"/>
      <c r="GHJ177" s="12"/>
      <c r="GHS177" s="11"/>
      <c r="GHT177" s="12"/>
      <c r="GIC177" s="11"/>
      <c r="GID177" s="12"/>
      <c r="GIM177" s="11"/>
      <c r="GIN177" s="12"/>
      <c r="GIW177" s="11"/>
      <c r="GIX177" s="12"/>
      <c r="GJG177" s="11"/>
      <c r="GJH177" s="12"/>
      <c r="GJQ177" s="11"/>
      <c r="GJR177" s="12"/>
      <c r="GKA177" s="11"/>
      <c r="GKB177" s="12"/>
      <c r="GKK177" s="11"/>
      <c r="GKL177" s="12"/>
      <c r="GKU177" s="11"/>
      <c r="GKV177" s="12"/>
      <c r="GLE177" s="11"/>
      <c r="GLF177" s="12"/>
      <c r="GLO177" s="11"/>
      <c r="GLP177" s="12"/>
      <c r="GLY177" s="11"/>
      <c r="GLZ177" s="12"/>
      <c r="GMI177" s="11"/>
      <c r="GMJ177" s="12"/>
      <c r="GMS177" s="11"/>
      <c r="GMT177" s="12"/>
      <c r="GNC177" s="11"/>
      <c r="GND177" s="12"/>
      <c r="GNM177" s="11"/>
      <c r="GNN177" s="12"/>
      <c r="GNW177" s="11"/>
      <c r="GNX177" s="12"/>
      <c r="GOG177" s="11"/>
      <c r="GOH177" s="12"/>
      <c r="GOQ177" s="11"/>
      <c r="GOR177" s="12"/>
      <c r="GPA177" s="11"/>
      <c r="GPB177" s="12"/>
      <c r="GPK177" s="11"/>
      <c r="GPL177" s="12"/>
      <c r="GPU177" s="11"/>
      <c r="GPV177" s="12"/>
      <c r="GQE177" s="11"/>
      <c r="GQF177" s="12"/>
      <c r="GQO177" s="11"/>
      <c r="GQP177" s="12"/>
      <c r="GQY177" s="11"/>
      <c r="GQZ177" s="12"/>
      <c r="GRI177" s="11"/>
      <c r="GRJ177" s="12"/>
      <c r="GRS177" s="11"/>
      <c r="GRT177" s="12"/>
      <c r="GSC177" s="11"/>
      <c r="GSD177" s="12"/>
      <c r="GSM177" s="11"/>
      <c r="GSN177" s="12"/>
      <c r="GSW177" s="11"/>
      <c r="GSX177" s="12"/>
      <c r="GTG177" s="11"/>
      <c r="GTH177" s="12"/>
      <c r="GTQ177" s="11"/>
      <c r="GTR177" s="12"/>
      <c r="GUA177" s="11"/>
      <c r="GUB177" s="12"/>
      <c r="GUK177" s="11"/>
      <c r="GUL177" s="12"/>
      <c r="GUU177" s="11"/>
      <c r="GUV177" s="12"/>
      <c r="GVE177" s="11"/>
      <c r="GVF177" s="12"/>
      <c r="GVO177" s="11"/>
      <c r="GVP177" s="12"/>
      <c r="GVY177" s="11"/>
      <c r="GVZ177" s="12"/>
      <c r="GWI177" s="11"/>
      <c r="GWJ177" s="12"/>
      <c r="GWS177" s="11"/>
      <c r="GWT177" s="12"/>
      <c r="GXC177" s="11"/>
      <c r="GXD177" s="12"/>
      <c r="GXM177" s="11"/>
      <c r="GXN177" s="12"/>
      <c r="GXW177" s="11"/>
      <c r="GXX177" s="12"/>
      <c r="GYG177" s="11"/>
      <c r="GYH177" s="12"/>
      <c r="GYQ177" s="11"/>
      <c r="GYR177" s="12"/>
      <c r="GZA177" s="11"/>
      <c r="GZB177" s="12"/>
      <c r="GZK177" s="11"/>
      <c r="GZL177" s="12"/>
      <c r="GZU177" s="11"/>
      <c r="GZV177" s="12"/>
      <c r="HAE177" s="11"/>
      <c r="HAF177" s="12"/>
      <c r="HAO177" s="11"/>
      <c r="HAP177" s="12"/>
      <c r="HAY177" s="11"/>
      <c r="HAZ177" s="12"/>
      <c r="HBI177" s="11"/>
      <c r="HBJ177" s="12"/>
      <c r="HBS177" s="11"/>
      <c r="HBT177" s="12"/>
      <c r="HCC177" s="11"/>
      <c r="HCD177" s="12"/>
      <c r="HCM177" s="11"/>
      <c r="HCN177" s="12"/>
      <c r="HCW177" s="11"/>
      <c r="HCX177" s="12"/>
      <c r="HDG177" s="11"/>
      <c r="HDH177" s="12"/>
      <c r="HDQ177" s="11"/>
      <c r="HDR177" s="12"/>
      <c r="HEA177" s="11"/>
      <c r="HEB177" s="12"/>
      <c r="HEK177" s="11"/>
      <c r="HEL177" s="12"/>
      <c r="HEU177" s="11"/>
      <c r="HEV177" s="12"/>
      <c r="HFE177" s="11"/>
      <c r="HFF177" s="12"/>
      <c r="HFO177" s="11"/>
      <c r="HFP177" s="12"/>
      <c r="HFY177" s="11"/>
      <c r="HFZ177" s="12"/>
      <c r="HGI177" s="11"/>
      <c r="HGJ177" s="12"/>
      <c r="HGS177" s="11"/>
      <c r="HGT177" s="12"/>
      <c r="HHC177" s="11"/>
      <c r="HHD177" s="12"/>
      <c r="HHM177" s="11"/>
      <c r="HHN177" s="12"/>
      <c r="HHW177" s="11"/>
      <c r="HHX177" s="12"/>
      <c r="HIG177" s="11"/>
      <c r="HIH177" s="12"/>
      <c r="HIQ177" s="11"/>
      <c r="HIR177" s="12"/>
      <c r="HJA177" s="11"/>
      <c r="HJB177" s="12"/>
      <c r="HJK177" s="11"/>
      <c r="HJL177" s="12"/>
      <c r="HJU177" s="11"/>
      <c r="HJV177" s="12"/>
      <c r="HKE177" s="11"/>
      <c r="HKF177" s="12"/>
      <c r="HKO177" s="11"/>
      <c r="HKP177" s="12"/>
      <c r="HKY177" s="11"/>
      <c r="HKZ177" s="12"/>
      <c r="HLI177" s="11"/>
      <c r="HLJ177" s="12"/>
      <c r="HLS177" s="11"/>
      <c r="HLT177" s="12"/>
      <c r="HMC177" s="11"/>
      <c r="HMD177" s="12"/>
      <c r="HMM177" s="11"/>
      <c r="HMN177" s="12"/>
      <c r="HMW177" s="11"/>
      <c r="HMX177" s="12"/>
      <c r="HNG177" s="11"/>
      <c r="HNH177" s="12"/>
      <c r="HNQ177" s="11"/>
      <c r="HNR177" s="12"/>
      <c r="HOA177" s="11"/>
      <c r="HOB177" s="12"/>
      <c r="HOK177" s="11"/>
      <c r="HOL177" s="12"/>
      <c r="HOU177" s="11"/>
      <c r="HOV177" s="12"/>
      <c r="HPE177" s="11"/>
      <c r="HPF177" s="12"/>
      <c r="HPO177" s="11"/>
      <c r="HPP177" s="12"/>
      <c r="HPY177" s="11"/>
      <c r="HPZ177" s="12"/>
      <c r="HQI177" s="11"/>
      <c r="HQJ177" s="12"/>
      <c r="HQS177" s="11"/>
      <c r="HQT177" s="12"/>
      <c r="HRC177" s="11"/>
      <c r="HRD177" s="12"/>
      <c r="HRM177" s="11"/>
      <c r="HRN177" s="12"/>
      <c r="HRW177" s="11"/>
      <c r="HRX177" s="12"/>
      <c r="HSG177" s="11"/>
      <c r="HSH177" s="12"/>
      <c r="HSQ177" s="11"/>
      <c r="HSR177" s="12"/>
      <c r="HTA177" s="11"/>
      <c r="HTB177" s="12"/>
      <c r="HTK177" s="11"/>
      <c r="HTL177" s="12"/>
      <c r="HTU177" s="11"/>
      <c r="HTV177" s="12"/>
      <c r="HUE177" s="11"/>
      <c r="HUF177" s="12"/>
      <c r="HUO177" s="11"/>
      <c r="HUP177" s="12"/>
      <c r="HUY177" s="11"/>
      <c r="HUZ177" s="12"/>
      <c r="HVI177" s="11"/>
      <c r="HVJ177" s="12"/>
      <c r="HVS177" s="11"/>
      <c r="HVT177" s="12"/>
      <c r="HWC177" s="11"/>
      <c r="HWD177" s="12"/>
      <c r="HWM177" s="11"/>
      <c r="HWN177" s="12"/>
      <c r="HWW177" s="11"/>
      <c r="HWX177" s="12"/>
      <c r="HXG177" s="11"/>
      <c r="HXH177" s="12"/>
      <c r="HXQ177" s="11"/>
      <c r="HXR177" s="12"/>
      <c r="HYA177" s="11"/>
      <c r="HYB177" s="12"/>
      <c r="HYK177" s="11"/>
      <c r="HYL177" s="12"/>
      <c r="HYU177" s="11"/>
      <c r="HYV177" s="12"/>
      <c r="HZE177" s="11"/>
      <c r="HZF177" s="12"/>
      <c r="HZO177" s="11"/>
      <c r="HZP177" s="12"/>
      <c r="HZY177" s="11"/>
      <c r="HZZ177" s="12"/>
      <c r="IAI177" s="11"/>
      <c r="IAJ177" s="12"/>
      <c r="IAS177" s="11"/>
      <c r="IAT177" s="12"/>
      <c r="IBC177" s="11"/>
      <c r="IBD177" s="12"/>
      <c r="IBM177" s="11"/>
      <c r="IBN177" s="12"/>
      <c r="IBW177" s="11"/>
      <c r="IBX177" s="12"/>
      <c r="ICG177" s="11"/>
      <c r="ICH177" s="12"/>
      <c r="ICQ177" s="11"/>
      <c r="ICR177" s="12"/>
      <c r="IDA177" s="11"/>
      <c r="IDB177" s="12"/>
      <c r="IDK177" s="11"/>
      <c r="IDL177" s="12"/>
      <c r="IDU177" s="11"/>
      <c r="IDV177" s="12"/>
      <c r="IEE177" s="11"/>
      <c r="IEF177" s="12"/>
      <c r="IEO177" s="11"/>
      <c r="IEP177" s="12"/>
      <c r="IEY177" s="11"/>
      <c r="IEZ177" s="12"/>
      <c r="IFI177" s="11"/>
      <c r="IFJ177" s="12"/>
      <c r="IFS177" s="11"/>
      <c r="IFT177" s="12"/>
      <c r="IGC177" s="11"/>
      <c r="IGD177" s="12"/>
      <c r="IGM177" s="11"/>
      <c r="IGN177" s="12"/>
      <c r="IGW177" s="11"/>
      <c r="IGX177" s="12"/>
      <c r="IHG177" s="11"/>
      <c r="IHH177" s="12"/>
      <c r="IHQ177" s="11"/>
      <c r="IHR177" s="12"/>
      <c r="IIA177" s="11"/>
      <c r="IIB177" s="12"/>
      <c r="IIK177" s="11"/>
      <c r="IIL177" s="12"/>
      <c r="IIU177" s="11"/>
      <c r="IIV177" s="12"/>
      <c r="IJE177" s="11"/>
      <c r="IJF177" s="12"/>
      <c r="IJO177" s="11"/>
      <c r="IJP177" s="12"/>
      <c r="IJY177" s="11"/>
      <c r="IJZ177" s="12"/>
      <c r="IKI177" s="11"/>
      <c r="IKJ177" s="12"/>
      <c r="IKS177" s="11"/>
      <c r="IKT177" s="12"/>
      <c r="ILC177" s="11"/>
      <c r="ILD177" s="12"/>
      <c r="ILM177" s="11"/>
      <c r="ILN177" s="12"/>
      <c r="ILW177" s="11"/>
      <c r="ILX177" s="12"/>
      <c r="IMG177" s="11"/>
      <c r="IMH177" s="12"/>
      <c r="IMQ177" s="11"/>
      <c r="IMR177" s="12"/>
      <c r="INA177" s="11"/>
      <c r="INB177" s="12"/>
      <c r="INK177" s="11"/>
      <c r="INL177" s="12"/>
      <c r="INU177" s="11"/>
      <c r="INV177" s="12"/>
      <c r="IOE177" s="11"/>
      <c r="IOF177" s="12"/>
      <c r="IOO177" s="11"/>
      <c r="IOP177" s="12"/>
      <c r="IOY177" s="11"/>
      <c r="IOZ177" s="12"/>
      <c r="IPI177" s="11"/>
      <c r="IPJ177" s="12"/>
      <c r="IPS177" s="11"/>
      <c r="IPT177" s="12"/>
      <c r="IQC177" s="11"/>
      <c r="IQD177" s="12"/>
      <c r="IQM177" s="11"/>
      <c r="IQN177" s="12"/>
      <c r="IQW177" s="11"/>
      <c r="IQX177" s="12"/>
      <c r="IRG177" s="11"/>
      <c r="IRH177" s="12"/>
      <c r="IRQ177" s="11"/>
      <c r="IRR177" s="12"/>
      <c r="ISA177" s="11"/>
      <c r="ISB177" s="12"/>
      <c r="ISK177" s="11"/>
      <c r="ISL177" s="12"/>
      <c r="ISU177" s="11"/>
      <c r="ISV177" s="12"/>
      <c r="ITE177" s="11"/>
      <c r="ITF177" s="12"/>
      <c r="ITO177" s="11"/>
      <c r="ITP177" s="12"/>
      <c r="ITY177" s="11"/>
      <c r="ITZ177" s="12"/>
      <c r="IUI177" s="11"/>
      <c r="IUJ177" s="12"/>
      <c r="IUS177" s="11"/>
      <c r="IUT177" s="12"/>
      <c r="IVC177" s="11"/>
      <c r="IVD177" s="12"/>
      <c r="IVM177" s="11"/>
      <c r="IVN177" s="12"/>
      <c r="IVW177" s="11"/>
      <c r="IVX177" s="12"/>
      <c r="IWG177" s="11"/>
      <c r="IWH177" s="12"/>
      <c r="IWQ177" s="11"/>
      <c r="IWR177" s="12"/>
      <c r="IXA177" s="11"/>
      <c r="IXB177" s="12"/>
      <c r="IXK177" s="11"/>
      <c r="IXL177" s="12"/>
      <c r="IXU177" s="11"/>
      <c r="IXV177" s="12"/>
      <c r="IYE177" s="11"/>
      <c r="IYF177" s="12"/>
      <c r="IYO177" s="11"/>
      <c r="IYP177" s="12"/>
      <c r="IYY177" s="11"/>
      <c r="IYZ177" s="12"/>
      <c r="IZI177" s="11"/>
      <c r="IZJ177" s="12"/>
      <c r="IZS177" s="11"/>
      <c r="IZT177" s="12"/>
      <c r="JAC177" s="11"/>
      <c r="JAD177" s="12"/>
      <c r="JAM177" s="11"/>
      <c r="JAN177" s="12"/>
      <c r="JAW177" s="11"/>
      <c r="JAX177" s="12"/>
      <c r="JBG177" s="11"/>
      <c r="JBH177" s="12"/>
      <c r="JBQ177" s="11"/>
      <c r="JBR177" s="12"/>
      <c r="JCA177" s="11"/>
      <c r="JCB177" s="12"/>
      <c r="JCK177" s="11"/>
      <c r="JCL177" s="12"/>
      <c r="JCU177" s="11"/>
      <c r="JCV177" s="12"/>
      <c r="JDE177" s="11"/>
      <c r="JDF177" s="12"/>
      <c r="JDO177" s="11"/>
      <c r="JDP177" s="12"/>
      <c r="JDY177" s="11"/>
      <c r="JDZ177" s="12"/>
      <c r="JEI177" s="11"/>
      <c r="JEJ177" s="12"/>
      <c r="JES177" s="11"/>
      <c r="JET177" s="12"/>
      <c r="JFC177" s="11"/>
      <c r="JFD177" s="12"/>
      <c r="JFM177" s="11"/>
      <c r="JFN177" s="12"/>
      <c r="JFW177" s="11"/>
      <c r="JFX177" s="12"/>
      <c r="JGG177" s="11"/>
      <c r="JGH177" s="12"/>
      <c r="JGQ177" s="11"/>
      <c r="JGR177" s="12"/>
      <c r="JHA177" s="11"/>
      <c r="JHB177" s="12"/>
      <c r="JHK177" s="11"/>
      <c r="JHL177" s="12"/>
      <c r="JHU177" s="11"/>
      <c r="JHV177" s="12"/>
      <c r="JIE177" s="11"/>
      <c r="JIF177" s="12"/>
      <c r="JIO177" s="11"/>
      <c r="JIP177" s="12"/>
      <c r="JIY177" s="11"/>
      <c r="JIZ177" s="12"/>
      <c r="JJI177" s="11"/>
      <c r="JJJ177" s="12"/>
      <c r="JJS177" s="11"/>
      <c r="JJT177" s="12"/>
      <c r="JKC177" s="11"/>
      <c r="JKD177" s="12"/>
      <c r="JKM177" s="11"/>
      <c r="JKN177" s="12"/>
      <c r="JKW177" s="11"/>
      <c r="JKX177" s="12"/>
      <c r="JLG177" s="11"/>
      <c r="JLH177" s="12"/>
      <c r="JLQ177" s="11"/>
      <c r="JLR177" s="12"/>
      <c r="JMA177" s="11"/>
      <c r="JMB177" s="12"/>
      <c r="JMK177" s="11"/>
      <c r="JML177" s="12"/>
      <c r="JMU177" s="11"/>
      <c r="JMV177" s="12"/>
      <c r="JNE177" s="11"/>
      <c r="JNF177" s="12"/>
      <c r="JNO177" s="11"/>
      <c r="JNP177" s="12"/>
      <c r="JNY177" s="11"/>
      <c r="JNZ177" s="12"/>
      <c r="JOI177" s="11"/>
      <c r="JOJ177" s="12"/>
      <c r="JOS177" s="11"/>
      <c r="JOT177" s="12"/>
      <c r="JPC177" s="11"/>
      <c r="JPD177" s="12"/>
      <c r="JPM177" s="11"/>
      <c r="JPN177" s="12"/>
      <c r="JPW177" s="11"/>
      <c r="JPX177" s="12"/>
      <c r="JQG177" s="11"/>
      <c r="JQH177" s="12"/>
      <c r="JQQ177" s="11"/>
      <c r="JQR177" s="12"/>
      <c r="JRA177" s="11"/>
      <c r="JRB177" s="12"/>
      <c r="JRK177" s="11"/>
      <c r="JRL177" s="12"/>
      <c r="JRU177" s="11"/>
      <c r="JRV177" s="12"/>
      <c r="JSE177" s="11"/>
      <c r="JSF177" s="12"/>
      <c r="JSO177" s="11"/>
      <c r="JSP177" s="12"/>
      <c r="JSY177" s="11"/>
      <c r="JSZ177" s="12"/>
      <c r="JTI177" s="11"/>
      <c r="JTJ177" s="12"/>
      <c r="JTS177" s="11"/>
      <c r="JTT177" s="12"/>
      <c r="JUC177" s="11"/>
      <c r="JUD177" s="12"/>
      <c r="JUM177" s="11"/>
      <c r="JUN177" s="12"/>
      <c r="JUW177" s="11"/>
      <c r="JUX177" s="12"/>
      <c r="JVG177" s="11"/>
      <c r="JVH177" s="12"/>
      <c r="JVQ177" s="11"/>
      <c r="JVR177" s="12"/>
      <c r="JWA177" s="11"/>
      <c r="JWB177" s="12"/>
      <c r="JWK177" s="11"/>
      <c r="JWL177" s="12"/>
      <c r="JWU177" s="11"/>
      <c r="JWV177" s="12"/>
      <c r="JXE177" s="11"/>
      <c r="JXF177" s="12"/>
      <c r="JXO177" s="11"/>
      <c r="JXP177" s="12"/>
      <c r="JXY177" s="11"/>
      <c r="JXZ177" s="12"/>
      <c r="JYI177" s="11"/>
      <c r="JYJ177" s="12"/>
      <c r="JYS177" s="11"/>
      <c r="JYT177" s="12"/>
      <c r="JZC177" s="11"/>
      <c r="JZD177" s="12"/>
      <c r="JZM177" s="11"/>
      <c r="JZN177" s="12"/>
      <c r="JZW177" s="11"/>
      <c r="JZX177" s="12"/>
      <c r="KAG177" s="11"/>
      <c r="KAH177" s="12"/>
      <c r="KAQ177" s="11"/>
      <c r="KAR177" s="12"/>
      <c r="KBA177" s="11"/>
      <c r="KBB177" s="12"/>
      <c r="KBK177" s="11"/>
      <c r="KBL177" s="12"/>
      <c r="KBU177" s="11"/>
      <c r="KBV177" s="12"/>
      <c r="KCE177" s="11"/>
      <c r="KCF177" s="12"/>
      <c r="KCO177" s="11"/>
      <c r="KCP177" s="12"/>
      <c r="KCY177" s="11"/>
      <c r="KCZ177" s="12"/>
      <c r="KDI177" s="11"/>
      <c r="KDJ177" s="12"/>
      <c r="KDS177" s="11"/>
      <c r="KDT177" s="12"/>
      <c r="KEC177" s="11"/>
      <c r="KED177" s="12"/>
      <c r="KEM177" s="11"/>
      <c r="KEN177" s="12"/>
      <c r="KEW177" s="11"/>
      <c r="KEX177" s="12"/>
      <c r="KFG177" s="11"/>
      <c r="KFH177" s="12"/>
      <c r="KFQ177" s="11"/>
      <c r="KFR177" s="12"/>
      <c r="KGA177" s="11"/>
      <c r="KGB177" s="12"/>
      <c r="KGK177" s="11"/>
      <c r="KGL177" s="12"/>
      <c r="KGU177" s="11"/>
      <c r="KGV177" s="12"/>
      <c r="KHE177" s="11"/>
      <c r="KHF177" s="12"/>
      <c r="KHO177" s="11"/>
      <c r="KHP177" s="12"/>
      <c r="KHY177" s="11"/>
      <c r="KHZ177" s="12"/>
      <c r="KII177" s="11"/>
      <c r="KIJ177" s="12"/>
      <c r="KIS177" s="11"/>
      <c r="KIT177" s="12"/>
      <c r="KJC177" s="11"/>
      <c r="KJD177" s="12"/>
      <c r="KJM177" s="11"/>
      <c r="KJN177" s="12"/>
      <c r="KJW177" s="11"/>
      <c r="KJX177" s="12"/>
      <c r="KKG177" s="11"/>
      <c r="KKH177" s="12"/>
      <c r="KKQ177" s="11"/>
      <c r="KKR177" s="12"/>
      <c r="KLA177" s="11"/>
      <c r="KLB177" s="12"/>
      <c r="KLK177" s="11"/>
      <c r="KLL177" s="12"/>
      <c r="KLU177" s="11"/>
      <c r="KLV177" s="12"/>
      <c r="KME177" s="11"/>
      <c r="KMF177" s="12"/>
      <c r="KMO177" s="11"/>
      <c r="KMP177" s="12"/>
      <c r="KMY177" s="11"/>
      <c r="KMZ177" s="12"/>
      <c r="KNI177" s="11"/>
      <c r="KNJ177" s="12"/>
      <c r="KNS177" s="11"/>
      <c r="KNT177" s="12"/>
      <c r="KOC177" s="11"/>
      <c r="KOD177" s="12"/>
      <c r="KOM177" s="11"/>
      <c r="KON177" s="12"/>
      <c r="KOW177" s="11"/>
      <c r="KOX177" s="12"/>
      <c r="KPG177" s="11"/>
      <c r="KPH177" s="12"/>
      <c r="KPQ177" s="11"/>
      <c r="KPR177" s="12"/>
      <c r="KQA177" s="11"/>
      <c r="KQB177" s="12"/>
      <c r="KQK177" s="11"/>
      <c r="KQL177" s="12"/>
      <c r="KQU177" s="11"/>
      <c r="KQV177" s="12"/>
      <c r="KRE177" s="11"/>
      <c r="KRF177" s="12"/>
      <c r="KRO177" s="11"/>
      <c r="KRP177" s="12"/>
      <c r="KRY177" s="11"/>
      <c r="KRZ177" s="12"/>
      <c r="KSI177" s="11"/>
      <c r="KSJ177" s="12"/>
      <c r="KSS177" s="11"/>
      <c r="KST177" s="12"/>
      <c r="KTC177" s="11"/>
      <c r="KTD177" s="12"/>
      <c r="KTM177" s="11"/>
      <c r="KTN177" s="12"/>
      <c r="KTW177" s="11"/>
      <c r="KTX177" s="12"/>
      <c r="KUG177" s="11"/>
      <c r="KUH177" s="12"/>
      <c r="KUQ177" s="11"/>
      <c r="KUR177" s="12"/>
      <c r="KVA177" s="11"/>
      <c r="KVB177" s="12"/>
      <c r="KVK177" s="11"/>
      <c r="KVL177" s="12"/>
      <c r="KVU177" s="11"/>
      <c r="KVV177" s="12"/>
      <c r="KWE177" s="11"/>
      <c r="KWF177" s="12"/>
      <c r="KWO177" s="11"/>
      <c r="KWP177" s="12"/>
      <c r="KWY177" s="11"/>
      <c r="KWZ177" s="12"/>
      <c r="KXI177" s="11"/>
      <c r="KXJ177" s="12"/>
      <c r="KXS177" s="11"/>
      <c r="KXT177" s="12"/>
      <c r="KYC177" s="11"/>
      <c r="KYD177" s="12"/>
      <c r="KYM177" s="11"/>
      <c r="KYN177" s="12"/>
      <c r="KYW177" s="11"/>
      <c r="KYX177" s="12"/>
      <c r="KZG177" s="11"/>
      <c r="KZH177" s="12"/>
      <c r="KZQ177" s="11"/>
      <c r="KZR177" s="12"/>
      <c r="LAA177" s="11"/>
      <c r="LAB177" s="12"/>
      <c r="LAK177" s="11"/>
      <c r="LAL177" s="12"/>
      <c r="LAU177" s="11"/>
      <c r="LAV177" s="12"/>
      <c r="LBE177" s="11"/>
      <c r="LBF177" s="12"/>
      <c r="LBO177" s="11"/>
      <c r="LBP177" s="12"/>
      <c r="LBY177" s="11"/>
      <c r="LBZ177" s="12"/>
      <c r="LCI177" s="11"/>
      <c r="LCJ177" s="12"/>
      <c r="LCS177" s="11"/>
      <c r="LCT177" s="12"/>
      <c r="LDC177" s="11"/>
      <c r="LDD177" s="12"/>
      <c r="LDM177" s="11"/>
      <c r="LDN177" s="12"/>
      <c r="LDW177" s="11"/>
      <c r="LDX177" s="12"/>
      <c r="LEG177" s="11"/>
      <c r="LEH177" s="12"/>
      <c r="LEQ177" s="11"/>
      <c r="LER177" s="12"/>
      <c r="LFA177" s="11"/>
      <c r="LFB177" s="12"/>
      <c r="LFK177" s="11"/>
      <c r="LFL177" s="12"/>
      <c r="LFU177" s="11"/>
      <c r="LFV177" s="12"/>
      <c r="LGE177" s="11"/>
      <c r="LGF177" s="12"/>
      <c r="LGO177" s="11"/>
      <c r="LGP177" s="12"/>
      <c r="LGY177" s="11"/>
      <c r="LGZ177" s="12"/>
      <c r="LHI177" s="11"/>
      <c r="LHJ177" s="12"/>
      <c r="LHS177" s="11"/>
      <c r="LHT177" s="12"/>
      <c r="LIC177" s="11"/>
      <c r="LID177" s="12"/>
      <c r="LIM177" s="11"/>
      <c r="LIN177" s="12"/>
      <c r="LIW177" s="11"/>
      <c r="LIX177" s="12"/>
      <c r="LJG177" s="11"/>
      <c r="LJH177" s="12"/>
      <c r="LJQ177" s="11"/>
      <c r="LJR177" s="12"/>
      <c r="LKA177" s="11"/>
      <c r="LKB177" s="12"/>
      <c r="LKK177" s="11"/>
      <c r="LKL177" s="12"/>
      <c r="LKU177" s="11"/>
      <c r="LKV177" s="12"/>
      <c r="LLE177" s="11"/>
      <c r="LLF177" s="12"/>
      <c r="LLO177" s="11"/>
      <c r="LLP177" s="12"/>
      <c r="LLY177" s="11"/>
      <c r="LLZ177" s="12"/>
      <c r="LMI177" s="11"/>
      <c r="LMJ177" s="12"/>
      <c r="LMS177" s="11"/>
      <c r="LMT177" s="12"/>
      <c r="LNC177" s="11"/>
      <c r="LND177" s="12"/>
      <c r="LNM177" s="11"/>
      <c r="LNN177" s="12"/>
      <c r="LNW177" s="11"/>
      <c r="LNX177" s="12"/>
      <c r="LOG177" s="11"/>
      <c r="LOH177" s="12"/>
      <c r="LOQ177" s="11"/>
      <c r="LOR177" s="12"/>
      <c r="LPA177" s="11"/>
      <c r="LPB177" s="12"/>
      <c r="LPK177" s="11"/>
      <c r="LPL177" s="12"/>
      <c r="LPU177" s="11"/>
      <c r="LPV177" s="12"/>
      <c r="LQE177" s="11"/>
      <c r="LQF177" s="12"/>
      <c r="LQO177" s="11"/>
      <c r="LQP177" s="12"/>
      <c r="LQY177" s="11"/>
      <c r="LQZ177" s="12"/>
      <c r="LRI177" s="11"/>
      <c r="LRJ177" s="12"/>
      <c r="LRS177" s="11"/>
      <c r="LRT177" s="12"/>
      <c r="LSC177" s="11"/>
      <c r="LSD177" s="12"/>
      <c r="LSM177" s="11"/>
      <c r="LSN177" s="12"/>
      <c r="LSW177" s="11"/>
      <c r="LSX177" s="12"/>
      <c r="LTG177" s="11"/>
      <c r="LTH177" s="12"/>
      <c r="LTQ177" s="11"/>
      <c r="LTR177" s="12"/>
      <c r="LUA177" s="11"/>
      <c r="LUB177" s="12"/>
      <c r="LUK177" s="11"/>
      <c r="LUL177" s="12"/>
      <c r="LUU177" s="11"/>
      <c r="LUV177" s="12"/>
      <c r="LVE177" s="11"/>
      <c r="LVF177" s="12"/>
      <c r="LVO177" s="11"/>
      <c r="LVP177" s="12"/>
      <c r="LVY177" s="11"/>
      <c r="LVZ177" s="12"/>
      <c r="LWI177" s="11"/>
      <c r="LWJ177" s="12"/>
      <c r="LWS177" s="11"/>
      <c r="LWT177" s="12"/>
      <c r="LXC177" s="11"/>
      <c r="LXD177" s="12"/>
      <c r="LXM177" s="11"/>
      <c r="LXN177" s="12"/>
      <c r="LXW177" s="11"/>
      <c r="LXX177" s="12"/>
      <c r="LYG177" s="11"/>
      <c r="LYH177" s="12"/>
      <c r="LYQ177" s="11"/>
      <c r="LYR177" s="12"/>
      <c r="LZA177" s="11"/>
      <c r="LZB177" s="12"/>
      <c r="LZK177" s="11"/>
      <c r="LZL177" s="12"/>
      <c r="LZU177" s="11"/>
      <c r="LZV177" s="12"/>
      <c r="MAE177" s="11"/>
      <c r="MAF177" s="12"/>
      <c r="MAO177" s="11"/>
      <c r="MAP177" s="12"/>
      <c r="MAY177" s="11"/>
      <c r="MAZ177" s="12"/>
      <c r="MBI177" s="11"/>
      <c r="MBJ177" s="12"/>
      <c r="MBS177" s="11"/>
      <c r="MBT177" s="12"/>
      <c r="MCC177" s="11"/>
      <c r="MCD177" s="12"/>
      <c r="MCM177" s="11"/>
      <c r="MCN177" s="12"/>
      <c r="MCW177" s="11"/>
      <c r="MCX177" s="12"/>
      <c r="MDG177" s="11"/>
      <c r="MDH177" s="12"/>
      <c r="MDQ177" s="11"/>
      <c r="MDR177" s="12"/>
      <c r="MEA177" s="11"/>
      <c r="MEB177" s="12"/>
      <c r="MEK177" s="11"/>
      <c r="MEL177" s="12"/>
      <c r="MEU177" s="11"/>
      <c r="MEV177" s="12"/>
      <c r="MFE177" s="11"/>
      <c r="MFF177" s="12"/>
      <c r="MFO177" s="11"/>
      <c r="MFP177" s="12"/>
      <c r="MFY177" s="11"/>
      <c r="MFZ177" s="12"/>
      <c r="MGI177" s="11"/>
      <c r="MGJ177" s="12"/>
      <c r="MGS177" s="11"/>
      <c r="MGT177" s="12"/>
      <c r="MHC177" s="11"/>
      <c r="MHD177" s="12"/>
      <c r="MHM177" s="11"/>
      <c r="MHN177" s="12"/>
      <c r="MHW177" s="11"/>
      <c r="MHX177" s="12"/>
      <c r="MIG177" s="11"/>
      <c r="MIH177" s="12"/>
      <c r="MIQ177" s="11"/>
      <c r="MIR177" s="12"/>
      <c r="MJA177" s="11"/>
      <c r="MJB177" s="12"/>
      <c r="MJK177" s="11"/>
      <c r="MJL177" s="12"/>
      <c r="MJU177" s="11"/>
      <c r="MJV177" s="12"/>
      <c r="MKE177" s="11"/>
      <c r="MKF177" s="12"/>
      <c r="MKO177" s="11"/>
      <c r="MKP177" s="12"/>
      <c r="MKY177" s="11"/>
      <c r="MKZ177" s="12"/>
      <c r="MLI177" s="11"/>
      <c r="MLJ177" s="12"/>
      <c r="MLS177" s="11"/>
      <c r="MLT177" s="12"/>
      <c r="MMC177" s="11"/>
      <c r="MMD177" s="12"/>
      <c r="MMM177" s="11"/>
      <c r="MMN177" s="12"/>
      <c r="MMW177" s="11"/>
      <c r="MMX177" s="12"/>
      <c r="MNG177" s="11"/>
      <c r="MNH177" s="12"/>
      <c r="MNQ177" s="11"/>
      <c r="MNR177" s="12"/>
      <c r="MOA177" s="11"/>
      <c r="MOB177" s="12"/>
      <c r="MOK177" s="11"/>
      <c r="MOL177" s="12"/>
      <c r="MOU177" s="11"/>
      <c r="MOV177" s="12"/>
      <c r="MPE177" s="11"/>
      <c r="MPF177" s="12"/>
      <c r="MPO177" s="11"/>
      <c r="MPP177" s="12"/>
      <c r="MPY177" s="11"/>
      <c r="MPZ177" s="12"/>
      <c r="MQI177" s="11"/>
      <c r="MQJ177" s="12"/>
      <c r="MQS177" s="11"/>
      <c r="MQT177" s="12"/>
      <c r="MRC177" s="11"/>
      <c r="MRD177" s="12"/>
      <c r="MRM177" s="11"/>
      <c r="MRN177" s="12"/>
      <c r="MRW177" s="11"/>
      <c r="MRX177" s="12"/>
      <c r="MSG177" s="11"/>
      <c r="MSH177" s="12"/>
      <c r="MSQ177" s="11"/>
      <c r="MSR177" s="12"/>
      <c r="MTA177" s="11"/>
      <c r="MTB177" s="12"/>
      <c r="MTK177" s="11"/>
      <c r="MTL177" s="12"/>
      <c r="MTU177" s="11"/>
      <c r="MTV177" s="12"/>
      <c r="MUE177" s="11"/>
      <c r="MUF177" s="12"/>
      <c r="MUO177" s="11"/>
      <c r="MUP177" s="12"/>
      <c r="MUY177" s="11"/>
      <c r="MUZ177" s="12"/>
      <c r="MVI177" s="11"/>
      <c r="MVJ177" s="12"/>
      <c r="MVS177" s="11"/>
      <c r="MVT177" s="12"/>
      <c r="MWC177" s="11"/>
      <c r="MWD177" s="12"/>
      <c r="MWM177" s="11"/>
      <c r="MWN177" s="12"/>
      <c r="MWW177" s="11"/>
      <c r="MWX177" s="12"/>
      <c r="MXG177" s="11"/>
      <c r="MXH177" s="12"/>
      <c r="MXQ177" s="11"/>
      <c r="MXR177" s="12"/>
      <c r="MYA177" s="11"/>
      <c r="MYB177" s="12"/>
      <c r="MYK177" s="11"/>
      <c r="MYL177" s="12"/>
      <c r="MYU177" s="11"/>
      <c r="MYV177" s="12"/>
      <c r="MZE177" s="11"/>
      <c r="MZF177" s="12"/>
      <c r="MZO177" s="11"/>
      <c r="MZP177" s="12"/>
      <c r="MZY177" s="11"/>
      <c r="MZZ177" s="12"/>
      <c r="NAI177" s="11"/>
      <c r="NAJ177" s="12"/>
      <c r="NAS177" s="11"/>
      <c r="NAT177" s="12"/>
      <c r="NBC177" s="11"/>
      <c r="NBD177" s="12"/>
      <c r="NBM177" s="11"/>
      <c r="NBN177" s="12"/>
      <c r="NBW177" s="11"/>
      <c r="NBX177" s="12"/>
      <c r="NCG177" s="11"/>
      <c r="NCH177" s="12"/>
      <c r="NCQ177" s="11"/>
      <c r="NCR177" s="12"/>
      <c r="NDA177" s="11"/>
      <c r="NDB177" s="12"/>
      <c r="NDK177" s="11"/>
      <c r="NDL177" s="12"/>
      <c r="NDU177" s="11"/>
      <c r="NDV177" s="12"/>
      <c r="NEE177" s="11"/>
      <c r="NEF177" s="12"/>
      <c r="NEO177" s="11"/>
      <c r="NEP177" s="12"/>
      <c r="NEY177" s="11"/>
      <c r="NEZ177" s="12"/>
      <c r="NFI177" s="11"/>
      <c r="NFJ177" s="12"/>
      <c r="NFS177" s="11"/>
      <c r="NFT177" s="12"/>
      <c r="NGC177" s="11"/>
      <c r="NGD177" s="12"/>
      <c r="NGM177" s="11"/>
      <c r="NGN177" s="12"/>
      <c r="NGW177" s="11"/>
      <c r="NGX177" s="12"/>
      <c r="NHG177" s="11"/>
      <c r="NHH177" s="12"/>
      <c r="NHQ177" s="11"/>
      <c r="NHR177" s="12"/>
      <c r="NIA177" s="11"/>
      <c r="NIB177" s="12"/>
      <c r="NIK177" s="11"/>
      <c r="NIL177" s="12"/>
      <c r="NIU177" s="11"/>
      <c r="NIV177" s="12"/>
      <c r="NJE177" s="11"/>
      <c r="NJF177" s="12"/>
      <c r="NJO177" s="11"/>
      <c r="NJP177" s="12"/>
      <c r="NJY177" s="11"/>
      <c r="NJZ177" s="12"/>
      <c r="NKI177" s="11"/>
      <c r="NKJ177" s="12"/>
      <c r="NKS177" s="11"/>
      <c r="NKT177" s="12"/>
      <c r="NLC177" s="11"/>
      <c r="NLD177" s="12"/>
      <c r="NLM177" s="11"/>
      <c r="NLN177" s="12"/>
      <c r="NLW177" s="11"/>
      <c r="NLX177" s="12"/>
      <c r="NMG177" s="11"/>
      <c r="NMH177" s="12"/>
      <c r="NMQ177" s="11"/>
      <c r="NMR177" s="12"/>
      <c r="NNA177" s="11"/>
      <c r="NNB177" s="12"/>
      <c r="NNK177" s="11"/>
      <c r="NNL177" s="12"/>
      <c r="NNU177" s="11"/>
      <c r="NNV177" s="12"/>
      <c r="NOE177" s="11"/>
      <c r="NOF177" s="12"/>
      <c r="NOO177" s="11"/>
      <c r="NOP177" s="12"/>
      <c r="NOY177" s="11"/>
      <c r="NOZ177" s="12"/>
      <c r="NPI177" s="11"/>
      <c r="NPJ177" s="12"/>
      <c r="NPS177" s="11"/>
      <c r="NPT177" s="12"/>
      <c r="NQC177" s="11"/>
      <c r="NQD177" s="12"/>
      <c r="NQM177" s="11"/>
      <c r="NQN177" s="12"/>
      <c r="NQW177" s="11"/>
      <c r="NQX177" s="12"/>
      <c r="NRG177" s="11"/>
      <c r="NRH177" s="12"/>
      <c r="NRQ177" s="11"/>
      <c r="NRR177" s="12"/>
      <c r="NSA177" s="11"/>
      <c r="NSB177" s="12"/>
      <c r="NSK177" s="11"/>
      <c r="NSL177" s="12"/>
      <c r="NSU177" s="11"/>
      <c r="NSV177" s="12"/>
      <c r="NTE177" s="11"/>
      <c r="NTF177" s="12"/>
      <c r="NTO177" s="11"/>
      <c r="NTP177" s="12"/>
      <c r="NTY177" s="11"/>
      <c r="NTZ177" s="12"/>
      <c r="NUI177" s="11"/>
      <c r="NUJ177" s="12"/>
      <c r="NUS177" s="11"/>
      <c r="NUT177" s="12"/>
      <c r="NVC177" s="11"/>
      <c r="NVD177" s="12"/>
      <c r="NVM177" s="11"/>
      <c r="NVN177" s="12"/>
      <c r="NVW177" s="11"/>
      <c r="NVX177" s="12"/>
      <c r="NWG177" s="11"/>
      <c r="NWH177" s="12"/>
      <c r="NWQ177" s="11"/>
      <c r="NWR177" s="12"/>
      <c r="NXA177" s="11"/>
      <c r="NXB177" s="12"/>
      <c r="NXK177" s="11"/>
      <c r="NXL177" s="12"/>
      <c r="NXU177" s="11"/>
      <c r="NXV177" s="12"/>
      <c r="NYE177" s="11"/>
      <c r="NYF177" s="12"/>
      <c r="NYO177" s="11"/>
      <c r="NYP177" s="12"/>
      <c r="NYY177" s="11"/>
      <c r="NYZ177" s="12"/>
      <c r="NZI177" s="11"/>
      <c r="NZJ177" s="12"/>
      <c r="NZS177" s="11"/>
      <c r="NZT177" s="12"/>
      <c r="OAC177" s="11"/>
      <c r="OAD177" s="12"/>
      <c r="OAM177" s="11"/>
      <c r="OAN177" s="12"/>
      <c r="OAW177" s="11"/>
      <c r="OAX177" s="12"/>
      <c r="OBG177" s="11"/>
      <c r="OBH177" s="12"/>
      <c r="OBQ177" s="11"/>
      <c r="OBR177" s="12"/>
      <c r="OCA177" s="11"/>
      <c r="OCB177" s="12"/>
      <c r="OCK177" s="11"/>
      <c r="OCL177" s="12"/>
      <c r="OCU177" s="11"/>
      <c r="OCV177" s="12"/>
      <c r="ODE177" s="11"/>
      <c r="ODF177" s="12"/>
      <c r="ODO177" s="11"/>
      <c r="ODP177" s="12"/>
      <c r="ODY177" s="11"/>
      <c r="ODZ177" s="12"/>
      <c r="OEI177" s="11"/>
      <c r="OEJ177" s="12"/>
      <c r="OES177" s="11"/>
      <c r="OET177" s="12"/>
      <c r="OFC177" s="11"/>
      <c r="OFD177" s="12"/>
      <c r="OFM177" s="11"/>
      <c r="OFN177" s="12"/>
      <c r="OFW177" s="11"/>
      <c r="OFX177" s="12"/>
      <c r="OGG177" s="11"/>
      <c r="OGH177" s="12"/>
      <c r="OGQ177" s="11"/>
      <c r="OGR177" s="12"/>
      <c r="OHA177" s="11"/>
      <c r="OHB177" s="12"/>
      <c r="OHK177" s="11"/>
      <c r="OHL177" s="12"/>
      <c r="OHU177" s="11"/>
      <c r="OHV177" s="12"/>
      <c r="OIE177" s="11"/>
      <c r="OIF177" s="12"/>
      <c r="OIO177" s="11"/>
      <c r="OIP177" s="12"/>
      <c r="OIY177" s="11"/>
      <c r="OIZ177" s="12"/>
      <c r="OJI177" s="11"/>
      <c r="OJJ177" s="12"/>
      <c r="OJS177" s="11"/>
      <c r="OJT177" s="12"/>
      <c r="OKC177" s="11"/>
      <c r="OKD177" s="12"/>
      <c r="OKM177" s="11"/>
      <c r="OKN177" s="12"/>
      <c r="OKW177" s="11"/>
      <c r="OKX177" s="12"/>
      <c r="OLG177" s="11"/>
      <c r="OLH177" s="12"/>
      <c r="OLQ177" s="11"/>
      <c r="OLR177" s="12"/>
      <c r="OMA177" s="11"/>
      <c r="OMB177" s="12"/>
      <c r="OMK177" s="11"/>
      <c r="OML177" s="12"/>
      <c r="OMU177" s="11"/>
      <c r="OMV177" s="12"/>
      <c r="ONE177" s="11"/>
      <c r="ONF177" s="12"/>
      <c r="ONO177" s="11"/>
      <c r="ONP177" s="12"/>
      <c r="ONY177" s="11"/>
      <c r="ONZ177" s="12"/>
      <c r="OOI177" s="11"/>
      <c r="OOJ177" s="12"/>
      <c r="OOS177" s="11"/>
      <c r="OOT177" s="12"/>
      <c r="OPC177" s="11"/>
      <c r="OPD177" s="12"/>
      <c r="OPM177" s="11"/>
      <c r="OPN177" s="12"/>
      <c r="OPW177" s="11"/>
      <c r="OPX177" s="12"/>
      <c r="OQG177" s="11"/>
      <c r="OQH177" s="12"/>
      <c r="OQQ177" s="11"/>
      <c r="OQR177" s="12"/>
      <c r="ORA177" s="11"/>
      <c r="ORB177" s="12"/>
      <c r="ORK177" s="11"/>
      <c r="ORL177" s="12"/>
      <c r="ORU177" s="11"/>
      <c r="ORV177" s="12"/>
      <c r="OSE177" s="11"/>
      <c r="OSF177" s="12"/>
      <c r="OSO177" s="11"/>
      <c r="OSP177" s="12"/>
      <c r="OSY177" s="11"/>
      <c r="OSZ177" s="12"/>
      <c r="OTI177" s="11"/>
      <c r="OTJ177" s="12"/>
      <c r="OTS177" s="11"/>
      <c r="OTT177" s="12"/>
      <c r="OUC177" s="11"/>
      <c r="OUD177" s="12"/>
      <c r="OUM177" s="11"/>
      <c r="OUN177" s="12"/>
      <c r="OUW177" s="11"/>
      <c r="OUX177" s="12"/>
      <c r="OVG177" s="11"/>
      <c r="OVH177" s="12"/>
      <c r="OVQ177" s="11"/>
      <c r="OVR177" s="12"/>
      <c r="OWA177" s="11"/>
      <c r="OWB177" s="12"/>
      <c r="OWK177" s="11"/>
      <c r="OWL177" s="12"/>
      <c r="OWU177" s="11"/>
      <c r="OWV177" s="12"/>
      <c r="OXE177" s="11"/>
      <c r="OXF177" s="12"/>
      <c r="OXO177" s="11"/>
      <c r="OXP177" s="12"/>
      <c r="OXY177" s="11"/>
      <c r="OXZ177" s="12"/>
      <c r="OYI177" s="11"/>
      <c r="OYJ177" s="12"/>
      <c r="OYS177" s="11"/>
      <c r="OYT177" s="12"/>
      <c r="OZC177" s="11"/>
      <c r="OZD177" s="12"/>
      <c r="OZM177" s="11"/>
      <c r="OZN177" s="12"/>
      <c r="OZW177" s="11"/>
      <c r="OZX177" s="12"/>
      <c r="PAG177" s="11"/>
      <c r="PAH177" s="12"/>
      <c r="PAQ177" s="11"/>
      <c r="PAR177" s="12"/>
      <c r="PBA177" s="11"/>
      <c r="PBB177" s="12"/>
      <c r="PBK177" s="11"/>
      <c r="PBL177" s="12"/>
      <c r="PBU177" s="11"/>
      <c r="PBV177" s="12"/>
      <c r="PCE177" s="11"/>
      <c r="PCF177" s="12"/>
      <c r="PCO177" s="11"/>
      <c r="PCP177" s="12"/>
      <c r="PCY177" s="11"/>
      <c r="PCZ177" s="12"/>
      <c r="PDI177" s="11"/>
      <c r="PDJ177" s="12"/>
      <c r="PDS177" s="11"/>
      <c r="PDT177" s="12"/>
      <c r="PEC177" s="11"/>
      <c r="PED177" s="12"/>
      <c r="PEM177" s="11"/>
      <c r="PEN177" s="12"/>
      <c r="PEW177" s="11"/>
      <c r="PEX177" s="12"/>
      <c r="PFG177" s="11"/>
      <c r="PFH177" s="12"/>
      <c r="PFQ177" s="11"/>
      <c r="PFR177" s="12"/>
      <c r="PGA177" s="11"/>
      <c r="PGB177" s="12"/>
      <c r="PGK177" s="11"/>
      <c r="PGL177" s="12"/>
      <c r="PGU177" s="11"/>
      <c r="PGV177" s="12"/>
      <c r="PHE177" s="11"/>
      <c r="PHF177" s="12"/>
      <c r="PHO177" s="11"/>
      <c r="PHP177" s="12"/>
      <c r="PHY177" s="11"/>
      <c r="PHZ177" s="12"/>
      <c r="PII177" s="11"/>
      <c r="PIJ177" s="12"/>
      <c r="PIS177" s="11"/>
      <c r="PIT177" s="12"/>
      <c r="PJC177" s="11"/>
      <c r="PJD177" s="12"/>
      <c r="PJM177" s="11"/>
      <c r="PJN177" s="12"/>
      <c r="PJW177" s="11"/>
      <c r="PJX177" s="12"/>
      <c r="PKG177" s="11"/>
      <c r="PKH177" s="12"/>
      <c r="PKQ177" s="11"/>
      <c r="PKR177" s="12"/>
      <c r="PLA177" s="11"/>
      <c r="PLB177" s="12"/>
      <c r="PLK177" s="11"/>
      <c r="PLL177" s="12"/>
      <c r="PLU177" s="11"/>
      <c r="PLV177" s="12"/>
      <c r="PME177" s="11"/>
      <c r="PMF177" s="12"/>
      <c r="PMO177" s="11"/>
      <c r="PMP177" s="12"/>
      <c r="PMY177" s="11"/>
      <c r="PMZ177" s="12"/>
      <c r="PNI177" s="11"/>
      <c r="PNJ177" s="12"/>
      <c r="PNS177" s="11"/>
      <c r="PNT177" s="12"/>
      <c r="POC177" s="11"/>
      <c r="POD177" s="12"/>
      <c r="POM177" s="11"/>
      <c r="PON177" s="12"/>
      <c r="POW177" s="11"/>
      <c r="POX177" s="12"/>
      <c r="PPG177" s="11"/>
      <c r="PPH177" s="12"/>
      <c r="PPQ177" s="11"/>
      <c r="PPR177" s="12"/>
      <c r="PQA177" s="11"/>
      <c r="PQB177" s="12"/>
      <c r="PQK177" s="11"/>
      <c r="PQL177" s="12"/>
      <c r="PQU177" s="11"/>
      <c r="PQV177" s="12"/>
      <c r="PRE177" s="11"/>
      <c r="PRF177" s="12"/>
      <c r="PRO177" s="11"/>
      <c r="PRP177" s="12"/>
      <c r="PRY177" s="11"/>
      <c r="PRZ177" s="12"/>
      <c r="PSI177" s="11"/>
      <c r="PSJ177" s="12"/>
      <c r="PSS177" s="11"/>
      <c r="PST177" s="12"/>
      <c r="PTC177" s="11"/>
      <c r="PTD177" s="12"/>
      <c r="PTM177" s="11"/>
      <c r="PTN177" s="12"/>
      <c r="PTW177" s="11"/>
      <c r="PTX177" s="12"/>
      <c r="PUG177" s="11"/>
      <c r="PUH177" s="12"/>
      <c r="PUQ177" s="11"/>
      <c r="PUR177" s="12"/>
      <c r="PVA177" s="11"/>
      <c r="PVB177" s="12"/>
      <c r="PVK177" s="11"/>
      <c r="PVL177" s="12"/>
      <c r="PVU177" s="11"/>
      <c r="PVV177" s="12"/>
      <c r="PWE177" s="11"/>
      <c r="PWF177" s="12"/>
      <c r="PWO177" s="11"/>
      <c r="PWP177" s="12"/>
      <c r="PWY177" s="11"/>
      <c r="PWZ177" s="12"/>
      <c r="PXI177" s="11"/>
      <c r="PXJ177" s="12"/>
      <c r="PXS177" s="11"/>
      <c r="PXT177" s="12"/>
      <c r="PYC177" s="11"/>
      <c r="PYD177" s="12"/>
      <c r="PYM177" s="11"/>
      <c r="PYN177" s="12"/>
      <c r="PYW177" s="11"/>
      <c r="PYX177" s="12"/>
      <c r="PZG177" s="11"/>
      <c r="PZH177" s="12"/>
      <c r="PZQ177" s="11"/>
      <c r="PZR177" s="12"/>
      <c r="QAA177" s="11"/>
      <c r="QAB177" s="12"/>
      <c r="QAK177" s="11"/>
      <c r="QAL177" s="12"/>
      <c r="QAU177" s="11"/>
      <c r="QAV177" s="12"/>
      <c r="QBE177" s="11"/>
      <c r="QBF177" s="12"/>
      <c r="QBO177" s="11"/>
      <c r="QBP177" s="12"/>
      <c r="QBY177" s="11"/>
      <c r="QBZ177" s="12"/>
      <c r="QCI177" s="11"/>
      <c r="QCJ177" s="12"/>
      <c r="QCS177" s="11"/>
      <c r="QCT177" s="12"/>
      <c r="QDC177" s="11"/>
      <c r="QDD177" s="12"/>
      <c r="QDM177" s="11"/>
      <c r="QDN177" s="12"/>
      <c r="QDW177" s="11"/>
      <c r="QDX177" s="12"/>
      <c r="QEG177" s="11"/>
      <c r="QEH177" s="12"/>
      <c r="QEQ177" s="11"/>
      <c r="QER177" s="12"/>
      <c r="QFA177" s="11"/>
      <c r="QFB177" s="12"/>
      <c r="QFK177" s="11"/>
      <c r="QFL177" s="12"/>
      <c r="QFU177" s="11"/>
      <c r="QFV177" s="12"/>
      <c r="QGE177" s="11"/>
      <c r="QGF177" s="12"/>
      <c r="QGO177" s="11"/>
      <c r="QGP177" s="12"/>
      <c r="QGY177" s="11"/>
      <c r="QGZ177" s="12"/>
      <c r="QHI177" s="11"/>
      <c r="QHJ177" s="12"/>
      <c r="QHS177" s="11"/>
      <c r="QHT177" s="12"/>
      <c r="QIC177" s="11"/>
      <c r="QID177" s="12"/>
      <c r="QIM177" s="11"/>
      <c r="QIN177" s="12"/>
      <c r="QIW177" s="11"/>
      <c r="QIX177" s="12"/>
      <c r="QJG177" s="11"/>
      <c r="QJH177" s="12"/>
      <c r="QJQ177" s="11"/>
      <c r="QJR177" s="12"/>
      <c r="QKA177" s="11"/>
      <c r="QKB177" s="12"/>
      <c r="QKK177" s="11"/>
      <c r="QKL177" s="12"/>
      <c r="QKU177" s="11"/>
      <c r="QKV177" s="12"/>
      <c r="QLE177" s="11"/>
      <c r="QLF177" s="12"/>
      <c r="QLO177" s="11"/>
      <c r="QLP177" s="12"/>
      <c r="QLY177" s="11"/>
      <c r="QLZ177" s="12"/>
      <c r="QMI177" s="11"/>
      <c r="QMJ177" s="12"/>
      <c r="QMS177" s="11"/>
      <c r="QMT177" s="12"/>
      <c r="QNC177" s="11"/>
      <c r="QND177" s="12"/>
      <c r="QNM177" s="11"/>
      <c r="QNN177" s="12"/>
      <c r="QNW177" s="11"/>
      <c r="QNX177" s="12"/>
      <c r="QOG177" s="11"/>
      <c r="QOH177" s="12"/>
      <c r="QOQ177" s="11"/>
      <c r="QOR177" s="12"/>
      <c r="QPA177" s="11"/>
      <c r="QPB177" s="12"/>
      <c r="QPK177" s="11"/>
      <c r="QPL177" s="12"/>
      <c r="QPU177" s="11"/>
      <c r="QPV177" s="12"/>
      <c r="QQE177" s="11"/>
      <c r="QQF177" s="12"/>
      <c r="QQO177" s="11"/>
      <c r="QQP177" s="12"/>
      <c r="QQY177" s="11"/>
      <c r="QQZ177" s="12"/>
      <c r="QRI177" s="11"/>
      <c r="QRJ177" s="12"/>
      <c r="QRS177" s="11"/>
      <c r="QRT177" s="12"/>
      <c r="QSC177" s="11"/>
      <c r="QSD177" s="12"/>
      <c r="QSM177" s="11"/>
      <c r="QSN177" s="12"/>
      <c r="QSW177" s="11"/>
      <c r="QSX177" s="12"/>
      <c r="QTG177" s="11"/>
      <c r="QTH177" s="12"/>
      <c r="QTQ177" s="11"/>
      <c r="QTR177" s="12"/>
      <c r="QUA177" s="11"/>
      <c r="QUB177" s="12"/>
      <c r="QUK177" s="11"/>
      <c r="QUL177" s="12"/>
      <c r="QUU177" s="11"/>
      <c r="QUV177" s="12"/>
      <c r="QVE177" s="11"/>
      <c r="QVF177" s="12"/>
      <c r="QVO177" s="11"/>
      <c r="QVP177" s="12"/>
      <c r="QVY177" s="11"/>
      <c r="QVZ177" s="12"/>
      <c r="QWI177" s="11"/>
      <c r="QWJ177" s="12"/>
      <c r="QWS177" s="11"/>
      <c r="QWT177" s="12"/>
      <c r="QXC177" s="11"/>
      <c r="QXD177" s="12"/>
      <c r="QXM177" s="11"/>
      <c r="QXN177" s="12"/>
      <c r="QXW177" s="11"/>
      <c r="QXX177" s="12"/>
      <c r="QYG177" s="11"/>
      <c r="QYH177" s="12"/>
      <c r="QYQ177" s="11"/>
      <c r="QYR177" s="12"/>
      <c r="QZA177" s="11"/>
      <c r="QZB177" s="12"/>
      <c r="QZK177" s="11"/>
      <c r="QZL177" s="12"/>
      <c r="QZU177" s="11"/>
      <c r="QZV177" s="12"/>
      <c r="RAE177" s="11"/>
      <c r="RAF177" s="12"/>
      <c r="RAO177" s="11"/>
      <c r="RAP177" s="12"/>
      <c r="RAY177" s="11"/>
      <c r="RAZ177" s="12"/>
      <c r="RBI177" s="11"/>
      <c r="RBJ177" s="12"/>
      <c r="RBS177" s="11"/>
      <c r="RBT177" s="12"/>
      <c r="RCC177" s="11"/>
      <c r="RCD177" s="12"/>
      <c r="RCM177" s="11"/>
      <c r="RCN177" s="12"/>
      <c r="RCW177" s="11"/>
      <c r="RCX177" s="12"/>
      <c r="RDG177" s="11"/>
      <c r="RDH177" s="12"/>
      <c r="RDQ177" s="11"/>
      <c r="RDR177" s="12"/>
      <c r="REA177" s="11"/>
      <c r="REB177" s="12"/>
      <c r="REK177" s="11"/>
      <c r="REL177" s="12"/>
      <c r="REU177" s="11"/>
      <c r="REV177" s="12"/>
      <c r="RFE177" s="11"/>
      <c r="RFF177" s="12"/>
      <c r="RFO177" s="11"/>
      <c r="RFP177" s="12"/>
      <c r="RFY177" s="11"/>
      <c r="RFZ177" s="12"/>
      <c r="RGI177" s="11"/>
      <c r="RGJ177" s="12"/>
      <c r="RGS177" s="11"/>
      <c r="RGT177" s="12"/>
      <c r="RHC177" s="11"/>
      <c r="RHD177" s="12"/>
      <c r="RHM177" s="11"/>
      <c r="RHN177" s="12"/>
      <c r="RHW177" s="11"/>
      <c r="RHX177" s="12"/>
      <c r="RIG177" s="11"/>
      <c r="RIH177" s="12"/>
      <c r="RIQ177" s="11"/>
      <c r="RIR177" s="12"/>
      <c r="RJA177" s="11"/>
      <c r="RJB177" s="12"/>
      <c r="RJK177" s="11"/>
      <c r="RJL177" s="12"/>
      <c r="RJU177" s="11"/>
      <c r="RJV177" s="12"/>
      <c r="RKE177" s="11"/>
      <c r="RKF177" s="12"/>
      <c r="RKO177" s="11"/>
      <c r="RKP177" s="12"/>
      <c r="RKY177" s="11"/>
      <c r="RKZ177" s="12"/>
      <c r="RLI177" s="11"/>
      <c r="RLJ177" s="12"/>
      <c r="RLS177" s="11"/>
      <c r="RLT177" s="12"/>
      <c r="RMC177" s="11"/>
      <c r="RMD177" s="12"/>
      <c r="RMM177" s="11"/>
      <c r="RMN177" s="12"/>
      <c r="RMW177" s="11"/>
      <c r="RMX177" s="12"/>
      <c r="RNG177" s="11"/>
      <c r="RNH177" s="12"/>
      <c r="RNQ177" s="11"/>
      <c r="RNR177" s="12"/>
      <c r="ROA177" s="11"/>
      <c r="ROB177" s="12"/>
      <c r="ROK177" s="11"/>
      <c r="ROL177" s="12"/>
      <c r="ROU177" s="11"/>
      <c r="ROV177" s="12"/>
      <c r="RPE177" s="11"/>
      <c r="RPF177" s="12"/>
      <c r="RPO177" s="11"/>
      <c r="RPP177" s="12"/>
      <c r="RPY177" s="11"/>
      <c r="RPZ177" s="12"/>
      <c r="RQI177" s="11"/>
      <c r="RQJ177" s="12"/>
      <c r="RQS177" s="11"/>
      <c r="RQT177" s="12"/>
      <c r="RRC177" s="11"/>
      <c r="RRD177" s="12"/>
      <c r="RRM177" s="11"/>
      <c r="RRN177" s="12"/>
      <c r="RRW177" s="11"/>
      <c r="RRX177" s="12"/>
      <c r="RSG177" s="11"/>
      <c r="RSH177" s="12"/>
      <c r="RSQ177" s="11"/>
      <c r="RSR177" s="12"/>
      <c r="RTA177" s="11"/>
      <c r="RTB177" s="12"/>
      <c r="RTK177" s="11"/>
      <c r="RTL177" s="12"/>
      <c r="RTU177" s="11"/>
      <c r="RTV177" s="12"/>
      <c r="RUE177" s="11"/>
      <c r="RUF177" s="12"/>
      <c r="RUO177" s="11"/>
      <c r="RUP177" s="12"/>
      <c r="RUY177" s="11"/>
      <c r="RUZ177" s="12"/>
      <c r="RVI177" s="11"/>
      <c r="RVJ177" s="12"/>
      <c r="RVS177" s="11"/>
      <c r="RVT177" s="12"/>
      <c r="RWC177" s="11"/>
      <c r="RWD177" s="12"/>
      <c r="RWM177" s="11"/>
      <c r="RWN177" s="12"/>
      <c r="RWW177" s="11"/>
      <c r="RWX177" s="12"/>
      <c r="RXG177" s="11"/>
      <c r="RXH177" s="12"/>
      <c r="RXQ177" s="11"/>
      <c r="RXR177" s="12"/>
      <c r="RYA177" s="11"/>
      <c r="RYB177" s="12"/>
      <c r="RYK177" s="11"/>
      <c r="RYL177" s="12"/>
      <c r="RYU177" s="11"/>
      <c r="RYV177" s="12"/>
      <c r="RZE177" s="11"/>
      <c r="RZF177" s="12"/>
      <c r="RZO177" s="11"/>
      <c r="RZP177" s="12"/>
      <c r="RZY177" s="11"/>
      <c r="RZZ177" s="12"/>
      <c r="SAI177" s="11"/>
      <c r="SAJ177" s="12"/>
      <c r="SAS177" s="11"/>
      <c r="SAT177" s="12"/>
      <c r="SBC177" s="11"/>
      <c r="SBD177" s="12"/>
      <c r="SBM177" s="11"/>
      <c r="SBN177" s="12"/>
      <c r="SBW177" s="11"/>
      <c r="SBX177" s="12"/>
      <c r="SCG177" s="11"/>
      <c r="SCH177" s="12"/>
      <c r="SCQ177" s="11"/>
      <c r="SCR177" s="12"/>
      <c r="SDA177" s="11"/>
      <c r="SDB177" s="12"/>
      <c r="SDK177" s="11"/>
      <c r="SDL177" s="12"/>
      <c r="SDU177" s="11"/>
      <c r="SDV177" s="12"/>
      <c r="SEE177" s="11"/>
      <c r="SEF177" s="12"/>
      <c r="SEO177" s="11"/>
      <c r="SEP177" s="12"/>
      <c r="SEY177" s="11"/>
      <c r="SEZ177" s="12"/>
      <c r="SFI177" s="11"/>
      <c r="SFJ177" s="12"/>
      <c r="SFS177" s="11"/>
      <c r="SFT177" s="12"/>
      <c r="SGC177" s="11"/>
      <c r="SGD177" s="12"/>
      <c r="SGM177" s="11"/>
      <c r="SGN177" s="12"/>
      <c r="SGW177" s="11"/>
      <c r="SGX177" s="12"/>
      <c r="SHG177" s="11"/>
      <c r="SHH177" s="12"/>
      <c r="SHQ177" s="11"/>
      <c r="SHR177" s="12"/>
      <c r="SIA177" s="11"/>
      <c r="SIB177" s="12"/>
      <c r="SIK177" s="11"/>
      <c r="SIL177" s="12"/>
      <c r="SIU177" s="11"/>
      <c r="SIV177" s="12"/>
      <c r="SJE177" s="11"/>
      <c r="SJF177" s="12"/>
      <c r="SJO177" s="11"/>
      <c r="SJP177" s="12"/>
      <c r="SJY177" s="11"/>
      <c r="SJZ177" s="12"/>
      <c r="SKI177" s="11"/>
      <c r="SKJ177" s="12"/>
      <c r="SKS177" s="11"/>
      <c r="SKT177" s="12"/>
      <c r="SLC177" s="11"/>
      <c r="SLD177" s="12"/>
      <c r="SLM177" s="11"/>
      <c r="SLN177" s="12"/>
      <c r="SLW177" s="11"/>
      <c r="SLX177" s="12"/>
      <c r="SMG177" s="11"/>
      <c r="SMH177" s="12"/>
      <c r="SMQ177" s="11"/>
      <c r="SMR177" s="12"/>
      <c r="SNA177" s="11"/>
      <c r="SNB177" s="12"/>
      <c r="SNK177" s="11"/>
      <c r="SNL177" s="12"/>
      <c r="SNU177" s="11"/>
      <c r="SNV177" s="12"/>
      <c r="SOE177" s="11"/>
      <c r="SOF177" s="12"/>
      <c r="SOO177" s="11"/>
      <c r="SOP177" s="12"/>
      <c r="SOY177" s="11"/>
      <c r="SOZ177" s="12"/>
      <c r="SPI177" s="11"/>
      <c r="SPJ177" s="12"/>
      <c r="SPS177" s="11"/>
      <c r="SPT177" s="12"/>
      <c r="SQC177" s="11"/>
      <c r="SQD177" s="12"/>
      <c r="SQM177" s="11"/>
      <c r="SQN177" s="12"/>
      <c r="SQW177" s="11"/>
      <c r="SQX177" s="12"/>
      <c r="SRG177" s="11"/>
      <c r="SRH177" s="12"/>
      <c r="SRQ177" s="11"/>
      <c r="SRR177" s="12"/>
      <c r="SSA177" s="11"/>
      <c r="SSB177" s="12"/>
      <c r="SSK177" s="11"/>
      <c r="SSL177" s="12"/>
      <c r="SSU177" s="11"/>
      <c r="SSV177" s="12"/>
      <c r="STE177" s="11"/>
      <c r="STF177" s="12"/>
      <c r="STO177" s="11"/>
      <c r="STP177" s="12"/>
      <c r="STY177" s="11"/>
      <c r="STZ177" s="12"/>
      <c r="SUI177" s="11"/>
      <c r="SUJ177" s="12"/>
      <c r="SUS177" s="11"/>
      <c r="SUT177" s="12"/>
      <c r="SVC177" s="11"/>
      <c r="SVD177" s="12"/>
      <c r="SVM177" s="11"/>
      <c r="SVN177" s="12"/>
      <c r="SVW177" s="11"/>
      <c r="SVX177" s="12"/>
      <c r="SWG177" s="11"/>
      <c r="SWH177" s="12"/>
      <c r="SWQ177" s="11"/>
      <c r="SWR177" s="12"/>
      <c r="SXA177" s="11"/>
      <c r="SXB177" s="12"/>
      <c r="SXK177" s="11"/>
      <c r="SXL177" s="12"/>
      <c r="SXU177" s="11"/>
      <c r="SXV177" s="12"/>
      <c r="SYE177" s="11"/>
      <c r="SYF177" s="12"/>
      <c r="SYO177" s="11"/>
      <c r="SYP177" s="12"/>
      <c r="SYY177" s="11"/>
      <c r="SYZ177" s="12"/>
      <c r="SZI177" s="11"/>
      <c r="SZJ177" s="12"/>
      <c r="SZS177" s="11"/>
      <c r="SZT177" s="12"/>
      <c r="TAC177" s="11"/>
      <c r="TAD177" s="12"/>
      <c r="TAM177" s="11"/>
      <c r="TAN177" s="12"/>
      <c r="TAW177" s="11"/>
      <c r="TAX177" s="12"/>
      <c r="TBG177" s="11"/>
      <c r="TBH177" s="12"/>
      <c r="TBQ177" s="11"/>
      <c r="TBR177" s="12"/>
      <c r="TCA177" s="11"/>
      <c r="TCB177" s="12"/>
      <c r="TCK177" s="11"/>
      <c r="TCL177" s="12"/>
      <c r="TCU177" s="11"/>
      <c r="TCV177" s="12"/>
      <c r="TDE177" s="11"/>
      <c r="TDF177" s="12"/>
      <c r="TDO177" s="11"/>
      <c r="TDP177" s="12"/>
      <c r="TDY177" s="11"/>
      <c r="TDZ177" s="12"/>
      <c r="TEI177" s="11"/>
      <c r="TEJ177" s="12"/>
      <c r="TES177" s="11"/>
      <c r="TET177" s="12"/>
      <c r="TFC177" s="11"/>
      <c r="TFD177" s="12"/>
      <c r="TFM177" s="11"/>
      <c r="TFN177" s="12"/>
      <c r="TFW177" s="11"/>
      <c r="TFX177" s="12"/>
      <c r="TGG177" s="11"/>
      <c r="TGH177" s="12"/>
      <c r="TGQ177" s="11"/>
      <c r="TGR177" s="12"/>
      <c r="THA177" s="11"/>
      <c r="THB177" s="12"/>
      <c r="THK177" s="11"/>
      <c r="THL177" s="12"/>
      <c r="THU177" s="11"/>
      <c r="THV177" s="12"/>
      <c r="TIE177" s="11"/>
      <c r="TIF177" s="12"/>
      <c r="TIO177" s="11"/>
      <c r="TIP177" s="12"/>
      <c r="TIY177" s="11"/>
      <c r="TIZ177" s="12"/>
      <c r="TJI177" s="11"/>
      <c r="TJJ177" s="12"/>
      <c r="TJS177" s="11"/>
      <c r="TJT177" s="12"/>
      <c r="TKC177" s="11"/>
      <c r="TKD177" s="12"/>
      <c r="TKM177" s="11"/>
      <c r="TKN177" s="12"/>
      <c r="TKW177" s="11"/>
      <c r="TKX177" s="12"/>
      <c r="TLG177" s="11"/>
      <c r="TLH177" s="12"/>
      <c r="TLQ177" s="11"/>
      <c r="TLR177" s="12"/>
      <c r="TMA177" s="11"/>
      <c r="TMB177" s="12"/>
      <c r="TMK177" s="11"/>
      <c r="TML177" s="12"/>
      <c r="TMU177" s="11"/>
      <c r="TMV177" s="12"/>
      <c r="TNE177" s="11"/>
      <c r="TNF177" s="12"/>
      <c r="TNO177" s="11"/>
      <c r="TNP177" s="12"/>
      <c r="TNY177" s="11"/>
      <c r="TNZ177" s="12"/>
      <c r="TOI177" s="11"/>
      <c r="TOJ177" s="12"/>
      <c r="TOS177" s="11"/>
      <c r="TOT177" s="12"/>
      <c r="TPC177" s="11"/>
      <c r="TPD177" s="12"/>
      <c r="TPM177" s="11"/>
      <c r="TPN177" s="12"/>
      <c r="TPW177" s="11"/>
      <c r="TPX177" s="12"/>
      <c r="TQG177" s="11"/>
      <c r="TQH177" s="12"/>
      <c r="TQQ177" s="11"/>
      <c r="TQR177" s="12"/>
      <c r="TRA177" s="11"/>
      <c r="TRB177" s="12"/>
      <c r="TRK177" s="11"/>
      <c r="TRL177" s="12"/>
      <c r="TRU177" s="11"/>
      <c r="TRV177" s="12"/>
      <c r="TSE177" s="11"/>
      <c r="TSF177" s="12"/>
      <c r="TSO177" s="11"/>
      <c r="TSP177" s="12"/>
      <c r="TSY177" s="11"/>
      <c r="TSZ177" s="12"/>
      <c r="TTI177" s="11"/>
      <c r="TTJ177" s="12"/>
      <c r="TTS177" s="11"/>
      <c r="TTT177" s="12"/>
      <c r="TUC177" s="11"/>
      <c r="TUD177" s="12"/>
      <c r="TUM177" s="11"/>
      <c r="TUN177" s="12"/>
      <c r="TUW177" s="11"/>
      <c r="TUX177" s="12"/>
      <c r="TVG177" s="11"/>
      <c r="TVH177" s="12"/>
      <c r="TVQ177" s="11"/>
      <c r="TVR177" s="12"/>
      <c r="TWA177" s="11"/>
      <c r="TWB177" s="12"/>
      <c r="TWK177" s="11"/>
      <c r="TWL177" s="12"/>
      <c r="TWU177" s="11"/>
      <c r="TWV177" s="12"/>
      <c r="TXE177" s="11"/>
      <c r="TXF177" s="12"/>
      <c r="TXO177" s="11"/>
      <c r="TXP177" s="12"/>
      <c r="TXY177" s="11"/>
      <c r="TXZ177" s="12"/>
      <c r="TYI177" s="11"/>
      <c r="TYJ177" s="12"/>
      <c r="TYS177" s="11"/>
      <c r="TYT177" s="12"/>
      <c r="TZC177" s="11"/>
      <c r="TZD177" s="12"/>
      <c r="TZM177" s="11"/>
      <c r="TZN177" s="12"/>
      <c r="TZW177" s="11"/>
      <c r="TZX177" s="12"/>
      <c r="UAG177" s="11"/>
      <c r="UAH177" s="12"/>
      <c r="UAQ177" s="11"/>
      <c r="UAR177" s="12"/>
      <c r="UBA177" s="11"/>
      <c r="UBB177" s="12"/>
      <c r="UBK177" s="11"/>
      <c r="UBL177" s="12"/>
      <c r="UBU177" s="11"/>
      <c r="UBV177" s="12"/>
      <c r="UCE177" s="11"/>
      <c r="UCF177" s="12"/>
      <c r="UCO177" s="11"/>
      <c r="UCP177" s="12"/>
      <c r="UCY177" s="11"/>
      <c r="UCZ177" s="12"/>
      <c r="UDI177" s="11"/>
      <c r="UDJ177" s="12"/>
      <c r="UDS177" s="11"/>
      <c r="UDT177" s="12"/>
      <c r="UEC177" s="11"/>
      <c r="UED177" s="12"/>
      <c r="UEM177" s="11"/>
      <c r="UEN177" s="12"/>
      <c r="UEW177" s="11"/>
      <c r="UEX177" s="12"/>
      <c r="UFG177" s="11"/>
      <c r="UFH177" s="12"/>
      <c r="UFQ177" s="11"/>
      <c r="UFR177" s="12"/>
      <c r="UGA177" s="11"/>
      <c r="UGB177" s="12"/>
      <c r="UGK177" s="11"/>
      <c r="UGL177" s="12"/>
      <c r="UGU177" s="11"/>
      <c r="UGV177" s="12"/>
      <c r="UHE177" s="11"/>
      <c r="UHF177" s="12"/>
      <c r="UHO177" s="11"/>
      <c r="UHP177" s="12"/>
      <c r="UHY177" s="11"/>
      <c r="UHZ177" s="12"/>
      <c r="UII177" s="11"/>
      <c r="UIJ177" s="12"/>
      <c r="UIS177" s="11"/>
      <c r="UIT177" s="12"/>
      <c r="UJC177" s="11"/>
      <c r="UJD177" s="12"/>
      <c r="UJM177" s="11"/>
      <c r="UJN177" s="12"/>
      <c r="UJW177" s="11"/>
      <c r="UJX177" s="12"/>
      <c r="UKG177" s="11"/>
      <c r="UKH177" s="12"/>
      <c r="UKQ177" s="11"/>
      <c r="UKR177" s="12"/>
      <c r="ULA177" s="11"/>
      <c r="ULB177" s="12"/>
      <c r="ULK177" s="11"/>
      <c r="ULL177" s="12"/>
      <c r="ULU177" s="11"/>
      <c r="ULV177" s="12"/>
      <c r="UME177" s="11"/>
      <c r="UMF177" s="12"/>
      <c r="UMO177" s="11"/>
      <c r="UMP177" s="12"/>
      <c r="UMY177" s="11"/>
      <c r="UMZ177" s="12"/>
      <c r="UNI177" s="11"/>
      <c r="UNJ177" s="12"/>
      <c r="UNS177" s="11"/>
      <c r="UNT177" s="12"/>
      <c r="UOC177" s="11"/>
      <c r="UOD177" s="12"/>
      <c r="UOM177" s="11"/>
      <c r="UON177" s="12"/>
      <c r="UOW177" s="11"/>
      <c r="UOX177" s="12"/>
      <c r="UPG177" s="11"/>
      <c r="UPH177" s="12"/>
      <c r="UPQ177" s="11"/>
      <c r="UPR177" s="12"/>
      <c r="UQA177" s="11"/>
      <c r="UQB177" s="12"/>
      <c r="UQK177" s="11"/>
      <c r="UQL177" s="12"/>
      <c r="UQU177" s="11"/>
      <c r="UQV177" s="12"/>
      <c r="URE177" s="11"/>
      <c r="URF177" s="12"/>
      <c r="URO177" s="11"/>
      <c r="URP177" s="12"/>
      <c r="URY177" s="11"/>
      <c r="URZ177" s="12"/>
      <c r="USI177" s="11"/>
      <c r="USJ177" s="12"/>
      <c r="USS177" s="11"/>
      <c r="UST177" s="12"/>
      <c r="UTC177" s="11"/>
      <c r="UTD177" s="12"/>
      <c r="UTM177" s="11"/>
      <c r="UTN177" s="12"/>
      <c r="UTW177" s="11"/>
      <c r="UTX177" s="12"/>
      <c r="UUG177" s="11"/>
      <c r="UUH177" s="12"/>
      <c r="UUQ177" s="11"/>
      <c r="UUR177" s="12"/>
      <c r="UVA177" s="11"/>
      <c r="UVB177" s="12"/>
      <c r="UVK177" s="11"/>
      <c r="UVL177" s="12"/>
      <c r="UVU177" s="11"/>
      <c r="UVV177" s="12"/>
      <c r="UWE177" s="11"/>
      <c r="UWF177" s="12"/>
      <c r="UWO177" s="11"/>
      <c r="UWP177" s="12"/>
      <c r="UWY177" s="11"/>
      <c r="UWZ177" s="12"/>
      <c r="UXI177" s="11"/>
      <c r="UXJ177" s="12"/>
      <c r="UXS177" s="11"/>
      <c r="UXT177" s="12"/>
      <c r="UYC177" s="11"/>
      <c r="UYD177" s="12"/>
      <c r="UYM177" s="11"/>
      <c r="UYN177" s="12"/>
      <c r="UYW177" s="11"/>
      <c r="UYX177" s="12"/>
      <c r="UZG177" s="11"/>
      <c r="UZH177" s="12"/>
      <c r="UZQ177" s="11"/>
      <c r="UZR177" s="12"/>
      <c r="VAA177" s="11"/>
      <c r="VAB177" s="12"/>
      <c r="VAK177" s="11"/>
      <c r="VAL177" s="12"/>
      <c r="VAU177" s="11"/>
      <c r="VAV177" s="12"/>
      <c r="VBE177" s="11"/>
      <c r="VBF177" s="12"/>
      <c r="VBO177" s="11"/>
      <c r="VBP177" s="12"/>
      <c r="VBY177" s="11"/>
      <c r="VBZ177" s="12"/>
      <c r="VCI177" s="11"/>
      <c r="VCJ177" s="12"/>
      <c r="VCS177" s="11"/>
      <c r="VCT177" s="12"/>
      <c r="VDC177" s="11"/>
      <c r="VDD177" s="12"/>
      <c r="VDM177" s="11"/>
      <c r="VDN177" s="12"/>
      <c r="VDW177" s="11"/>
      <c r="VDX177" s="12"/>
      <c r="VEG177" s="11"/>
      <c r="VEH177" s="12"/>
      <c r="VEQ177" s="11"/>
      <c r="VER177" s="12"/>
      <c r="VFA177" s="11"/>
      <c r="VFB177" s="12"/>
      <c r="VFK177" s="11"/>
      <c r="VFL177" s="12"/>
      <c r="VFU177" s="11"/>
      <c r="VFV177" s="12"/>
      <c r="VGE177" s="11"/>
      <c r="VGF177" s="12"/>
      <c r="VGO177" s="11"/>
      <c r="VGP177" s="12"/>
      <c r="VGY177" s="11"/>
      <c r="VGZ177" s="12"/>
      <c r="VHI177" s="11"/>
      <c r="VHJ177" s="12"/>
      <c r="VHS177" s="11"/>
      <c r="VHT177" s="12"/>
      <c r="VIC177" s="11"/>
      <c r="VID177" s="12"/>
      <c r="VIM177" s="11"/>
      <c r="VIN177" s="12"/>
      <c r="VIW177" s="11"/>
      <c r="VIX177" s="12"/>
      <c r="VJG177" s="11"/>
      <c r="VJH177" s="12"/>
      <c r="VJQ177" s="11"/>
      <c r="VJR177" s="12"/>
      <c r="VKA177" s="11"/>
      <c r="VKB177" s="12"/>
      <c r="VKK177" s="11"/>
      <c r="VKL177" s="12"/>
      <c r="VKU177" s="11"/>
      <c r="VKV177" s="12"/>
      <c r="VLE177" s="11"/>
      <c r="VLF177" s="12"/>
      <c r="VLO177" s="11"/>
      <c r="VLP177" s="12"/>
      <c r="VLY177" s="11"/>
      <c r="VLZ177" s="12"/>
      <c r="VMI177" s="11"/>
      <c r="VMJ177" s="12"/>
      <c r="VMS177" s="11"/>
      <c r="VMT177" s="12"/>
      <c r="VNC177" s="11"/>
      <c r="VND177" s="12"/>
      <c r="VNM177" s="11"/>
      <c r="VNN177" s="12"/>
      <c r="VNW177" s="11"/>
      <c r="VNX177" s="12"/>
      <c r="VOG177" s="11"/>
      <c r="VOH177" s="12"/>
      <c r="VOQ177" s="11"/>
      <c r="VOR177" s="12"/>
      <c r="VPA177" s="11"/>
      <c r="VPB177" s="12"/>
      <c r="VPK177" s="11"/>
      <c r="VPL177" s="12"/>
      <c r="VPU177" s="11"/>
      <c r="VPV177" s="12"/>
      <c r="VQE177" s="11"/>
      <c r="VQF177" s="12"/>
      <c r="VQO177" s="11"/>
      <c r="VQP177" s="12"/>
      <c r="VQY177" s="11"/>
      <c r="VQZ177" s="12"/>
      <c r="VRI177" s="11"/>
      <c r="VRJ177" s="12"/>
      <c r="VRS177" s="11"/>
      <c r="VRT177" s="12"/>
      <c r="VSC177" s="11"/>
      <c r="VSD177" s="12"/>
      <c r="VSM177" s="11"/>
      <c r="VSN177" s="12"/>
      <c r="VSW177" s="11"/>
      <c r="VSX177" s="12"/>
      <c r="VTG177" s="11"/>
      <c r="VTH177" s="12"/>
      <c r="VTQ177" s="11"/>
      <c r="VTR177" s="12"/>
      <c r="VUA177" s="11"/>
      <c r="VUB177" s="12"/>
      <c r="VUK177" s="11"/>
      <c r="VUL177" s="12"/>
      <c r="VUU177" s="11"/>
      <c r="VUV177" s="12"/>
      <c r="VVE177" s="11"/>
      <c r="VVF177" s="12"/>
      <c r="VVO177" s="11"/>
      <c r="VVP177" s="12"/>
      <c r="VVY177" s="11"/>
      <c r="VVZ177" s="12"/>
      <c r="VWI177" s="11"/>
      <c r="VWJ177" s="12"/>
      <c r="VWS177" s="11"/>
      <c r="VWT177" s="12"/>
      <c r="VXC177" s="11"/>
      <c r="VXD177" s="12"/>
      <c r="VXM177" s="11"/>
      <c r="VXN177" s="12"/>
      <c r="VXW177" s="11"/>
      <c r="VXX177" s="12"/>
      <c r="VYG177" s="11"/>
      <c r="VYH177" s="12"/>
      <c r="VYQ177" s="11"/>
      <c r="VYR177" s="12"/>
      <c r="VZA177" s="11"/>
      <c r="VZB177" s="12"/>
      <c r="VZK177" s="11"/>
      <c r="VZL177" s="12"/>
      <c r="VZU177" s="11"/>
      <c r="VZV177" s="12"/>
      <c r="WAE177" s="11"/>
      <c r="WAF177" s="12"/>
      <c r="WAO177" s="11"/>
      <c r="WAP177" s="12"/>
      <c r="WAY177" s="11"/>
      <c r="WAZ177" s="12"/>
      <c r="WBI177" s="11"/>
      <c r="WBJ177" s="12"/>
      <c r="WBS177" s="11"/>
      <c r="WBT177" s="12"/>
      <c r="WCC177" s="11"/>
      <c r="WCD177" s="12"/>
      <c r="WCM177" s="11"/>
      <c r="WCN177" s="12"/>
      <c r="WCW177" s="11"/>
      <c r="WCX177" s="12"/>
      <c r="WDG177" s="11"/>
      <c r="WDH177" s="12"/>
      <c r="WDQ177" s="11"/>
      <c r="WDR177" s="12"/>
      <c r="WEA177" s="11"/>
      <c r="WEB177" s="12"/>
      <c r="WEK177" s="11"/>
      <c r="WEL177" s="12"/>
      <c r="WEU177" s="11"/>
      <c r="WEV177" s="12"/>
      <c r="WFE177" s="11"/>
      <c r="WFF177" s="12"/>
      <c r="WFO177" s="11"/>
      <c r="WFP177" s="12"/>
      <c r="WFY177" s="11"/>
      <c r="WFZ177" s="12"/>
      <c r="WGI177" s="11"/>
      <c r="WGJ177" s="12"/>
      <c r="WGS177" s="11"/>
      <c r="WGT177" s="12"/>
      <c r="WHC177" s="11"/>
      <c r="WHD177" s="12"/>
      <c r="WHM177" s="11"/>
      <c r="WHN177" s="12"/>
      <c r="WHW177" s="11"/>
      <c r="WHX177" s="12"/>
      <c r="WIG177" s="11"/>
      <c r="WIH177" s="12"/>
      <c r="WIQ177" s="11"/>
      <c r="WIR177" s="12"/>
      <c r="WJA177" s="11"/>
      <c r="WJB177" s="12"/>
      <c r="WJK177" s="11"/>
      <c r="WJL177" s="12"/>
      <c r="WJU177" s="11"/>
      <c r="WJV177" s="12"/>
      <c r="WKE177" s="11"/>
      <c r="WKF177" s="12"/>
      <c r="WKO177" s="11"/>
      <c r="WKP177" s="12"/>
      <c r="WKY177" s="11"/>
      <c r="WKZ177" s="12"/>
      <c r="WLI177" s="11"/>
      <c r="WLJ177" s="12"/>
      <c r="WLS177" s="11"/>
      <c r="WLT177" s="12"/>
      <c r="WMC177" s="11"/>
      <c r="WMD177" s="12"/>
      <c r="WMM177" s="11"/>
      <c r="WMN177" s="12"/>
      <c r="WMW177" s="11"/>
      <c r="WMX177" s="12"/>
      <c r="WNG177" s="11"/>
      <c r="WNH177" s="12"/>
      <c r="WNQ177" s="11"/>
      <c r="WNR177" s="12"/>
      <c r="WOA177" s="11"/>
      <c r="WOB177" s="12"/>
      <c r="WOK177" s="11"/>
      <c r="WOL177" s="12"/>
      <c r="WOU177" s="11"/>
      <c r="WOV177" s="12"/>
      <c r="WPE177" s="11"/>
      <c r="WPF177" s="12"/>
      <c r="WPO177" s="11"/>
      <c r="WPP177" s="12"/>
      <c r="WPY177" s="11"/>
      <c r="WPZ177" s="12"/>
      <c r="WQI177" s="11"/>
      <c r="WQJ177" s="12"/>
      <c r="WQS177" s="11"/>
      <c r="WQT177" s="12"/>
      <c r="WRC177" s="11"/>
      <c r="WRD177" s="12"/>
      <c r="WRM177" s="11"/>
      <c r="WRN177" s="12"/>
      <c r="WRW177" s="11"/>
      <c r="WRX177" s="12"/>
      <c r="WSG177" s="11"/>
      <c r="WSH177" s="12"/>
      <c r="WSQ177" s="11"/>
      <c r="WSR177" s="12"/>
      <c r="WTA177" s="11"/>
      <c r="WTB177" s="12"/>
      <c r="WTK177" s="11"/>
      <c r="WTL177" s="12"/>
      <c r="WTU177" s="11"/>
      <c r="WTV177" s="12"/>
      <c r="WUE177" s="11"/>
      <c r="WUF177" s="12"/>
      <c r="WUO177" s="11"/>
      <c r="WUP177" s="12"/>
      <c r="WUY177" s="11"/>
      <c r="WUZ177" s="12"/>
      <c r="WVI177" s="11"/>
      <c r="WVJ177" s="12"/>
      <c r="WVS177" s="11"/>
      <c r="WVT177" s="12"/>
      <c r="WWC177" s="11"/>
      <c r="WWD177" s="12"/>
      <c r="WWM177" s="11"/>
      <c r="WWN177" s="12"/>
      <c r="WWW177" s="11"/>
      <c r="WWX177" s="12"/>
      <c r="WXG177" s="11"/>
      <c r="WXH177" s="12"/>
      <c r="WXQ177" s="11"/>
      <c r="WXR177" s="12"/>
      <c r="WYA177" s="11"/>
      <c r="WYB177" s="12"/>
      <c r="WYK177" s="11"/>
      <c r="WYL177" s="12"/>
      <c r="WYU177" s="11"/>
      <c r="WYV177" s="12"/>
      <c r="WZE177" s="11"/>
      <c r="WZF177" s="12"/>
      <c r="WZO177" s="11"/>
      <c r="WZP177" s="12"/>
      <c r="WZY177" s="11"/>
      <c r="WZZ177" s="12"/>
      <c r="XAI177" s="11"/>
      <c r="XAJ177" s="12"/>
      <c r="XAS177" s="11"/>
      <c r="XAT177" s="12"/>
      <c r="XBC177" s="11"/>
      <c r="XBD177" s="12"/>
      <c r="XBM177" s="11"/>
      <c r="XBN177" s="12"/>
      <c r="XBW177" s="11"/>
      <c r="XBX177" s="12"/>
      <c r="XCG177" s="11"/>
      <c r="XCH177" s="12"/>
      <c r="XCQ177" s="11"/>
      <c r="XCR177" s="12"/>
      <c r="XDA177" s="11"/>
      <c r="XDB177" s="12"/>
      <c r="XDK177" s="11"/>
      <c r="XDL177" s="12"/>
      <c r="XDU177" s="11"/>
      <c r="XDV177" s="12"/>
      <c r="XEE177" s="11"/>
      <c r="XEF177" s="12"/>
      <c r="XEO177" s="11"/>
      <c r="XEP177" s="12"/>
      <c r="XEY177" s="11"/>
      <c r="XEZ177" s="12"/>
    </row>
    <row r="178" spans="1:1020 1029:2040 2049:3070 3079:4090 4099:5120 5129:6140 6149:7160 7169:8190 8199:9210 9219:10240 10249:11260 11269:12280 12289:13310 13319:14330 14339:15360 15369:16380" s="10" customFormat="1" ht="53.4" customHeight="1" x14ac:dyDescent="0.3">
      <c r="A178"/>
      <c r="B178"/>
      <c r="C178"/>
      <c r="D178"/>
      <c r="E178"/>
      <c r="F178"/>
      <c r="G178"/>
      <c r="H178" s="32" t="s">
        <v>9</v>
      </c>
      <c r="I178" s="33" t="s">
        <v>30</v>
      </c>
      <c r="J178" s="34" t="s">
        <v>438</v>
      </c>
      <c r="K178" s="35" t="s">
        <v>0</v>
      </c>
      <c r="L178" s="33"/>
      <c r="M178" s="33"/>
      <c r="N178" s="36"/>
      <c r="O178" s="33">
        <v>3</v>
      </c>
      <c r="P178" s="33">
        <f>IF(Tabela1[[#This Row],[Status]]="✔️",Tabela1[[#This Row],[Peso]],IF(Tabela1[[#This Row],[Status]]="✔️✔️",Tabela1[[#This Row],[Peso]]/2,0))</f>
        <v>3</v>
      </c>
      <c r="Q17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8" s="33" t="s">
        <v>264</v>
      </c>
      <c r="S178" s="37" t="s">
        <v>263</v>
      </c>
      <c r="T178" s="12"/>
      <c r="AC178" s="11"/>
      <c r="AD178" s="12"/>
      <c r="AM178" s="11"/>
      <c r="AN178" s="12"/>
      <c r="AW178" s="11"/>
      <c r="AX178" s="12"/>
      <c r="BG178" s="11"/>
      <c r="BH178" s="12"/>
      <c r="BQ178" s="11"/>
      <c r="BR178" s="12"/>
      <c r="CA178" s="11"/>
      <c r="CB178" s="12"/>
      <c r="CK178" s="11"/>
      <c r="CL178" s="12"/>
      <c r="CU178" s="11"/>
      <c r="CV178" s="12"/>
      <c r="DE178" s="11"/>
      <c r="DF178" s="12"/>
      <c r="DO178" s="11"/>
      <c r="DP178" s="12"/>
      <c r="DY178" s="11"/>
      <c r="DZ178" s="12"/>
      <c r="EI178" s="11"/>
      <c r="EJ178" s="12"/>
      <c r="ES178" s="11"/>
      <c r="ET178" s="12"/>
      <c r="FC178" s="11"/>
      <c r="FD178" s="12"/>
      <c r="FM178" s="11"/>
      <c r="FN178" s="12"/>
      <c r="FW178" s="11"/>
      <c r="FX178" s="12"/>
      <c r="GG178" s="11"/>
      <c r="GH178" s="12"/>
      <c r="GQ178" s="11"/>
      <c r="GR178" s="12"/>
      <c r="HA178" s="11"/>
      <c r="HB178" s="12"/>
      <c r="HK178" s="11"/>
      <c r="HL178" s="12"/>
      <c r="HU178" s="11"/>
      <c r="HV178" s="12"/>
      <c r="IE178" s="11"/>
      <c r="IF178" s="12"/>
      <c r="IO178" s="11"/>
      <c r="IP178" s="12"/>
      <c r="IY178" s="11"/>
      <c r="IZ178" s="12"/>
      <c r="JI178" s="11"/>
      <c r="JJ178" s="12"/>
      <c r="JS178" s="11"/>
      <c r="JT178" s="12"/>
      <c r="KC178" s="11"/>
      <c r="KD178" s="12"/>
      <c r="KM178" s="11"/>
      <c r="KN178" s="12"/>
      <c r="KW178" s="11"/>
      <c r="KX178" s="12"/>
      <c r="LG178" s="11"/>
      <c r="LH178" s="12"/>
      <c r="LQ178" s="11"/>
      <c r="LR178" s="12"/>
      <c r="MA178" s="11"/>
      <c r="MB178" s="12"/>
      <c r="MK178" s="11"/>
      <c r="ML178" s="12"/>
      <c r="MU178" s="11"/>
      <c r="MV178" s="12"/>
      <c r="NE178" s="11"/>
      <c r="NF178" s="12"/>
      <c r="NO178" s="11"/>
      <c r="NP178" s="12"/>
      <c r="NY178" s="11"/>
      <c r="NZ178" s="12"/>
      <c r="OI178" s="11"/>
      <c r="OJ178" s="12"/>
      <c r="OS178" s="11"/>
      <c r="OT178" s="12"/>
      <c r="PC178" s="11"/>
      <c r="PD178" s="12"/>
      <c r="PM178" s="11"/>
      <c r="PN178" s="12"/>
      <c r="PW178" s="11"/>
      <c r="PX178" s="12"/>
      <c r="QG178" s="11"/>
      <c r="QH178" s="12"/>
      <c r="QQ178" s="11"/>
      <c r="QR178" s="12"/>
      <c r="RA178" s="11"/>
      <c r="RB178" s="12"/>
      <c r="RK178" s="11"/>
      <c r="RL178" s="12"/>
      <c r="RU178" s="11"/>
      <c r="RV178" s="12"/>
      <c r="SE178" s="11"/>
      <c r="SF178" s="12"/>
      <c r="SO178" s="11"/>
      <c r="SP178" s="12"/>
      <c r="SY178" s="11"/>
      <c r="SZ178" s="12"/>
      <c r="TI178" s="11"/>
      <c r="TJ178" s="12"/>
      <c r="TS178" s="11"/>
      <c r="TT178" s="12"/>
      <c r="UC178" s="11"/>
      <c r="UD178" s="12"/>
      <c r="UM178" s="11"/>
      <c r="UN178" s="12"/>
      <c r="UW178" s="11"/>
      <c r="UX178" s="12"/>
      <c r="VG178" s="11"/>
      <c r="VH178" s="12"/>
      <c r="VQ178" s="11"/>
      <c r="VR178" s="12"/>
      <c r="WA178" s="11"/>
      <c r="WB178" s="12"/>
      <c r="WK178" s="11"/>
      <c r="WL178" s="12"/>
      <c r="WU178" s="11"/>
      <c r="WV178" s="12"/>
      <c r="XE178" s="11"/>
      <c r="XF178" s="12"/>
      <c r="XO178" s="11"/>
      <c r="XP178" s="12"/>
      <c r="XY178" s="11"/>
      <c r="XZ178" s="12"/>
      <c r="YI178" s="11"/>
      <c r="YJ178" s="12"/>
      <c r="YS178" s="11"/>
      <c r="YT178" s="12"/>
      <c r="ZC178" s="11"/>
      <c r="ZD178" s="12"/>
      <c r="ZM178" s="11"/>
      <c r="ZN178" s="12"/>
      <c r="ZW178" s="11"/>
      <c r="ZX178" s="12"/>
      <c r="AAG178" s="11"/>
      <c r="AAH178" s="12"/>
      <c r="AAQ178" s="11"/>
      <c r="AAR178" s="12"/>
      <c r="ABA178" s="11"/>
      <c r="ABB178" s="12"/>
      <c r="ABK178" s="11"/>
      <c r="ABL178" s="12"/>
      <c r="ABU178" s="11"/>
      <c r="ABV178" s="12"/>
      <c r="ACE178" s="11"/>
      <c r="ACF178" s="12"/>
      <c r="ACO178" s="11"/>
      <c r="ACP178" s="12"/>
      <c r="ACY178" s="11"/>
      <c r="ACZ178" s="12"/>
      <c r="ADI178" s="11"/>
      <c r="ADJ178" s="12"/>
      <c r="ADS178" s="11"/>
      <c r="ADT178" s="12"/>
      <c r="AEC178" s="11"/>
      <c r="AED178" s="12"/>
      <c r="AEM178" s="11"/>
      <c r="AEN178" s="12"/>
      <c r="AEW178" s="11"/>
      <c r="AEX178" s="12"/>
      <c r="AFG178" s="11"/>
      <c r="AFH178" s="12"/>
      <c r="AFQ178" s="11"/>
      <c r="AFR178" s="12"/>
      <c r="AGA178" s="11"/>
      <c r="AGB178" s="12"/>
      <c r="AGK178" s="11"/>
      <c r="AGL178" s="12"/>
      <c r="AGU178" s="11"/>
      <c r="AGV178" s="12"/>
      <c r="AHE178" s="11"/>
      <c r="AHF178" s="12"/>
      <c r="AHO178" s="11"/>
      <c r="AHP178" s="12"/>
      <c r="AHY178" s="11"/>
      <c r="AHZ178" s="12"/>
      <c r="AII178" s="11"/>
      <c r="AIJ178" s="12"/>
      <c r="AIS178" s="11"/>
      <c r="AIT178" s="12"/>
      <c r="AJC178" s="11"/>
      <c r="AJD178" s="12"/>
      <c r="AJM178" s="11"/>
      <c r="AJN178" s="12"/>
      <c r="AJW178" s="11"/>
      <c r="AJX178" s="12"/>
      <c r="AKG178" s="11"/>
      <c r="AKH178" s="12"/>
      <c r="AKQ178" s="11"/>
      <c r="AKR178" s="12"/>
      <c r="ALA178" s="11"/>
      <c r="ALB178" s="12"/>
      <c r="ALK178" s="11"/>
      <c r="ALL178" s="12"/>
      <c r="ALU178" s="11"/>
      <c r="ALV178" s="12"/>
      <c r="AME178" s="11"/>
      <c r="AMF178" s="12"/>
      <c r="AMO178" s="11"/>
      <c r="AMP178" s="12"/>
      <c r="AMY178" s="11"/>
      <c r="AMZ178" s="12"/>
      <c r="ANI178" s="11"/>
      <c r="ANJ178" s="12"/>
      <c r="ANS178" s="11"/>
      <c r="ANT178" s="12"/>
      <c r="AOC178" s="11"/>
      <c r="AOD178" s="12"/>
      <c r="AOM178" s="11"/>
      <c r="AON178" s="12"/>
      <c r="AOW178" s="11"/>
      <c r="AOX178" s="12"/>
      <c r="APG178" s="11"/>
      <c r="APH178" s="12"/>
      <c r="APQ178" s="11"/>
      <c r="APR178" s="12"/>
      <c r="AQA178" s="11"/>
      <c r="AQB178" s="12"/>
      <c r="AQK178" s="11"/>
      <c r="AQL178" s="12"/>
      <c r="AQU178" s="11"/>
      <c r="AQV178" s="12"/>
      <c r="ARE178" s="11"/>
      <c r="ARF178" s="12"/>
      <c r="ARO178" s="11"/>
      <c r="ARP178" s="12"/>
      <c r="ARY178" s="11"/>
      <c r="ARZ178" s="12"/>
      <c r="ASI178" s="11"/>
      <c r="ASJ178" s="12"/>
      <c r="ASS178" s="11"/>
      <c r="AST178" s="12"/>
      <c r="ATC178" s="11"/>
      <c r="ATD178" s="12"/>
      <c r="ATM178" s="11"/>
      <c r="ATN178" s="12"/>
      <c r="ATW178" s="11"/>
      <c r="ATX178" s="12"/>
      <c r="AUG178" s="11"/>
      <c r="AUH178" s="12"/>
      <c r="AUQ178" s="11"/>
      <c r="AUR178" s="12"/>
      <c r="AVA178" s="11"/>
      <c r="AVB178" s="12"/>
      <c r="AVK178" s="11"/>
      <c r="AVL178" s="12"/>
      <c r="AVU178" s="11"/>
      <c r="AVV178" s="12"/>
      <c r="AWE178" s="11"/>
      <c r="AWF178" s="12"/>
      <c r="AWO178" s="11"/>
      <c r="AWP178" s="12"/>
      <c r="AWY178" s="11"/>
      <c r="AWZ178" s="12"/>
      <c r="AXI178" s="11"/>
      <c r="AXJ178" s="12"/>
      <c r="AXS178" s="11"/>
      <c r="AXT178" s="12"/>
      <c r="AYC178" s="11"/>
      <c r="AYD178" s="12"/>
      <c r="AYM178" s="11"/>
      <c r="AYN178" s="12"/>
      <c r="AYW178" s="11"/>
      <c r="AYX178" s="12"/>
      <c r="AZG178" s="11"/>
      <c r="AZH178" s="12"/>
      <c r="AZQ178" s="11"/>
      <c r="AZR178" s="12"/>
      <c r="BAA178" s="11"/>
      <c r="BAB178" s="12"/>
      <c r="BAK178" s="11"/>
      <c r="BAL178" s="12"/>
      <c r="BAU178" s="11"/>
      <c r="BAV178" s="12"/>
      <c r="BBE178" s="11"/>
      <c r="BBF178" s="12"/>
      <c r="BBO178" s="11"/>
      <c r="BBP178" s="12"/>
      <c r="BBY178" s="11"/>
      <c r="BBZ178" s="12"/>
      <c r="BCI178" s="11"/>
      <c r="BCJ178" s="12"/>
      <c r="BCS178" s="11"/>
      <c r="BCT178" s="12"/>
      <c r="BDC178" s="11"/>
      <c r="BDD178" s="12"/>
      <c r="BDM178" s="11"/>
      <c r="BDN178" s="12"/>
      <c r="BDW178" s="11"/>
      <c r="BDX178" s="12"/>
      <c r="BEG178" s="11"/>
      <c r="BEH178" s="12"/>
      <c r="BEQ178" s="11"/>
      <c r="BER178" s="12"/>
      <c r="BFA178" s="11"/>
      <c r="BFB178" s="12"/>
      <c r="BFK178" s="11"/>
      <c r="BFL178" s="12"/>
      <c r="BFU178" s="11"/>
      <c r="BFV178" s="12"/>
      <c r="BGE178" s="11"/>
      <c r="BGF178" s="12"/>
      <c r="BGO178" s="11"/>
      <c r="BGP178" s="12"/>
      <c r="BGY178" s="11"/>
      <c r="BGZ178" s="12"/>
      <c r="BHI178" s="11"/>
      <c r="BHJ178" s="12"/>
      <c r="BHS178" s="11"/>
      <c r="BHT178" s="12"/>
      <c r="BIC178" s="11"/>
      <c r="BID178" s="12"/>
      <c r="BIM178" s="11"/>
      <c r="BIN178" s="12"/>
      <c r="BIW178" s="11"/>
      <c r="BIX178" s="12"/>
      <c r="BJG178" s="11"/>
      <c r="BJH178" s="12"/>
      <c r="BJQ178" s="11"/>
      <c r="BJR178" s="12"/>
      <c r="BKA178" s="11"/>
      <c r="BKB178" s="12"/>
      <c r="BKK178" s="11"/>
      <c r="BKL178" s="12"/>
      <c r="BKU178" s="11"/>
      <c r="BKV178" s="12"/>
      <c r="BLE178" s="11"/>
      <c r="BLF178" s="12"/>
      <c r="BLO178" s="11"/>
      <c r="BLP178" s="12"/>
      <c r="BLY178" s="11"/>
      <c r="BLZ178" s="12"/>
      <c r="BMI178" s="11"/>
      <c r="BMJ178" s="12"/>
      <c r="BMS178" s="11"/>
      <c r="BMT178" s="12"/>
      <c r="BNC178" s="11"/>
      <c r="BND178" s="12"/>
      <c r="BNM178" s="11"/>
      <c r="BNN178" s="12"/>
      <c r="BNW178" s="11"/>
      <c r="BNX178" s="12"/>
      <c r="BOG178" s="11"/>
      <c r="BOH178" s="12"/>
      <c r="BOQ178" s="11"/>
      <c r="BOR178" s="12"/>
      <c r="BPA178" s="11"/>
      <c r="BPB178" s="12"/>
      <c r="BPK178" s="11"/>
      <c r="BPL178" s="12"/>
      <c r="BPU178" s="11"/>
      <c r="BPV178" s="12"/>
      <c r="BQE178" s="11"/>
      <c r="BQF178" s="12"/>
      <c r="BQO178" s="11"/>
      <c r="BQP178" s="12"/>
      <c r="BQY178" s="11"/>
      <c r="BQZ178" s="12"/>
      <c r="BRI178" s="11"/>
      <c r="BRJ178" s="12"/>
      <c r="BRS178" s="11"/>
      <c r="BRT178" s="12"/>
      <c r="BSC178" s="11"/>
      <c r="BSD178" s="12"/>
      <c r="BSM178" s="11"/>
      <c r="BSN178" s="12"/>
      <c r="BSW178" s="11"/>
      <c r="BSX178" s="12"/>
      <c r="BTG178" s="11"/>
      <c r="BTH178" s="12"/>
      <c r="BTQ178" s="11"/>
      <c r="BTR178" s="12"/>
      <c r="BUA178" s="11"/>
      <c r="BUB178" s="12"/>
      <c r="BUK178" s="11"/>
      <c r="BUL178" s="12"/>
      <c r="BUU178" s="11"/>
      <c r="BUV178" s="12"/>
      <c r="BVE178" s="11"/>
      <c r="BVF178" s="12"/>
      <c r="BVO178" s="11"/>
      <c r="BVP178" s="12"/>
      <c r="BVY178" s="11"/>
      <c r="BVZ178" s="12"/>
      <c r="BWI178" s="11"/>
      <c r="BWJ178" s="12"/>
      <c r="BWS178" s="11"/>
      <c r="BWT178" s="12"/>
      <c r="BXC178" s="11"/>
      <c r="BXD178" s="12"/>
      <c r="BXM178" s="11"/>
      <c r="BXN178" s="12"/>
      <c r="BXW178" s="11"/>
      <c r="BXX178" s="12"/>
      <c r="BYG178" s="11"/>
      <c r="BYH178" s="12"/>
      <c r="BYQ178" s="11"/>
      <c r="BYR178" s="12"/>
      <c r="BZA178" s="11"/>
      <c r="BZB178" s="12"/>
      <c r="BZK178" s="11"/>
      <c r="BZL178" s="12"/>
      <c r="BZU178" s="11"/>
      <c r="BZV178" s="12"/>
      <c r="CAE178" s="11"/>
      <c r="CAF178" s="12"/>
      <c r="CAO178" s="11"/>
      <c r="CAP178" s="12"/>
      <c r="CAY178" s="11"/>
      <c r="CAZ178" s="12"/>
      <c r="CBI178" s="11"/>
      <c r="CBJ178" s="12"/>
      <c r="CBS178" s="11"/>
      <c r="CBT178" s="12"/>
      <c r="CCC178" s="11"/>
      <c r="CCD178" s="12"/>
      <c r="CCM178" s="11"/>
      <c r="CCN178" s="12"/>
      <c r="CCW178" s="11"/>
      <c r="CCX178" s="12"/>
      <c r="CDG178" s="11"/>
      <c r="CDH178" s="12"/>
      <c r="CDQ178" s="11"/>
      <c r="CDR178" s="12"/>
      <c r="CEA178" s="11"/>
      <c r="CEB178" s="12"/>
      <c r="CEK178" s="11"/>
      <c r="CEL178" s="12"/>
      <c r="CEU178" s="11"/>
      <c r="CEV178" s="12"/>
      <c r="CFE178" s="11"/>
      <c r="CFF178" s="12"/>
      <c r="CFO178" s="11"/>
      <c r="CFP178" s="12"/>
      <c r="CFY178" s="11"/>
      <c r="CFZ178" s="12"/>
      <c r="CGI178" s="11"/>
      <c r="CGJ178" s="12"/>
      <c r="CGS178" s="11"/>
      <c r="CGT178" s="12"/>
      <c r="CHC178" s="11"/>
      <c r="CHD178" s="12"/>
      <c r="CHM178" s="11"/>
      <c r="CHN178" s="12"/>
      <c r="CHW178" s="11"/>
      <c r="CHX178" s="12"/>
      <c r="CIG178" s="11"/>
      <c r="CIH178" s="12"/>
      <c r="CIQ178" s="11"/>
      <c r="CIR178" s="12"/>
      <c r="CJA178" s="11"/>
      <c r="CJB178" s="12"/>
      <c r="CJK178" s="11"/>
      <c r="CJL178" s="12"/>
      <c r="CJU178" s="11"/>
      <c r="CJV178" s="12"/>
      <c r="CKE178" s="11"/>
      <c r="CKF178" s="12"/>
      <c r="CKO178" s="11"/>
      <c r="CKP178" s="12"/>
      <c r="CKY178" s="11"/>
      <c r="CKZ178" s="12"/>
      <c r="CLI178" s="11"/>
      <c r="CLJ178" s="12"/>
      <c r="CLS178" s="11"/>
      <c r="CLT178" s="12"/>
      <c r="CMC178" s="11"/>
      <c r="CMD178" s="12"/>
      <c r="CMM178" s="11"/>
      <c r="CMN178" s="12"/>
      <c r="CMW178" s="11"/>
      <c r="CMX178" s="12"/>
      <c r="CNG178" s="11"/>
      <c r="CNH178" s="12"/>
      <c r="CNQ178" s="11"/>
      <c r="CNR178" s="12"/>
      <c r="COA178" s="11"/>
      <c r="COB178" s="12"/>
      <c r="COK178" s="11"/>
      <c r="COL178" s="12"/>
      <c r="COU178" s="11"/>
      <c r="COV178" s="12"/>
      <c r="CPE178" s="11"/>
      <c r="CPF178" s="12"/>
      <c r="CPO178" s="11"/>
      <c r="CPP178" s="12"/>
      <c r="CPY178" s="11"/>
      <c r="CPZ178" s="12"/>
      <c r="CQI178" s="11"/>
      <c r="CQJ178" s="12"/>
      <c r="CQS178" s="11"/>
      <c r="CQT178" s="12"/>
      <c r="CRC178" s="11"/>
      <c r="CRD178" s="12"/>
      <c r="CRM178" s="11"/>
      <c r="CRN178" s="12"/>
      <c r="CRW178" s="11"/>
      <c r="CRX178" s="12"/>
      <c r="CSG178" s="11"/>
      <c r="CSH178" s="12"/>
      <c r="CSQ178" s="11"/>
      <c r="CSR178" s="12"/>
      <c r="CTA178" s="11"/>
      <c r="CTB178" s="12"/>
      <c r="CTK178" s="11"/>
      <c r="CTL178" s="12"/>
      <c r="CTU178" s="11"/>
      <c r="CTV178" s="12"/>
      <c r="CUE178" s="11"/>
      <c r="CUF178" s="12"/>
      <c r="CUO178" s="11"/>
      <c r="CUP178" s="12"/>
      <c r="CUY178" s="11"/>
      <c r="CUZ178" s="12"/>
      <c r="CVI178" s="11"/>
      <c r="CVJ178" s="12"/>
      <c r="CVS178" s="11"/>
      <c r="CVT178" s="12"/>
      <c r="CWC178" s="11"/>
      <c r="CWD178" s="12"/>
      <c r="CWM178" s="11"/>
      <c r="CWN178" s="12"/>
      <c r="CWW178" s="11"/>
      <c r="CWX178" s="12"/>
      <c r="CXG178" s="11"/>
      <c r="CXH178" s="12"/>
      <c r="CXQ178" s="11"/>
      <c r="CXR178" s="12"/>
      <c r="CYA178" s="11"/>
      <c r="CYB178" s="12"/>
      <c r="CYK178" s="11"/>
      <c r="CYL178" s="12"/>
      <c r="CYU178" s="11"/>
      <c r="CYV178" s="12"/>
      <c r="CZE178" s="11"/>
      <c r="CZF178" s="12"/>
      <c r="CZO178" s="11"/>
      <c r="CZP178" s="12"/>
      <c r="CZY178" s="11"/>
      <c r="CZZ178" s="12"/>
      <c r="DAI178" s="11"/>
      <c r="DAJ178" s="12"/>
      <c r="DAS178" s="11"/>
      <c r="DAT178" s="12"/>
      <c r="DBC178" s="11"/>
      <c r="DBD178" s="12"/>
      <c r="DBM178" s="11"/>
      <c r="DBN178" s="12"/>
      <c r="DBW178" s="11"/>
      <c r="DBX178" s="12"/>
      <c r="DCG178" s="11"/>
      <c r="DCH178" s="12"/>
      <c r="DCQ178" s="11"/>
      <c r="DCR178" s="12"/>
      <c r="DDA178" s="11"/>
      <c r="DDB178" s="12"/>
      <c r="DDK178" s="11"/>
      <c r="DDL178" s="12"/>
      <c r="DDU178" s="11"/>
      <c r="DDV178" s="12"/>
      <c r="DEE178" s="11"/>
      <c r="DEF178" s="12"/>
      <c r="DEO178" s="11"/>
      <c r="DEP178" s="12"/>
      <c r="DEY178" s="11"/>
      <c r="DEZ178" s="12"/>
      <c r="DFI178" s="11"/>
      <c r="DFJ178" s="12"/>
      <c r="DFS178" s="11"/>
      <c r="DFT178" s="12"/>
      <c r="DGC178" s="11"/>
      <c r="DGD178" s="12"/>
      <c r="DGM178" s="11"/>
      <c r="DGN178" s="12"/>
      <c r="DGW178" s="11"/>
      <c r="DGX178" s="12"/>
      <c r="DHG178" s="11"/>
      <c r="DHH178" s="12"/>
      <c r="DHQ178" s="11"/>
      <c r="DHR178" s="12"/>
      <c r="DIA178" s="11"/>
      <c r="DIB178" s="12"/>
      <c r="DIK178" s="11"/>
      <c r="DIL178" s="12"/>
      <c r="DIU178" s="11"/>
      <c r="DIV178" s="12"/>
      <c r="DJE178" s="11"/>
      <c r="DJF178" s="12"/>
      <c r="DJO178" s="11"/>
      <c r="DJP178" s="12"/>
      <c r="DJY178" s="11"/>
      <c r="DJZ178" s="12"/>
      <c r="DKI178" s="11"/>
      <c r="DKJ178" s="12"/>
      <c r="DKS178" s="11"/>
      <c r="DKT178" s="12"/>
      <c r="DLC178" s="11"/>
      <c r="DLD178" s="12"/>
      <c r="DLM178" s="11"/>
      <c r="DLN178" s="12"/>
      <c r="DLW178" s="11"/>
      <c r="DLX178" s="12"/>
      <c r="DMG178" s="11"/>
      <c r="DMH178" s="12"/>
      <c r="DMQ178" s="11"/>
      <c r="DMR178" s="12"/>
      <c r="DNA178" s="11"/>
      <c r="DNB178" s="12"/>
      <c r="DNK178" s="11"/>
      <c r="DNL178" s="12"/>
      <c r="DNU178" s="11"/>
      <c r="DNV178" s="12"/>
      <c r="DOE178" s="11"/>
      <c r="DOF178" s="12"/>
      <c r="DOO178" s="11"/>
      <c r="DOP178" s="12"/>
      <c r="DOY178" s="11"/>
      <c r="DOZ178" s="12"/>
      <c r="DPI178" s="11"/>
      <c r="DPJ178" s="12"/>
      <c r="DPS178" s="11"/>
      <c r="DPT178" s="12"/>
      <c r="DQC178" s="11"/>
      <c r="DQD178" s="12"/>
      <c r="DQM178" s="11"/>
      <c r="DQN178" s="12"/>
      <c r="DQW178" s="11"/>
      <c r="DQX178" s="12"/>
      <c r="DRG178" s="11"/>
      <c r="DRH178" s="12"/>
      <c r="DRQ178" s="11"/>
      <c r="DRR178" s="12"/>
      <c r="DSA178" s="11"/>
      <c r="DSB178" s="12"/>
      <c r="DSK178" s="11"/>
      <c r="DSL178" s="12"/>
      <c r="DSU178" s="11"/>
      <c r="DSV178" s="12"/>
      <c r="DTE178" s="11"/>
      <c r="DTF178" s="12"/>
      <c r="DTO178" s="11"/>
      <c r="DTP178" s="12"/>
      <c r="DTY178" s="11"/>
      <c r="DTZ178" s="12"/>
      <c r="DUI178" s="11"/>
      <c r="DUJ178" s="12"/>
      <c r="DUS178" s="11"/>
      <c r="DUT178" s="12"/>
      <c r="DVC178" s="11"/>
      <c r="DVD178" s="12"/>
      <c r="DVM178" s="11"/>
      <c r="DVN178" s="12"/>
      <c r="DVW178" s="11"/>
      <c r="DVX178" s="12"/>
      <c r="DWG178" s="11"/>
      <c r="DWH178" s="12"/>
      <c r="DWQ178" s="11"/>
      <c r="DWR178" s="12"/>
      <c r="DXA178" s="11"/>
      <c r="DXB178" s="12"/>
      <c r="DXK178" s="11"/>
      <c r="DXL178" s="12"/>
      <c r="DXU178" s="11"/>
      <c r="DXV178" s="12"/>
      <c r="DYE178" s="11"/>
      <c r="DYF178" s="12"/>
      <c r="DYO178" s="11"/>
      <c r="DYP178" s="12"/>
      <c r="DYY178" s="11"/>
      <c r="DYZ178" s="12"/>
      <c r="DZI178" s="11"/>
      <c r="DZJ178" s="12"/>
      <c r="DZS178" s="11"/>
      <c r="DZT178" s="12"/>
      <c r="EAC178" s="11"/>
      <c r="EAD178" s="12"/>
      <c r="EAM178" s="11"/>
      <c r="EAN178" s="12"/>
      <c r="EAW178" s="11"/>
      <c r="EAX178" s="12"/>
      <c r="EBG178" s="11"/>
      <c r="EBH178" s="12"/>
      <c r="EBQ178" s="11"/>
      <c r="EBR178" s="12"/>
      <c r="ECA178" s="11"/>
      <c r="ECB178" s="12"/>
      <c r="ECK178" s="11"/>
      <c r="ECL178" s="12"/>
      <c r="ECU178" s="11"/>
      <c r="ECV178" s="12"/>
      <c r="EDE178" s="11"/>
      <c r="EDF178" s="12"/>
      <c r="EDO178" s="11"/>
      <c r="EDP178" s="12"/>
      <c r="EDY178" s="11"/>
      <c r="EDZ178" s="12"/>
      <c r="EEI178" s="11"/>
      <c r="EEJ178" s="12"/>
      <c r="EES178" s="11"/>
      <c r="EET178" s="12"/>
      <c r="EFC178" s="11"/>
      <c r="EFD178" s="12"/>
      <c r="EFM178" s="11"/>
      <c r="EFN178" s="12"/>
      <c r="EFW178" s="11"/>
      <c r="EFX178" s="12"/>
      <c r="EGG178" s="11"/>
      <c r="EGH178" s="12"/>
      <c r="EGQ178" s="11"/>
      <c r="EGR178" s="12"/>
      <c r="EHA178" s="11"/>
      <c r="EHB178" s="12"/>
      <c r="EHK178" s="11"/>
      <c r="EHL178" s="12"/>
      <c r="EHU178" s="11"/>
      <c r="EHV178" s="12"/>
      <c r="EIE178" s="11"/>
      <c r="EIF178" s="12"/>
      <c r="EIO178" s="11"/>
      <c r="EIP178" s="12"/>
      <c r="EIY178" s="11"/>
      <c r="EIZ178" s="12"/>
      <c r="EJI178" s="11"/>
      <c r="EJJ178" s="12"/>
      <c r="EJS178" s="11"/>
      <c r="EJT178" s="12"/>
      <c r="EKC178" s="11"/>
      <c r="EKD178" s="12"/>
      <c r="EKM178" s="11"/>
      <c r="EKN178" s="12"/>
      <c r="EKW178" s="11"/>
      <c r="EKX178" s="12"/>
      <c r="ELG178" s="11"/>
      <c r="ELH178" s="12"/>
      <c r="ELQ178" s="11"/>
      <c r="ELR178" s="12"/>
      <c r="EMA178" s="11"/>
      <c r="EMB178" s="12"/>
      <c r="EMK178" s="11"/>
      <c r="EML178" s="12"/>
      <c r="EMU178" s="11"/>
      <c r="EMV178" s="12"/>
      <c r="ENE178" s="11"/>
      <c r="ENF178" s="12"/>
      <c r="ENO178" s="11"/>
      <c r="ENP178" s="12"/>
      <c r="ENY178" s="11"/>
      <c r="ENZ178" s="12"/>
      <c r="EOI178" s="11"/>
      <c r="EOJ178" s="12"/>
      <c r="EOS178" s="11"/>
      <c r="EOT178" s="12"/>
      <c r="EPC178" s="11"/>
      <c r="EPD178" s="12"/>
      <c r="EPM178" s="11"/>
      <c r="EPN178" s="12"/>
      <c r="EPW178" s="11"/>
      <c r="EPX178" s="12"/>
      <c r="EQG178" s="11"/>
      <c r="EQH178" s="12"/>
      <c r="EQQ178" s="11"/>
      <c r="EQR178" s="12"/>
      <c r="ERA178" s="11"/>
      <c r="ERB178" s="12"/>
      <c r="ERK178" s="11"/>
      <c r="ERL178" s="12"/>
      <c r="ERU178" s="11"/>
      <c r="ERV178" s="12"/>
      <c r="ESE178" s="11"/>
      <c r="ESF178" s="12"/>
      <c r="ESO178" s="11"/>
      <c r="ESP178" s="12"/>
      <c r="ESY178" s="11"/>
      <c r="ESZ178" s="12"/>
      <c r="ETI178" s="11"/>
      <c r="ETJ178" s="12"/>
      <c r="ETS178" s="11"/>
      <c r="ETT178" s="12"/>
      <c r="EUC178" s="11"/>
      <c r="EUD178" s="12"/>
      <c r="EUM178" s="11"/>
      <c r="EUN178" s="12"/>
      <c r="EUW178" s="11"/>
      <c r="EUX178" s="12"/>
      <c r="EVG178" s="11"/>
      <c r="EVH178" s="12"/>
      <c r="EVQ178" s="11"/>
      <c r="EVR178" s="12"/>
      <c r="EWA178" s="11"/>
      <c r="EWB178" s="12"/>
      <c r="EWK178" s="11"/>
      <c r="EWL178" s="12"/>
      <c r="EWU178" s="11"/>
      <c r="EWV178" s="12"/>
      <c r="EXE178" s="11"/>
      <c r="EXF178" s="12"/>
      <c r="EXO178" s="11"/>
      <c r="EXP178" s="12"/>
      <c r="EXY178" s="11"/>
      <c r="EXZ178" s="12"/>
      <c r="EYI178" s="11"/>
      <c r="EYJ178" s="12"/>
      <c r="EYS178" s="11"/>
      <c r="EYT178" s="12"/>
      <c r="EZC178" s="11"/>
      <c r="EZD178" s="12"/>
      <c r="EZM178" s="11"/>
      <c r="EZN178" s="12"/>
      <c r="EZW178" s="11"/>
      <c r="EZX178" s="12"/>
      <c r="FAG178" s="11"/>
      <c r="FAH178" s="12"/>
      <c r="FAQ178" s="11"/>
      <c r="FAR178" s="12"/>
      <c r="FBA178" s="11"/>
      <c r="FBB178" s="12"/>
      <c r="FBK178" s="11"/>
      <c r="FBL178" s="12"/>
      <c r="FBU178" s="11"/>
      <c r="FBV178" s="12"/>
      <c r="FCE178" s="11"/>
      <c r="FCF178" s="12"/>
      <c r="FCO178" s="11"/>
      <c r="FCP178" s="12"/>
      <c r="FCY178" s="11"/>
      <c r="FCZ178" s="12"/>
      <c r="FDI178" s="11"/>
      <c r="FDJ178" s="12"/>
      <c r="FDS178" s="11"/>
      <c r="FDT178" s="12"/>
      <c r="FEC178" s="11"/>
      <c r="FED178" s="12"/>
      <c r="FEM178" s="11"/>
      <c r="FEN178" s="12"/>
      <c r="FEW178" s="11"/>
      <c r="FEX178" s="12"/>
      <c r="FFG178" s="11"/>
      <c r="FFH178" s="12"/>
      <c r="FFQ178" s="11"/>
      <c r="FFR178" s="12"/>
      <c r="FGA178" s="11"/>
      <c r="FGB178" s="12"/>
      <c r="FGK178" s="11"/>
      <c r="FGL178" s="12"/>
      <c r="FGU178" s="11"/>
      <c r="FGV178" s="12"/>
      <c r="FHE178" s="11"/>
      <c r="FHF178" s="12"/>
      <c r="FHO178" s="11"/>
      <c r="FHP178" s="12"/>
      <c r="FHY178" s="11"/>
      <c r="FHZ178" s="12"/>
      <c r="FII178" s="11"/>
      <c r="FIJ178" s="12"/>
      <c r="FIS178" s="11"/>
      <c r="FIT178" s="12"/>
      <c r="FJC178" s="11"/>
      <c r="FJD178" s="12"/>
      <c r="FJM178" s="11"/>
      <c r="FJN178" s="12"/>
      <c r="FJW178" s="11"/>
      <c r="FJX178" s="12"/>
      <c r="FKG178" s="11"/>
      <c r="FKH178" s="12"/>
      <c r="FKQ178" s="11"/>
      <c r="FKR178" s="12"/>
      <c r="FLA178" s="11"/>
      <c r="FLB178" s="12"/>
      <c r="FLK178" s="11"/>
      <c r="FLL178" s="12"/>
      <c r="FLU178" s="11"/>
      <c r="FLV178" s="12"/>
      <c r="FME178" s="11"/>
      <c r="FMF178" s="12"/>
      <c r="FMO178" s="11"/>
      <c r="FMP178" s="12"/>
      <c r="FMY178" s="11"/>
      <c r="FMZ178" s="12"/>
      <c r="FNI178" s="11"/>
      <c r="FNJ178" s="12"/>
      <c r="FNS178" s="11"/>
      <c r="FNT178" s="12"/>
      <c r="FOC178" s="11"/>
      <c r="FOD178" s="12"/>
      <c r="FOM178" s="11"/>
      <c r="FON178" s="12"/>
      <c r="FOW178" s="11"/>
      <c r="FOX178" s="12"/>
      <c r="FPG178" s="11"/>
      <c r="FPH178" s="12"/>
      <c r="FPQ178" s="11"/>
      <c r="FPR178" s="12"/>
      <c r="FQA178" s="11"/>
      <c r="FQB178" s="12"/>
      <c r="FQK178" s="11"/>
      <c r="FQL178" s="12"/>
      <c r="FQU178" s="11"/>
      <c r="FQV178" s="12"/>
      <c r="FRE178" s="11"/>
      <c r="FRF178" s="12"/>
      <c r="FRO178" s="11"/>
      <c r="FRP178" s="12"/>
      <c r="FRY178" s="11"/>
      <c r="FRZ178" s="12"/>
      <c r="FSI178" s="11"/>
      <c r="FSJ178" s="12"/>
      <c r="FSS178" s="11"/>
      <c r="FST178" s="12"/>
      <c r="FTC178" s="11"/>
      <c r="FTD178" s="12"/>
      <c r="FTM178" s="11"/>
      <c r="FTN178" s="12"/>
      <c r="FTW178" s="11"/>
      <c r="FTX178" s="12"/>
      <c r="FUG178" s="11"/>
      <c r="FUH178" s="12"/>
      <c r="FUQ178" s="11"/>
      <c r="FUR178" s="12"/>
      <c r="FVA178" s="11"/>
      <c r="FVB178" s="12"/>
      <c r="FVK178" s="11"/>
      <c r="FVL178" s="12"/>
      <c r="FVU178" s="11"/>
      <c r="FVV178" s="12"/>
      <c r="FWE178" s="11"/>
      <c r="FWF178" s="12"/>
      <c r="FWO178" s="11"/>
      <c r="FWP178" s="12"/>
      <c r="FWY178" s="11"/>
      <c r="FWZ178" s="12"/>
      <c r="FXI178" s="11"/>
      <c r="FXJ178" s="12"/>
      <c r="FXS178" s="11"/>
      <c r="FXT178" s="12"/>
      <c r="FYC178" s="11"/>
      <c r="FYD178" s="12"/>
      <c r="FYM178" s="11"/>
      <c r="FYN178" s="12"/>
      <c r="FYW178" s="11"/>
      <c r="FYX178" s="12"/>
      <c r="FZG178" s="11"/>
      <c r="FZH178" s="12"/>
      <c r="FZQ178" s="11"/>
      <c r="FZR178" s="12"/>
      <c r="GAA178" s="11"/>
      <c r="GAB178" s="12"/>
      <c r="GAK178" s="11"/>
      <c r="GAL178" s="12"/>
      <c r="GAU178" s="11"/>
      <c r="GAV178" s="12"/>
      <c r="GBE178" s="11"/>
      <c r="GBF178" s="12"/>
      <c r="GBO178" s="11"/>
      <c r="GBP178" s="12"/>
      <c r="GBY178" s="11"/>
      <c r="GBZ178" s="12"/>
      <c r="GCI178" s="11"/>
      <c r="GCJ178" s="12"/>
      <c r="GCS178" s="11"/>
      <c r="GCT178" s="12"/>
      <c r="GDC178" s="11"/>
      <c r="GDD178" s="12"/>
      <c r="GDM178" s="11"/>
      <c r="GDN178" s="12"/>
      <c r="GDW178" s="11"/>
      <c r="GDX178" s="12"/>
      <c r="GEG178" s="11"/>
      <c r="GEH178" s="12"/>
      <c r="GEQ178" s="11"/>
      <c r="GER178" s="12"/>
      <c r="GFA178" s="11"/>
      <c r="GFB178" s="12"/>
      <c r="GFK178" s="11"/>
      <c r="GFL178" s="12"/>
      <c r="GFU178" s="11"/>
      <c r="GFV178" s="12"/>
      <c r="GGE178" s="11"/>
      <c r="GGF178" s="12"/>
      <c r="GGO178" s="11"/>
      <c r="GGP178" s="12"/>
      <c r="GGY178" s="11"/>
      <c r="GGZ178" s="12"/>
      <c r="GHI178" s="11"/>
      <c r="GHJ178" s="12"/>
      <c r="GHS178" s="11"/>
      <c r="GHT178" s="12"/>
      <c r="GIC178" s="11"/>
      <c r="GID178" s="12"/>
      <c r="GIM178" s="11"/>
      <c r="GIN178" s="12"/>
      <c r="GIW178" s="11"/>
      <c r="GIX178" s="12"/>
      <c r="GJG178" s="11"/>
      <c r="GJH178" s="12"/>
      <c r="GJQ178" s="11"/>
      <c r="GJR178" s="12"/>
      <c r="GKA178" s="11"/>
      <c r="GKB178" s="12"/>
      <c r="GKK178" s="11"/>
      <c r="GKL178" s="12"/>
      <c r="GKU178" s="11"/>
      <c r="GKV178" s="12"/>
      <c r="GLE178" s="11"/>
      <c r="GLF178" s="12"/>
      <c r="GLO178" s="11"/>
      <c r="GLP178" s="12"/>
      <c r="GLY178" s="11"/>
      <c r="GLZ178" s="12"/>
      <c r="GMI178" s="11"/>
      <c r="GMJ178" s="12"/>
      <c r="GMS178" s="11"/>
      <c r="GMT178" s="12"/>
      <c r="GNC178" s="11"/>
      <c r="GND178" s="12"/>
      <c r="GNM178" s="11"/>
      <c r="GNN178" s="12"/>
      <c r="GNW178" s="11"/>
      <c r="GNX178" s="12"/>
      <c r="GOG178" s="11"/>
      <c r="GOH178" s="12"/>
      <c r="GOQ178" s="11"/>
      <c r="GOR178" s="12"/>
      <c r="GPA178" s="11"/>
      <c r="GPB178" s="12"/>
      <c r="GPK178" s="11"/>
      <c r="GPL178" s="12"/>
      <c r="GPU178" s="11"/>
      <c r="GPV178" s="12"/>
      <c r="GQE178" s="11"/>
      <c r="GQF178" s="12"/>
      <c r="GQO178" s="11"/>
      <c r="GQP178" s="12"/>
      <c r="GQY178" s="11"/>
      <c r="GQZ178" s="12"/>
      <c r="GRI178" s="11"/>
      <c r="GRJ178" s="12"/>
      <c r="GRS178" s="11"/>
      <c r="GRT178" s="12"/>
      <c r="GSC178" s="11"/>
      <c r="GSD178" s="12"/>
      <c r="GSM178" s="11"/>
      <c r="GSN178" s="12"/>
      <c r="GSW178" s="11"/>
      <c r="GSX178" s="12"/>
      <c r="GTG178" s="11"/>
      <c r="GTH178" s="12"/>
      <c r="GTQ178" s="11"/>
      <c r="GTR178" s="12"/>
      <c r="GUA178" s="11"/>
      <c r="GUB178" s="12"/>
      <c r="GUK178" s="11"/>
      <c r="GUL178" s="12"/>
      <c r="GUU178" s="11"/>
      <c r="GUV178" s="12"/>
      <c r="GVE178" s="11"/>
      <c r="GVF178" s="12"/>
      <c r="GVO178" s="11"/>
      <c r="GVP178" s="12"/>
      <c r="GVY178" s="11"/>
      <c r="GVZ178" s="12"/>
      <c r="GWI178" s="11"/>
      <c r="GWJ178" s="12"/>
      <c r="GWS178" s="11"/>
      <c r="GWT178" s="12"/>
      <c r="GXC178" s="11"/>
      <c r="GXD178" s="12"/>
      <c r="GXM178" s="11"/>
      <c r="GXN178" s="12"/>
      <c r="GXW178" s="11"/>
      <c r="GXX178" s="12"/>
      <c r="GYG178" s="11"/>
      <c r="GYH178" s="12"/>
      <c r="GYQ178" s="11"/>
      <c r="GYR178" s="12"/>
      <c r="GZA178" s="11"/>
      <c r="GZB178" s="12"/>
      <c r="GZK178" s="11"/>
      <c r="GZL178" s="12"/>
      <c r="GZU178" s="11"/>
      <c r="GZV178" s="12"/>
      <c r="HAE178" s="11"/>
      <c r="HAF178" s="12"/>
      <c r="HAO178" s="11"/>
      <c r="HAP178" s="12"/>
      <c r="HAY178" s="11"/>
      <c r="HAZ178" s="12"/>
      <c r="HBI178" s="11"/>
      <c r="HBJ178" s="12"/>
      <c r="HBS178" s="11"/>
      <c r="HBT178" s="12"/>
      <c r="HCC178" s="11"/>
      <c r="HCD178" s="12"/>
      <c r="HCM178" s="11"/>
      <c r="HCN178" s="12"/>
      <c r="HCW178" s="11"/>
      <c r="HCX178" s="12"/>
      <c r="HDG178" s="11"/>
      <c r="HDH178" s="12"/>
      <c r="HDQ178" s="11"/>
      <c r="HDR178" s="12"/>
      <c r="HEA178" s="11"/>
      <c r="HEB178" s="12"/>
      <c r="HEK178" s="11"/>
      <c r="HEL178" s="12"/>
      <c r="HEU178" s="11"/>
      <c r="HEV178" s="12"/>
      <c r="HFE178" s="11"/>
      <c r="HFF178" s="12"/>
      <c r="HFO178" s="11"/>
      <c r="HFP178" s="12"/>
      <c r="HFY178" s="11"/>
      <c r="HFZ178" s="12"/>
      <c r="HGI178" s="11"/>
      <c r="HGJ178" s="12"/>
      <c r="HGS178" s="11"/>
      <c r="HGT178" s="12"/>
      <c r="HHC178" s="11"/>
      <c r="HHD178" s="12"/>
      <c r="HHM178" s="11"/>
      <c r="HHN178" s="12"/>
      <c r="HHW178" s="11"/>
      <c r="HHX178" s="12"/>
      <c r="HIG178" s="11"/>
      <c r="HIH178" s="12"/>
      <c r="HIQ178" s="11"/>
      <c r="HIR178" s="12"/>
      <c r="HJA178" s="11"/>
      <c r="HJB178" s="12"/>
      <c r="HJK178" s="11"/>
      <c r="HJL178" s="12"/>
      <c r="HJU178" s="11"/>
      <c r="HJV178" s="12"/>
      <c r="HKE178" s="11"/>
      <c r="HKF178" s="12"/>
      <c r="HKO178" s="11"/>
      <c r="HKP178" s="12"/>
      <c r="HKY178" s="11"/>
      <c r="HKZ178" s="12"/>
      <c r="HLI178" s="11"/>
      <c r="HLJ178" s="12"/>
      <c r="HLS178" s="11"/>
      <c r="HLT178" s="12"/>
      <c r="HMC178" s="11"/>
      <c r="HMD178" s="12"/>
      <c r="HMM178" s="11"/>
      <c r="HMN178" s="12"/>
      <c r="HMW178" s="11"/>
      <c r="HMX178" s="12"/>
      <c r="HNG178" s="11"/>
      <c r="HNH178" s="12"/>
      <c r="HNQ178" s="11"/>
      <c r="HNR178" s="12"/>
      <c r="HOA178" s="11"/>
      <c r="HOB178" s="12"/>
      <c r="HOK178" s="11"/>
      <c r="HOL178" s="12"/>
      <c r="HOU178" s="11"/>
      <c r="HOV178" s="12"/>
      <c r="HPE178" s="11"/>
      <c r="HPF178" s="12"/>
      <c r="HPO178" s="11"/>
      <c r="HPP178" s="12"/>
      <c r="HPY178" s="11"/>
      <c r="HPZ178" s="12"/>
      <c r="HQI178" s="11"/>
      <c r="HQJ178" s="12"/>
      <c r="HQS178" s="11"/>
      <c r="HQT178" s="12"/>
      <c r="HRC178" s="11"/>
      <c r="HRD178" s="12"/>
      <c r="HRM178" s="11"/>
      <c r="HRN178" s="12"/>
      <c r="HRW178" s="11"/>
      <c r="HRX178" s="12"/>
      <c r="HSG178" s="11"/>
      <c r="HSH178" s="12"/>
      <c r="HSQ178" s="11"/>
      <c r="HSR178" s="12"/>
      <c r="HTA178" s="11"/>
      <c r="HTB178" s="12"/>
      <c r="HTK178" s="11"/>
      <c r="HTL178" s="12"/>
      <c r="HTU178" s="11"/>
      <c r="HTV178" s="12"/>
      <c r="HUE178" s="11"/>
      <c r="HUF178" s="12"/>
      <c r="HUO178" s="11"/>
      <c r="HUP178" s="12"/>
      <c r="HUY178" s="11"/>
      <c r="HUZ178" s="12"/>
      <c r="HVI178" s="11"/>
      <c r="HVJ178" s="12"/>
      <c r="HVS178" s="11"/>
      <c r="HVT178" s="12"/>
      <c r="HWC178" s="11"/>
      <c r="HWD178" s="12"/>
      <c r="HWM178" s="11"/>
      <c r="HWN178" s="12"/>
      <c r="HWW178" s="11"/>
      <c r="HWX178" s="12"/>
      <c r="HXG178" s="11"/>
      <c r="HXH178" s="12"/>
      <c r="HXQ178" s="11"/>
      <c r="HXR178" s="12"/>
      <c r="HYA178" s="11"/>
      <c r="HYB178" s="12"/>
      <c r="HYK178" s="11"/>
      <c r="HYL178" s="12"/>
      <c r="HYU178" s="11"/>
      <c r="HYV178" s="12"/>
      <c r="HZE178" s="11"/>
      <c r="HZF178" s="12"/>
      <c r="HZO178" s="11"/>
      <c r="HZP178" s="12"/>
      <c r="HZY178" s="11"/>
      <c r="HZZ178" s="12"/>
      <c r="IAI178" s="11"/>
      <c r="IAJ178" s="12"/>
      <c r="IAS178" s="11"/>
      <c r="IAT178" s="12"/>
      <c r="IBC178" s="11"/>
      <c r="IBD178" s="12"/>
      <c r="IBM178" s="11"/>
      <c r="IBN178" s="12"/>
      <c r="IBW178" s="11"/>
      <c r="IBX178" s="12"/>
      <c r="ICG178" s="11"/>
      <c r="ICH178" s="12"/>
      <c r="ICQ178" s="11"/>
      <c r="ICR178" s="12"/>
      <c r="IDA178" s="11"/>
      <c r="IDB178" s="12"/>
      <c r="IDK178" s="11"/>
      <c r="IDL178" s="12"/>
      <c r="IDU178" s="11"/>
      <c r="IDV178" s="12"/>
      <c r="IEE178" s="11"/>
      <c r="IEF178" s="12"/>
      <c r="IEO178" s="11"/>
      <c r="IEP178" s="12"/>
      <c r="IEY178" s="11"/>
      <c r="IEZ178" s="12"/>
      <c r="IFI178" s="11"/>
      <c r="IFJ178" s="12"/>
      <c r="IFS178" s="11"/>
      <c r="IFT178" s="12"/>
      <c r="IGC178" s="11"/>
      <c r="IGD178" s="12"/>
      <c r="IGM178" s="11"/>
      <c r="IGN178" s="12"/>
      <c r="IGW178" s="11"/>
      <c r="IGX178" s="12"/>
      <c r="IHG178" s="11"/>
      <c r="IHH178" s="12"/>
      <c r="IHQ178" s="11"/>
      <c r="IHR178" s="12"/>
      <c r="IIA178" s="11"/>
      <c r="IIB178" s="12"/>
      <c r="IIK178" s="11"/>
      <c r="IIL178" s="12"/>
      <c r="IIU178" s="11"/>
      <c r="IIV178" s="12"/>
      <c r="IJE178" s="11"/>
      <c r="IJF178" s="12"/>
      <c r="IJO178" s="11"/>
      <c r="IJP178" s="12"/>
      <c r="IJY178" s="11"/>
      <c r="IJZ178" s="12"/>
      <c r="IKI178" s="11"/>
      <c r="IKJ178" s="12"/>
      <c r="IKS178" s="11"/>
      <c r="IKT178" s="12"/>
      <c r="ILC178" s="11"/>
      <c r="ILD178" s="12"/>
      <c r="ILM178" s="11"/>
      <c r="ILN178" s="12"/>
      <c r="ILW178" s="11"/>
      <c r="ILX178" s="12"/>
      <c r="IMG178" s="11"/>
      <c r="IMH178" s="12"/>
      <c r="IMQ178" s="11"/>
      <c r="IMR178" s="12"/>
      <c r="INA178" s="11"/>
      <c r="INB178" s="12"/>
      <c r="INK178" s="11"/>
      <c r="INL178" s="12"/>
      <c r="INU178" s="11"/>
      <c r="INV178" s="12"/>
      <c r="IOE178" s="11"/>
      <c r="IOF178" s="12"/>
      <c r="IOO178" s="11"/>
      <c r="IOP178" s="12"/>
      <c r="IOY178" s="11"/>
      <c r="IOZ178" s="12"/>
      <c r="IPI178" s="11"/>
      <c r="IPJ178" s="12"/>
      <c r="IPS178" s="11"/>
      <c r="IPT178" s="12"/>
      <c r="IQC178" s="11"/>
      <c r="IQD178" s="12"/>
      <c r="IQM178" s="11"/>
      <c r="IQN178" s="12"/>
      <c r="IQW178" s="11"/>
      <c r="IQX178" s="12"/>
      <c r="IRG178" s="11"/>
      <c r="IRH178" s="12"/>
      <c r="IRQ178" s="11"/>
      <c r="IRR178" s="12"/>
      <c r="ISA178" s="11"/>
      <c r="ISB178" s="12"/>
      <c r="ISK178" s="11"/>
      <c r="ISL178" s="12"/>
      <c r="ISU178" s="11"/>
      <c r="ISV178" s="12"/>
      <c r="ITE178" s="11"/>
      <c r="ITF178" s="12"/>
      <c r="ITO178" s="11"/>
      <c r="ITP178" s="12"/>
      <c r="ITY178" s="11"/>
      <c r="ITZ178" s="12"/>
      <c r="IUI178" s="11"/>
      <c r="IUJ178" s="12"/>
      <c r="IUS178" s="11"/>
      <c r="IUT178" s="12"/>
      <c r="IVC178" s="11"/>
      <c r="IVD178" s="12"/>
      <c r="IVM178" s="11"/>
      <c r="IVN178" s="12"/>
      <c r="IVW178" s="11"/>
      <c r="IVX178" s="12"/>
      <c r="IWG178" s="11"/>
      <c r="IWH178" s="12"/>
      <c r="IWQ178" s="11"/>
      <c r="IWR178" s="12"/>
      <c r="IXA178" s="11"/>
      <c r="IXB178" s="12"/>
      <c r="IXK178" s="11"/>
      <c r="IXL178" s="12"/>
      <c r="IXU178" s="11"/>
      <c r="IXV178" s="12"/>
      <c r="IYE178" s="11"/>
      <c r="IYF178" s="12"/>
      <c r="IYO178" s="11"/>
      <c r="IYP178" s="12"/>
      <c r="IYY178" s="11"/>
      <c r="IYZ178" s="12"/>
      <c r="IZI178" s="11"/>
      <c r="IZJ178" s="12"/>
      <c r="IZS178" s="11"/>
      <c r="IZT178" s="12"/>
      <c r="JAC178" s="11"/>
      <c r="JAD178" s="12"/>
      <c r="JAM178" s="11"/>
      <c r="JAN178" s="12"/>
      <c r="JAW178" s="11"/>
      <c r="JAX178" s="12"/>
      <c r="JBG178" s="11"/>
      <c r="JBH178" s="12"/>
      <c r="JBQ178" s="11"/>
      <c r="JBR178" s="12"/>
      <c r="JCA178" s="11"/>
      <c r="JCB178" s="12"/>
      <c r="JCK178" s="11"/>
      <c r="JCL178" s="12"/>
      <c r="JCU178" s="11"/>
      <c r="JCV178" s="12"/>
      <c r="JDE178" s="11"/>
      <c r="JDF178" s="12"/>
      <c r="JDO178" s="11"/>
      <c r="JDP178" s="12"/>
      <c r="JDY178" s="11"/>
      <c r="JDZ178" s="12"/>
      <c r="JEI178" s="11"/>
      <c r="JEJ178" s="12"/>
      <c r="JES178" s="11"/>
      <c r="JET178" s="12"/>
      <c r="JFC178" s="11"/>
      <c r="JFD178" s="12"/>
      <c r="JFM178" s="11"/>
      <c r="JFN178" s="12"/>
      <c r="JFW178" s="11"/>
      <c r="JFX178" s="12"/>
      <c r="JGG178" s="11"/>
      <c r="JGH178" s="12"/>
      <c r="JGQ178" s="11"/>
      <c r="JGR178" s="12"/>
      <c r="JHA178" s="11"/>
      <c r="JHB178" s="12"/>
      <c r="JHK178" s="11"/>
      <c r="JHL178" s="12"/>
      <c r="JHU178" s="11"/>
      <c r="JHV178" s="12"/>
      <c r="JIE178" s="11"/>
      <c r="JIF178" s="12"/>
      <c r="JIO178" s="11"/>
      <c r="JIP178" s="12"/>
      <c r="JIY178" s="11"/>
      <c r="JIZ178" s="12"/>
      <c r="JJI178" s="11"/>
      <c r="JJJ178" s="12"/>
      <c r="JJS178" s="11"/>
      <c r="JJT178" s="12"/>
      <c r="JKC178" s="11"/>
      <c r="JKD178" s="12"/>
      <c r="JKM178" s="11"/>
      <c r="JKN178" s="12"/>
      <c r="JKW178" s="11"/>
      <c r="JKX178" s="12"/>
      <c r="JLG178" s="11"/>
      <c r="JLH178" s="12"/>
      <c r="JLQ178" s="11"/>
      <c r="JLR178" s="12"/>
      <c r="JMA178" s="11"/>
      <c r="JMB178" s="12"/>
      <c r="JMK178" s="11"/>
      <c r="JML178" s="12"/>
      <c r="JMU178" s="11"/>
      <c r="JMV178" s="12"/>
      <c r="JNE178" s="11"/>
      <c r="JNF178" s="12"/>
      <c r="JNO178" s="11"/>
      <c r="JNP178" s="12"/>
      <c r="JNY178" s="11"/>
      <c r="JNZ178" s="12"/>
      <c r="JOI178" s="11"/>
      <c r="JOJ178" s="12"/>
      <c r="JOS178" s="11"/>
      <c r="JOT178" s="12"/>
      <c r="JPC178" s="11"/>
      <c r="JPD178" s="12"/>
      <c r="JPM178" s="11"/>
      <c r="JPN178" s="12"/>
      <c r="JPW178" s="11"/>
      <c r="JPX178" s="12"/>
      <c r="JQG178" s="11"/>
      <c r="JQH178" s="12"/>
      <c r="JQQ178" s="11"/>
      <c r="JQR178" s="12"/>
      <c r="JRA178" s="11"/>
      <c r="JRB178" s="12"/>
      <c r="JRK178" s="11"/>
      <c r="JRL178" s="12"/>
      <c r="JRU178" s="11"/>
      <c r="JRV178" s="12"/>
      <c r="JSE178" s="11"/>
      <c r="JSF178" s="12"/>
      <c r="JSO178" s="11"/>
      <c r="JSP178" s="12"/>
      <c r="JSY178" s="11"/>
      <c r="JSZ178" s="12"/>
      <c r="JTI178" s="11"/>
      <c r="JTJ178" s="12"/>
      <c r="JTS178" s="11"/>
      <c r="JTT178" s="12"/>
      <c r="JUC178" s="11"/>
      <c r="JUD178" s="12"/>
      <c r="JUM178" s="11"/>
      <c r="JUN178" s="12"/>
      <c r="JUW178" s="11"/>
      <c r="JUX178" s="12"/>
      <c r="JVG178" s="11"/>
      <c r="JVH178" s="12"/>
      <c r="JVQ178" s="11"/>
      <c r="JVR178" s="12"/>
      <c r="JWA178" s="11"/>
      <c r="JWB178" s="12"/>
      <c r="JWK178" s="11"/>
      <c r="JWL178" s="12"/>
      <c r="JWU178" s="11"/>
      <c r="JWV178" s="12"/>
      <c r="JXE178" s="11"/>
      <c r="JXF178" s="12"/>
      <c r="JXO178" s="11"/>
      <c r="JXP178" s="12"/>
      <c r="JXY178" s="11"/>
      <c r="JXZ178" s="12"/>
      <c r="JYI178" s="11"/>
      <c r="JYJ178" s="12"/>
      <c r="JYS178" s="11"/>
      <c r="JYT178" s="12"/>
      <c r="JZC178" s="11"/>
      <c r="JZD178" s="12"/>
      <c r="JZM178" s="11"/>
      <c r="JZN178" s="12"/>
      <c r="JZW178" s="11"/>
      <c r="JZX178" s="12"/>
      <c r="KAG178" s="11"/>
      <c r="KAH178" s="12"/>
      <c r="KAQ178" s="11"/>
      <c r="KAR178" s="12"/>
      <c r="KBA178" s="11"/>
      <c r="KBB178" s="12"/>
      <c r="KBK178" s="11"/>
      <c r="KBL178" s="12"/>
      <c r="KBU178" s="11"/>
      <c r="KBV178" s="12"/>
      <c r="KCE178" s="11"/>
      <c r="KCF178" s="12"/>
      <c r="KCO178" s="11"/>
      <c r="KCP178" s="12"/>
      <c r="KCY178" s="11"/>
      <c r="KCZ178" s="12"/>
      <c r="KDI178" s="11"/>
      <c r="KDJ178" s="12"/>
      <c r="KDS178" s="11"/>
      <c r="KDT178" s="12"/>
      <c r="KEC178" s="11"/>
      <c r="KED178" s="12"/>
      <c r="KEM178" s="11"/>
      <c r="KEN178" s="12"/>
      <c r="KEW178" s="11"/>
      <c r="KEX178" s="12"/>
      <c r="KFG178" s="11"/>
      <c r="KFH178" s="12"/>
      <c r="KFQ178" s="11"/>
      <c r="KFR178" s="12"/>
      <c r="KGA178" s="11"/>
      <c r="KGB178" s="12"/>
      <c r="KGK178" s="11"/>
      <c r="KGL178" s="12"/>
      <c r="KGU178" s="11"/>
      <c r="KGV178" s="12"/>
      <c r="KHE178" s="11"/>
      <c r="KHF178" s="12"/>
      <c r="KHO178" s="11"/>
      <c r="KHP178" s="12"/>
      <c r="KHY178" s="11"/>
      <c r="KHZ178" s="12"/>
      <c r="KII178" s="11"/>
      <c r="KIJ178" s="12"/>
      <c r="KIS178" s="11"/>
      <c r="KIT178" s="12"/>
      <c r="KJC178" s="11"/>
      <c r="KJD178" s="12"/>
      <c r="KJM178" s="11"/>
      <c r="KJN178" s="12"/>
      <c r="KJW178" s="11"/>
      <c r="KJX178" s="12"/>
      <c r="KKG178" s="11"/>
      <c r="KKH178" s="12"/>
      <c r="KKQ178" s="11"/>
      <c r="KKR178" s="12"/>
      <c r="KLA178" s="11"/>
      <c r="KLB178" s="12"/>
      <c r="KLK178" s="11"/>
      <c r="KLL178" s="12"/>
      <c r="KLU178" s="11"/>
      <c r="KLV178" s="12"/>
      <c r="KME178" s="11"/>
      <c r="KMF178" s="12"/>
      <c r="KMO178" s="11"/>
      <c r="KMP178" s="12"/>
      <c r="KMY178" s="11"/>
      <c r="KMZ178" s="12"/>
      <c r="KNI178" s="11"/>
      <c r="KNJ178" s="12"/>
      <c r="KNS178" s="11"/>
      <c r="KNT178" s="12"/>
      <c r="KOC178" s="11"/>
      <c r="KOD178" s="12"/>
      <c r="KOM178" s="11"/>
      <c r="KON178" s="12"/>
      <c r="KOW178" s="11"/>
      <c r="KOX178" s="12"/>
      <c r="KPG178" s="11"/>
      <c r="KPH178" s="12"/>
      <c r="KPQ178" s="11"/>
      <c r="KPR178" s="12"/>
      <c r="KQA178" s="11"/>
      <c r="KQB178" s="12"/>
      <c r="KQK178" s="11"/>
      <c r="KQL178" s="12"/>
      <c r="KQU178" s="11"/>
      <c r="KQV178" s="12"/>
      <c r="KRE178" s="11"/>
      <c r="KRF178" s="12"/>
      <c r="KRO178" s="11"/>
      <c r="KRP178" s="12"/>
      <c r="KRY178" s="11"/>
      <c r="KRZ178" s="12"/>
      <c r="KSI178" s="11"/>
      <c r="KSJ178" s="12"/>
      <c r="KSS178" s="11"/>
      <c r="KST178" s="12"/>
      <c r="KTC178" s="11"/>
      <c r="KTD178" s="12"/>
      <c r="KTM178" s="11"/>
      <c r="KTN178" s="12"/>
      <c r="KTW178" s="11"/>
      <c r="KTX178" s="12"/>
      <c r="KUG178" s="11"/>
      <c r="KUH178" s="12"/>
      <c r="KUQ178" s="11"/>
      <c r="KUR178" s="12"/>
      <c r="KVA178" s="11"/>
      <c r="KVB178" s="12"/>
      <c r="KVK178" s="11"/>
      <c r="KVL178" s="12"/>
      <c r="KVU178" s="11"/>
      <c r="KVV178" s="12"/>
      <c r="KWE178" s="11"/>
      <c r="KWF178" s="12"/>
      <c r="KWO178" s="11"/>
      <c r="KWP178" s="12"/>
      <c r="KWY178" s="11"/>
      <c r="KWZ178" s="12"/>
      <c r="KXI178" s="11"/>
      <c r="KXJ178" s="12"/>
      <c r="KXS178" s="11"/>
      <c r="KXT178" s="12"/>
      <c r="KYC178" s="11"/>
      <c r="KYD178" s="12"/>
      <c r="KYM178" s="11"/>
      <c r="KYN178" s="12"/>
      <c r="KYW178" s="11"/>
      <c r="KYX178" s="12"/>
      <c r="KZG178" s="11"/>
      <c r="KZH178" s="12"/>
      <c r="KZQ178" s="11"/>
      <c r="KZR178" s="12"/>
      <c r="LAA178" s="11"/>
      <c r="LAB178" s="12"/>
      <c r="LAK178" s="11"/>
      <c r="LAL178" s="12"/>
      <c r="LAU178" s="11"/>
      <c r="LAV178" s="12"/>
      <c r="LBE178" s="11"/>
      <c r="LBF178" s="12"/>
      <c r="LBO178" s="11"/>
      <c r="LBP178" s="12"/>
      <c r="LBY178" s="11"/>
      <c r="LBZ178" s="12"/>
      <c r="LCI178" s="11"/>
      <c r="LCJ178" s="12"/>
      <c r="LCS178" s="11"/>
      <c r="LCT178" s="12"/>
      <c r="LDC178" s="11"/>
      <c r="LDD178" s="12"/>
      <c r="LDM178" s="11"/>
      <c r="LDN178" s="12"/>
      <c r="LDW178" s="11"/>
      <c r="LDX178" s="12"/>
      <c r="LEG178" s="11"/>
      <c r="LEH178" s="12"/>
      <c r="LEQ178" s="11"/>
      <c r="LER178" s="12"/>
      <c r="LFA178" s="11"/>
      <c r="LFB178" s="12"/>
      <c r="LFK178" s="11"/>
      <c r="LFL178" s="12"/>
      <c r="LFU178" s="11"/>
      <c r="LFV178" s="12"/>
      <c r="LGE178" s="11"/>
      <c r="LGF178" s="12"/>
      <c r="LGO178" s="11"/>
      <c r="LGP178" s="12"/>
      <c r="LGY178" s="11"/>
      <c r="LGZ178" s="12"/>
      <c r="LHI178" s="11"/>
      <c r="LHJ178" s="12"/>
      <c r="LHS178" s="11"/>
      <c r="LHT178" s="12"/>
      <c r="LIC178" s="11"/>
      <c r="LID178" s="12"/>
      <c r="LIM178" s="11"/>
      <c r="LIN178" s="12"/>
      <c r="LIW178" s="11"/>
      <c r="LIX178" s="12"/>
      <c r="LJG178" s="11"/>
      <c r="LJH178" s="12"/>
      <c r="LJQ178" s="11"/>
      <c r="LJR178" s="12"/>
      <c r="LKA178" s="11"/>
      <c r="LKB178" s="12"/>
      <c r="LKK178" s="11"/>
      <c r="LKL178" s="12"/>
      <c r="LKU178" s="11"/>
      <c r="LKV178" s="12"/>
      <c r="LLE178" s="11"/>
      <c r="LLF178" s="12"/>
      <c r="LLO178" s="11"/>
      <c r="LLP178" s="12"/>
      <c r="LLY178" s="11"/>
      <c r="LLZ178" s="12"/>
      <c r="LMI178" s="11"/>
      <c r="LMJ178" s="12"/>
      <c r="LMS178" s="11"/>
      <c r="LMT178" s="12"/>
      <c r="LNC178" s="11"/>
      <c r="LND178" s="12"/>
      <c r="LNM178" s="11"/>
      <c r="LNN178" s="12"/>
      <c r="LNW178" s="11"/>
      <c r="LNX178" s="12"/>
      <c r="LOG178" s="11"/>
      <c r="LOH178" s="12"/>
      <c r="LOQ178" s="11"/>
      <c r="LOR178" s="12"/>
      <c r="LPA178" s="11"/>
      <c r="LPB178" s="12"/>
      <c r="LPK178" s="11"/>
      <c r="LPL178" s="12"/>
      <c r="LPU178" s="11"/>
      <c r="LPV178" s="12"/>
      <c r="LQE178" s="11"/>
      <c r="LQF178" s="12"/>
      <c r="LQO178" s="11"/>
      <c r="LQP178" s="12"/>
      <c r="LQY178" s="11"/>
      <c r="LQZ178" s="12"/>
      <c r="LRI178" s="11"/>
      <c r="LRJ178" s="12"/>
      <c r="LRS178" s="11"/>
      <c r="LRT178" s="12"/>
      <c r="LSC178" s="11"/>
      <c r="LSD178" s="12"/>
      <c r="LSM178" s="11"/>
      <c r="LSN178" s="12"/>
      <c r="LSW178" s="11"/>
      <c r="LSX178" s="12"/>
      <c r="LTG178" s="11"/>
      <c r="LTH178" s="12"/>
      <c r="LTQ178" s="11"/>
      <c r="LTR178" s="12"/>
      <c r="LUA178" s="11"/>
      <c r="LUB178" s="12"/>
      <c r="LUK178" s="11"/>
      <c r="LUL178" s="12"/>
      <c r="LUU178" s="11"/>
      <c r="LUV178" s="12"/>
      <c r="LVE178" s="11"/>
      <c r="LVF178" s="12"/>
      <c r="LVO178" s="11"/>
      <c r="LVP178" s="12"/>
      <c r="LVY178" s="11"/>
      <c r="LVZ178" s="12"/>
      <c r="LWI178" s="11"/>
      <c r="LWJ178" s="12"/>
      <c r="LWS178" s="11"/>
      <c r="LWT178" s="12"/>
      <c r="LXC178" s="11"/>
      <c r="LXD178" s="12"/>
      <c r="LXM178" s="11"/>
      <c r="LXN178" s="12"/>
      <c r="LXW178" s="11"/>
      <c r="LXX178" s="12"/>
      <c r="LYG178" s="11"/>
      <c r="LYH178" s="12"/>
      <c r="LYQ178" s="11"/>
      <c r="LYR178" s="12"/>
      <c r="LZA178" s="11"/>
      <c r="LZB178" s="12"/>
      <c r="LZK178" s="11"/>
      <c r="LZL178" s="12"/>
      <c r="LZU178" s="11"/>
      <c r="LZV178" s="12"/>
      <c r="MAE178" s="11"/>
      <c r="MAF178" s="12"/>
      <c r="MAO178" s="11"/>
      <c r="MAP178" s="12"/>
      <c r="MAY178" s="11"/>
      <c r="MAZ178" s="12"/>
      <c r="MBI178" s="11"/>
      <c r="MBJ178" s="12"/>
      <c r="MBS178" s="11"/>
      <c r="MBT178" s="12"/>
      <c r="MCC178" s="11"/>
      <c r="MCD178" s="12"/>
      <c r="MCM178" s="11"/>
      <c r="MCN178" s="12"/>
      <c r="MCW178" s="11"/>
      <c r="MCX178" s="12"/>
      <c r="MDG178" s="11"/>
      <c r="MDH178" s="12"/>
      <c r="MDQ178" s="11"/>
      <c r="MDR178" s="12"/>
      <c r="MEA178" s="11"/>
      <c r="MEB178" s="12"/>
      <c r="MEK178" s="11"/>
      <c r="MEL178" s="12"/>
      <c r="MEU178" s="11"/>
      <c r="MEV178" s="12"/>
      <c r="MFE178" s="11"/>
      <c r="MFF178" s="12"/>
      <c r="MFO178" s="11"/>
      <c r="MFP178" s="12"/>
      <c r="MFY178" s="11"/>
      <c r="MFZ178" s="12"/>
      <c r="MGI178" s="11"/>
      <c r="MGJ178" s="12"/>
      <c r="MGS178" s="11"/>
      <c r="MGT178" s="12"/>
      <c r="MHC178" s="11"/>
      <c r="MHD178" s="12"/>
      <c r="MHM178" s="11"/>
      <c r="MHN178" s="12"/>
      <c r="MHW178" s="11"/>
      <c r="MHX178" s="12"/>
      <c r="MIG178" s="11"/>
      <c r="MIH178" s="12"/>
      <c r="MIQ178" s="11"/>
      <c r="MIR178" s="12"/>
      <c r="MJA178" s="11"/>
      <c r="MJB178" s="12"/>
      <c r="MJK178" s="11"/>
      <c r="MJL178" s="12"/>
      <c r="MJU178" s="11"/>
      <c r="MJV178" s="12"/>
      <c r="MKE178" s="11"/>
      <c r="MKF178" s="12"/>
      <c r="MKO178" s="11"/>
      <c r="MKP178" s="12"/>
      <c r="MKY178" s="11"/>
      <c r="MKZ178" s="12"/>
      <c r="MLI178" s="11"/>
      <c r="MLJ178" s="12"/>
      <c r="MLS178" s="11"/>
      <c r="MLT178" s="12"/>
      <c r="MMC178" s="11"/>
      <c r="MMD178" s="12"/>
      <c r="MMM178" s="11"/>
      <c r="MMN178" s="12"/>
      <c r="MMW178" s="11"/>
      <c r="MMX178" s="12"/>
      <c r="MNG178" s="11"/>
      <c r="MNH178" s="12"/>
      <c r="MNQ178" s="11"/>
      <c r="MNR178" s="12"/>
      <c r="MOA178" s="11"/>
      <c r="MOB178" s="12"/>
      <c r="MOK178" s="11"/>
      <c r="MOL178" s="12"/>
      <c r="MOU178" s="11"/>
      <c r="MOV178" s="12"/>
      <c r="MPE178" s="11"/>
      <c r="MPF178" s="12"/>
      <c r="MPO178" s="11"/>
      <c r="MPP178" s="12"/>
      <c r="MPY178" s="11"/>
      <c r="MPZ178" s="12"/>
      <c r="MQI178" s="11"/>
      <c r="MQJ178" s="12"/>
      <c r="MQS178" s="11"/>
      <c r="MQT178" s="12"/>
      <c r="MRC178" s="11"/>
      <c r="MRD178" s="12"/>
      <c r="MRM178" s="11"/>
      <c r="MRN178" s="12"/>
      <c r="MRW178" s="11"/>
      <c r="MRX178" s="12"/>
      <c r="MSG178" s="11"/>
      <c r="MSH178" s="12"/>
      <c r="MSQ178" s="11"/>
      <c r="MSR178" s="12"/>
      <c r="MTA178" s="11"/>
      <c r="MTB178" s="12"/>
      <c r="MTK178" s="11"/>
      <c r="MTL178" s="12"/>
      <c r="MTU178" s="11"/>
      <c r="MTV178" s="12"/>
      <c r="MUE178" s="11"/>
      <c r="MUF178" s="12"/>
      <c r="MUO178" s="11"/>
      <c r="MUP178" s="12"/>
      <c r="MUY178" s="11"/>
      <c r="MUZ178" s="12"/>
      <c r="MVI178" s="11"/>
      <c r="MVJ178" s="12"/>
      <c r="MVS178" s="11"/>
      <c r="MVT178" s="12"/>
      <c r="MWC178" s="11"/>
      <c r="MWD178" s="12"/>
      <c r="MWM178" s="11"/>
      <c r="MWN178" s="12"/>
      <c r="MWW178" s="11"/>
      <c r="MWX178" s="12"/>
      <c r="MXG178" s="11"/>
      <c r="MXH178" s="12"/>
      <c r="MXQ178" s="11"/>
      <c r="MXR178" s="12"/>
      <c r="MYA178" s="11"/>
      <c r="MYB178" s="12"/>
      <c r="MYK178" s="11"/>
      <c r="MYL178" s="12"/>
      <c r="MYU178" s="11"/>
      <c r="MYV178" s="12"/>
      <c r="MZE178" s="11"/>
      <c r="MZF178" s="12"/>
      <c r="MZO178" s="11"/>
      <c r="MZP178" s="12"/>
      <c r="MZY178" s="11"/>
      <c r="MZZ178" s="12"/>
      <c r="NAI178" s="11"/>
      <c r="NAJ178" s="12"/>
      <c r="NAS178" s="11"/>
      <c r="NAT178" s="12"/>
      <c r="NBC178" s="11"/>
      <c r="NBD178" s="12"/>
      <c r="NBM178" s="11"/>
      <c r="NBN178" s="12"/>
      <c r="NBW178" s="11"/>
      <c r="NBX178" s="12"/>
      <c r="NCG178" s="11"/>
      <c r="NCH178" s="12"/>
      <c r="NCQ178" s="11"/>
      <c r="NCR178" s="12"/>
      <c r="NDA178" s="11"/>
      <c r="NDB178" s="12"/>
      <c r="NDK178" s="11"/>
      <c r="NDL178" s="12"/>
      <c r="NDU178" s="11"/>
      <c r="NDV178" s="12"/>
      <c r="NEE178" s="11"/>
      <c r="NEF178" s="12"/>
      <c r="NEO178" s="11"/>
      <c r="NEP178" s="12"/>
      <c r="NEY178" s="11"/>
      <c r="NEZ178" s="12"/>
      <c r="NFI178" s="11"/>
      <c r="NFJ178" s="12"/>
      <c r="NFS178" s="11"/>
      <c r="NFT178" s="12"/>
      <c r="NGC178" s="11"/>
      <c r="NGD178" s="12"/>
      <c r="NGM178" s="11"/>
      <c r="NGN178" s="12"/>
      <c r="NGW178" s="11"/>
      <c r="NGX178" s="12"/>
      <c r="NHG178" s="11"/>
      <c r="NHH178" s="12"/>
      <c r="NHQ178" s="11"/>
      <c r="NHR178" s="12"/>
      <c r="NIA178" s="11"/>
      <c r="NIB178" s="12"/>
      <c r="NIK178" s="11"/>
      <c r="NIL178" s="12"/>
      <c r="NIU178" s="11"/>
      <c r="NIV178" s="12"/>
      <c r="NJE178" s="11"/>
      <c r="NJF178" s="12"/>
      <c r="NJO178" s="11"/>
      <c r="NJP178" s="12"/>
      <c r="NJY178" s="11"/>
      <c r="NJZ178" s="12"/>
      <c r="NKI178" s="11"/>
      <c r="NKJ178" s="12"/>
      <c r="NKS178" s="11"/>
      <c r="NKT178" s="12"/>
      <c r="NLC178" s="11"/>
      <c r="NLD178" s="12"/>
      <c r="NLM178" s="11"/>
      <c r="NLN178" s="12"/>
      <c r="NLW178" s="11"/>
      <c r="NLX178" s="12"/>
      <c r="NMG178" s="11"/>
      <c r="NMH178" s="12"/>
      <c r="NMQ178" s="11"/>
      <c r="NMR178" s="12"/>
      <c r="NNA178" s="11"/>
      <c r="NNB178" s="12"/>
      <c r="NNK178" s="11"/>
      <c r="NNL178" s="12"/>
      <c r="NNU178" s="11"/>
      <c r="NNV178" s="12"/>
      <c r="NOE178" s="11"/>
      <c r="NOF178" s="12"/>
      <c r="NOO178" s="11"/>
      <c r="NOP178" s="12"/>
      <c r="NOY178" s="11"/>
      <c r="NOZ178" s="12"/>
      <c r="NPI178" s="11"/>
      <c r="NPJ178" s="12"/>
      <c r="NPS178" s="11"/>
      <c r="NPT178" s="12"/>
      <c r="NQC178" s="11"/>
      <c r="NQD178" s="12"/>
      <c r="NQM178" s="11"/>
      <c r="NQN178" s="12"/>
      <c r="NQW178" s="11"/>
      <c r="NQX178" s="12"/>
      <c r="NRG178" s="11"/>
      <c r="NRH178" s="12"/>
      <c r="NRQ178" s="11"/>
      <c r="NRR178" s="12"/>
      <c r="NSA178" s="11"/>
      <c r="NSB178" s="12"/>
      <c r="NSK178" s="11"/>
      <c r="NSL178" s="12"/>
      <c r="NSU178" s="11"/>
      <c r="NSV178" s="12"/>
      <c r="NTE178" s="11"/>
      <c r="NTF178" s="12"/>
      <c r="NTO178" s="11"/>
      <c r="NTP178" s="12"/>
      <c r="NTY178" s="11"/>
      <c r="NTZ178" s="12"/>
      <c r="NUI178" s="11"/>
      <c r="NUJ178" s="12"/>
      <c r="NUS178" s="11"/>
      <c r="NUT178" s="12"/>
      <c r="NVC178" s="11"/>
      <c r="NVD178" s="12"/>
      <c r="NVM178" s="11"/>
      <c r="NVN178" s="12"/>
      <c r="NVW178" s="11"/>
      <c r="NVX178" s="12"/>
      <c r="NWG178" s="11"/>
      <c r="NWH178" s="12"/>
      <c r="NWQ178" s="11"/>
      <c r="NWR178" s="12"/>
      <c r="NXA178" s="11"/>
      <c r="NXB178" s="12"/>
      <c r="NXK178" s="11"/>
      <c r="NXL178" s="12"/>
      <c r="NXU178" s="11"/>
      <c r="NXV178" s="12"/>
      <c r="NYE178" s="11"/>
      <c r="NYF178" s="12"/>
      <c r="NYO178" s="11"/>
      <c r="NYP178" s="12"/>
      <c r="NYY178" s="11"/>
      <c r="NYZ178" s="12"/>
      <c r="NZI178" s="11"/>
      <c r="NZJ178" s="12"/>
      <c r="NZS178" s="11"/>
      <c r="NZT178" s="12"/>
      <c r="OAC178" s="11"/>
      <c r="OAD178" s="12"/>
      <c r="OAM178" s="11"/>
      <c r="OAN178" s="12"/>
      <c r="OAW178" s="11"/>
      <c r="OAX178" s="12"/>
      <c r="OBG178" s="11"/>
      <c r="OBH178" s="12"/>
      <c r="OBQ178" s="11"/>
      <c r="OBR178" s="12"/>
      <c r="OCA178" s="11"/>
      <c r="OCB178" s="12"/>
      <c r="OCK178" s="11"/>
      <c r="OCL178" s="12"/>
      <c r="OCU178" s="11"/>
      <c r="OCV178" s="12"/>
      <c r="ODE178" s="11"/>
      <c r="ODF178" s="12"/>
      <c r="ODO178" s="11"/>
      <c r="ODP178" s="12"/>
      <c r="ODY178" s="11"/>
      <c r="ODZ178" s="12"/>
      <c r="OEI178" s="11"/>
      <c r="OEJ178" s="12"/>
      <c r="OES178" s="11"/>
      <c r="OET178" s="12"/>
      <c r="OFC178" s="11"/>
      <c r="OFD178" s="12"/>
      <c r="OFM178" s="11"/>
      <c r="OFN178" s="12"/>
      <c r="OFW178" s="11"/>
      <c r="OFX178" s="12"/>
      <c r="OGG178" s="11"/>
      <c r="OGH178" s="12"/>
      <c r="OGQ178" s="11"/>
      <c r="OGR178" s="12"/>
      <c r="OHA178" s="11"/>
      <c r="OHB178" s="12"/>
      <c r="OHK178" s="11"/>
      <c r="OHL178" s="12"/>
      <c r="OHU178" s="11"/>
      <c r="OHV178" s="12"/>
      <c r="OIE178" s="11"/>
      <c r="OIF178" s="12"/>
      <c r="OIO178" s="11"/>
      <c r="OIP178" s="12"/>
      <c r="OIY178" s="11"/>
      <c r="OIZ178" s="12"/>
      <c r="OJI178" s="11"/>
      <c r="OJJ178" s="12"/>
      <c r="OJS178" s="11"/>
      <c r="OJT178" s="12"/>
      <c r="OKC178" s="11"/>
      <c r="OKD178" s="12"/>
      <c r="OKM178" s="11"/>
      <c r="OKN178" s="12"/>
      <c r="OKW178" s="11"/>
      <c r="OKX178" s="12"/>
      <c r="OLG178" s="11"/>
      <c r="OLH178" s="12"/>
      <c r="OLQ178" s="11"/>
      <c r="OLR178" s="12"/>
      <c r="OMA178" s="11"/>
      <c r="OMB178" s="12"/>
      <c r="OMK178" s="11"/>
      <c r="OML178" s="12"/>
      <c r="OMU178" s="11"/>
      <c r="OMV178" s="12"/>
      <c r="ONE178" s="11"/>
      <c r="ONF178" s="12"/>
      <c r="ONO178" s="11"/>
      <c r="ONP178" s="12"/>
      <c r="ONY178" s="11"/>
      <c r="ONZ178" s="12"/>
      <c r="OOI178" s="11"/>
      <c r="OOJ178" s="12"/>
      <c r="OOS178" s="11"/>
      <c r="OOT178" s="12"/>
      <c r="OPC178" s="11"/>
      <c r="OPD178" s="12"/>
      <c r="OPM178" s="11"/>
      <c r="OPN178" s="12"/>
      <c r="OPW178" s="11"/>
      <c r="OPX178" s="12"/>
      <c r="OQG178" s="11"/>
      <c r="OQH178" s="12"/>
      <c r="OQQ178" s="11"/>
      <c r="OQR178" s="12"/>
      <c r="ORA178" s="11"/>
      <c r="ORB178" s="12"/>
      <c r="ORK178" s="11"/>
      <c r="ORL178" s="12"/>
      <c r="ORU178" s="11"/>
      <c r="ORV178" s="12"/>
      <c r="OSE178" s="11"/>
      <c r="OSF178" s="12"/>
      <c r="OSO178" s="11"/>
      <c r="OSP178" s="12"/>
      <c r="OSY178" s="11"/>
      <c r="OSZ178" s="12"/>
      <c r="OTI178" s="11"/>
      <c r="OTJ178" s="12"/>
      <c r="OTS178" s="11"/>
      <c r="OTT178" s="12"/>
      <c r="OUC178" s="11"/>
      <c r="OUD178" s="12"/>
      <c r="OUM178" s="11"/>
      <c r="OUN178" s="12"/>
      <c r="OUW178" s="11"/>
      <c r="OUX178" s="12"/>
      <c r="OVG178" s="11"/>
      <c r="OVH178" s="12"/>
      <c r="OVQ178" s="11"/>
      <c r="OVR178" s="12"/>
      <c r="OWA178" s="11"/>
      <c r="OWB178" s="12"/>
      <c r="OWK178" s="11"/>
      <c r="OWL178" s="12"/>
      <c r="OWU178" s="11"/>
      <c r="OWV178" s="12"/>
      <c r="OXE178" s="11"/>
      <c r="OXF178" s="12"/>
      <c r="OXO178" s="11"/>
      <c r="OXP178" s="12"/>
      <c r="OXY178" s="11"/>
      <c r="OXZ178" s="12"/>
      <c r="OYI178" s="11"/>
      <c r="OYJ178" s="12"/>
      <c r="OYS178" s="11"/>
      <c r="OYT178" s="12"/>
      <c r="OZC178" s="11"/>
      <c r="OZD178" s="12"/>
      <c r="OZM178" s="11"/>
      <c r="OZN178" s="12"/>
      <c r="OZW178" s="11"/>
      <c r="OZX178" s="12"/>
      <c r="PAG178" s="11"/>
      <c r="PAH178" s="12"/>
      <c r="PAQ178" s="11"/>
      <c r="PAR178" s="12"/>
      <c r="PBA178" s="11"/>
      <c r="PBB178" s="12"/>
      <c r="PBK178" s="11"/>
      <c r="PBL178" s="12"/>
      <c r="PBU178" s="11"/>
      <c r="PBV178" s="12"/>
      <c r="PCE178" s="11"/>
      <c r="PCF178" s="12"/>
      <c r="PCO178" s="11"/>
      <c r="PCP178" s="12"/>
      <c r="PCY178" s="11"/>
      <c r="PCZ178" s="12"/>
      <c r="PDI178" s="11"/>
      <c r="PDJ178" s="12"/>
      <c r="PDS178" s="11"/>
      <c r="PDT178" s="12"/>
      <c r="PEC178" s="11"/>
      <c r="PED178" s="12"/>
      <c r="PEM178" s="11"/>
      <c r="PEN178" s="12"/>
      <c r="PEW178" s="11"/>
      <c r="PEX178" s="12"/>
      <c r="PFG178" s="11"/>
      <c r="PFH178" s="12"/>
      <c r="PFQ178" s="11"/>
      <c r="PFR178" s="12"/>
      <c r="PGA178" s="11"/>
      <c r="PGB178" s="12"/>
      <c r="PGK178" s="11"/>
      <c r="PGL178" s="12"/>
      <c r="PGU178" s="11"/>
      <c r="PGV178" s="12"/>
      <c r="PHE178" s="11"/>
      <c r="PHF178" s="12"/>
      <c r="PHO178" s="11"/>
      <c r="PHP178" s="12"/>
      <c r="PHY178" s="11"/>
      <c r="PHZ178" s="12"/>
      <c r="PII178" s="11"/>
      <c r="PIJ178" s="12"/>
      <c r="PIS178" s="11"/>
      <c r="PIT178" s="12"/>
      <c r="PJC178" s="11"/>
      <c r="PJD178" s="12"/>
      <c r="PJM178" s="11"/>
      <c r="PJN178" s="12"/>
      <c r="PJW178" s="11"/>
      <c r="PJX178" s="12"/>
      <c r="PKG178" s="11"/>
      <c r="PKH178" s="12"/>
      <c r="PKQ178" s="11"/>
      <c r="PKR178" s="12"/>
      <c r="PLA178" s="11"/>
      <c r="PLB178" s="12"/>
      <c r="PLK178" s="11"/>
      <c r="PLL178" s="12"/>
      <c r="PLU178" s="11"/>
      <c r="PLV178" s="12"/>
      <c r="PME178" s="11"/>
      <c r="PMF178" s="12"/>
      <c r="PMO178" s="11"/>
      <c r="PMP178" s="12"/>
      <c r="PMY178" s="11"/>
      <c r="PMZ178" s="12"/>
      <c r="PNI178" s="11"/>
      <c r="PNJ178" s="12"/>
      <c r="PNS178" s="11"/>
      <c r="PNT178" s="12"/>
      <c r="POC178" s="11"/>
      <c r="POD178" s="12"/>
      <c r="POM178" s="11"/>
      <c r="PON178" s="12"/>
      <c r="POW178" s="11"/>
      <c r="POX178" s="12"/>
      <c r="PPG178" s="11"/>
      <c r="PPH178" s="12"/>
      <c r="PPQ178" s="11"/>
      <c r="PPR178" s="12"/>
      <c r="PQA178" s="11"/>
      <c r="PQB178" s="12"/>
      <c r="PQK178" s="11"/>
      <c r="PQL178" s="12"/>
      <c r="PQU178" s="11"/>
      <c r="PQV178" s="12"/>
      <c r="PRE178" s="11"/>
      <c r="PRF178" s="12"/>
      <c r="PRO178" s="11"/>
      <c r="PRP178" s="12"/>
      <c r="PRY178" s="11"/>
      <c r="PRZ178" s="12"/>
      <c r="PSI178" s="11"/>
      <c r="PSJ178" s="12"/>
      <c r="PSS178" s="11"/>
      <c r="PST178" s="12"/>
      <c r="PTC178" s="11"/>
      <c r="PTD178" s="12"/>
      <c r="PTM178" s="11"/>
      <c r="PTN178" s="12"/>
      <c r="PTW178" s="11"/>
      <c r="PTX178" s="12"/>
      <c r="PUG178" s="11"/>
      <c r="PUH178" s="12"/>
      <c r="PUQ178" s="11"/>
      <c r="PUR178" s="12"/>
      <c r="PVA178" s="11"/>
      <c r="PVB178" s="12"/>
      <c r="PVK178" s="11"/>
      <c r="PVL178" s="12"/>
      <c r="PVU178" s="11"/>
      <c r="PVV178" s="12"/>
      <c r="PWE178" s="11"/>
      <c r="PWF178" s="12"/>
      <c r="PWO178" s="11"/>
      <c r="PWP178" s="12"/>
      <c r="PWY178" s="11"/>
      <c r="PWZ178" s="12"/>
      <c r="PXI178" s="11"/>
      <c r="PXJ178" s="12"/>
      <c r="PXS178" s="11"/>
      <c r="PXT178" s="12"/>
      <c r="PYC178" s="11"/>
      <c r="PYD178" s="12"/>
      <c r="PYM178" s="11"/>
      <c r="PYN178" s="12"/>
      <c r="PYW178" s="11"/>
      <c r="PYX178" s="12"/>
      <c r="PZG178" s="11"/>
      <c r="PZH178" s="12"/>
      <c r="PZQ178" s="11"/>
      <c r="PZR178" s="12"/>
      <c r="QAA178" s="11"/>
      <c r="QAB178" s="12"/>
      <c r="QAK178" s="11"/>
      <c r="QAL178" s="12"/>
      <c r="QAU178" s="11"/>
      <c r="QAV178" s="12"/>
      <c r="QBE178" s="11"/>
      <c r="QBF178" s="12"/>
      <c r="QBO178" s="11"/>
      <c r="QBP178" s="12"/>
      <c r="QBY178" s="11"/>
      <c r="QBZ178" s="12"/>
      <c r="QCI178" s="11"/>
      <c r="QCJ178" s="12"/>
      <c r="QCS178" s="11"/>
      <c r="QCT178" s="12"/>
      <c r="QDC178" s="11"/>
      <c r="QDD178" s="12"/>
      <c r="QDM178" s="11"/>
      <c r="QDN178" s="12"/>
      <c r="QDW178" s="11"/>
      <c r="QDX178" s="12"/>
      <c r="QEG178" s="11"/>
      <c r="QEH178" s="12"/>
      <c r="QEQ178" s="11"/>
      <c r="QER178" s="12"/>
      <c r="QFA178" s="11"/>
      <c r="QFB178" s="12"/>
      <c r="QFK178" s="11"/>
      <c r="QFL178" s="12"/>
      <c r="QFU178" s="11"/>
      <c r="QFV178" s="12"/>
      <c r="QGE178" s="11"/>
      <c r="QGF178" s="12"/>
      <c r="QGO178" s="11"/>
      <c r="QGP178" s="12"/>
      <c r="QGY178" s="11"/>
      <c r="QGZ178" s="12"/>
      <c r="QHI178" s="11"/>
      <c r="QHJ178" s="12"/>
      <c r="QHS178" s="11"/>
      <c r="QHT178" s="12"/>
      <c r="QIC178" s="11"/>
      <c r="QID178" s="12"/>
      <c r="QIM178" s="11"/>
      <c r="QIN178" s="12"/>
      <c r="QIW178" s="11"/>
      <c r="QIX178" s="12"/>
      <c r="QJG178" s="11"/>
      <c r="QJH178" s="12"/>
      <c r="QJQ178" s="11"/>
      <c r="QJR178" s="12"/>
      <c r="QKA178" s="11"/>
      <c r="QKB178" s="12"/>
      <c r="QKK178" s="11"/>
      <c r="QKL178" s="12"/>
      <c r="QKU178" s="11"/>
      <c r="QKV178" s="12"/>
      <c r="QLE178" s="11"/>
      <c r="QLF178" s="12"/>
      <c r="QLO178" s="11"/>
      <c r="QLP178" s="12"/>
      <c r="QLY178" s="11"/>
      <c r="QLZ178" s="12"/>
      <c r="QMI178" s="11"/>
      <c r="QMJ178" s="12"/>
      <c r="QMS178" s="11"/>
      <c r="QMT178" s="12"/>
      <c r="QNC178" s="11"/>
      <c r="QND178" s="12"/>
      <c r="QNM178" s="11"/>
      <c r="QNN178" s="12"/>
      <c r="QNW178" s="11"/>
      <c r="QNX178" s="12"/>
      <c r="QOG178" s="11"/>
      <c r="QOH178" s="12"/>
      <c r="QOQ178" s="11"/>
      <c r="QOR178" s="12"/>
      <c r="QPA178" s="11"/>
      <c r="QPB178" s="12"/>
      <c r="QPK178" s="11"/>
      <c r="QPL178" s="12"/>
      <c r="QPU178" s="11"/>
      <c r="QPV178" s="12"/>
      <c r="QQE178" s="11"/>
      <c r="QQF178" s="12"/>
      <c r="QQO178" s="11"/>
      <c r="QQP178" s="12"/>
      <c r="QQY178" s="11"/>
      <c r="QQZ178" s="12"/>
      <c r="QRI178" s="11"/>
      <c r="QRJ178" s="12"/>
      <c r="QRS178" s="11"/>
      <c r="QRT178" s="12"/>
      <c r="QSC178" s="11"/>
      <c r="QSD178" s="12"/>
      <c r="QSM178" s="11"/>
      <c r="QSN178" s="12"/>
      <c r="QSW178" s="11"/>
      <c r="QSX178" s="12"/>
      <c r="QTG178" s="11"/>
      <c r="QTH178" s="12"/>
      <c r="QTQ178" s="11"/>
      <c r="QTR178" s="12"/>
      <c r="QUA178" s="11"/>
      <c r="QUB178" s="12"/>
      <c r="QUK178" s="11"/>
      <c r="QUL178" s="12"/>
      <c r="QUU178" s="11"/>
      <c r="QUV178" s="12"/>
      <c r="QVE178" s="11"/>
      <c r="QVF178" s="12"/>
      <c r="QVO178" s="11"/>
      <c r="QVP178" s="12"/>
      <c r="QVY178" s="11"/>
      <c r="QVZ178" s="12"/>
      <c r="QWI178" s="11"/>
      <c r="QWJ178" s="12"/>
      <c r="QWS178" s="11"/>
      <c r="QWT178" s="12"/>
      <c r="QXC178" s="11"/>
      <c r="QXD178" s="12"/>
      <c r="QXM178" s="11"/>
      <c r="QXN178" s="12"/>
      <c r="QXW178" s="11"/>
      <c r="QXX178" s="12"/>
      <c r="QYG178" s="11"/>
      <c r="QYH178" s="12"/>
      <c r="QYQ178" s="11"/>
      <c r="QYR178" s="12"/>
      <c r="QZA178" s="11"/>
      <c r="QZB178" s="12"/>
      <c r="QZK178" s="11"/>
      <c r="QZL178" s="12"/>
      <c r="QZU178" s="11"/>
      <c r="QZV178" s="12"/>
      <c r="RAE178" s="11"/>
      <c r="RAF178" s="12"/>
      <c r="RAO178" s="11"/>
      <c r="RAP178" s="12"/>
      <c r="RAY178" s="11"/>
      <c r="RAZ178" s="12"/>
      <c r="RBI178" s="11"/>
      <c r="RBJ178" s="12"/>
      <c r="RBS178" s="11"/>
      <c r="RBT178" s="12"/>
      <c r="RCC178" s="11"/>
      <c r="RCD178" s="12"/>
      <c r="RCM178" s="11"/>
      <c r="RCN178" s="12"/>
      <c r="RCW178" s="11"/>
      <c r="RCX178" s="12"/>
      <c r="RDG178" s="11"/>
      <c r="RDH178" s="12"/>
      <c r="RDQ178" s="11"/>
      <c r="RDR178" s="12"/>
      <c r="REA178" s="11"/>
      <c r="REB178" s="12"/>
      <c r="REK178" s="11"/>
      <c r="REL178" s="12"/>
      <c r="REU178" s="11"/>
      <c r="REV178" s="12"/>
      <c r="RFE178" s="11"/>
      <c r="RFF178" s="12"/>
      <c r="RFO178" s="11"/>
      <c r="RFP178" s="12"/>
      <c r="RFY178" s="11"/>
      <c r="RFZ178" s="12"/>
      <c r="RGI178" s="11"/>
      <c r="RGJ178" s="12"/>
      <c r="RGS178" s="11"/>
      <c r="RGT178" s="12"/>
      <c r="RHC178" s="11"/>
      <c r="RHD178" s="12"/>
      <c r="RHM178" s="11"/>
      <c r="RHN178" s="12"/>
      <c r="RHW178" s="11"/>
      <c r="RHX178" s="12"/>
      <c r="RIG178" s="11"/>
      <c r="RIH178" s="12"/>
      <c r="RIQ178" s="11"/>
      <c r="RIR178" s="12"/>
      <c r="RJA178" s="11"/>
      <c r="RJB178" s="12"/>
      <c r="RJK178" s="11"/>
      <c r="RJL178" s="12"/>
      <c r="RJU178" s="11"/>
      <c r="RJV178" s="12"/>
      <c r="RKE178" s="11"/>
      <c r="RKF178" s="12"/>
      <c r="RKO178" s="11"/>
      <c r="RKP178" s="12"/>
      <c r="RKY178" s="11"/>
      <c r="RKZ178" s="12"/>
      <c r="RLI178" s="11"/>
      <c r="RLJ178" s="12"/>
      <c r="RLS178" s="11"/>
      <c r="RLT178" s="12"/>
      <c r="RMC178" s="11"/>
      <c r="RMD178" s="12"/>
      <c r="RMM178" s="11"/>
      <c r="RMN178" s="12"/>
      <c r="RMW178" s="11"/>
      <c r="RMX178" s="12"/>
      <c r="RNG178" s="11"/>
      <c r="RNH178" s="12"/>
      <c r="RNQ178" s="11"/>
      <c r="RNR178" s="12"/>
      <c r="ROA178" s="11"/>
      <c r="ROB178" s="12"/>
      <c r="ROK178" s="11"/>
      <c r="ROL178" s="12"/>
      <c r="ROU178" s="11"/>
      <c r="ROV178" s="12"/>
      <c r="RPE178" s="11"/>
      <c r="RPF178" s="12"/>
      <c r="RPO178" s="11"/>
      <c r="RPP178" s="12"/>
      <c r="RPY178" s="11"/>
      <c r="RPZ178" s="12"/>
      <c r="RQI178" s="11"/>
      <c r="RQJ178" s="12"/>
      <c r="RQS178" s="11"/>
      <c r="RQT178" s="12"/>
      <c r="RRC178" s="11"/>
      <c r="RRD178" s="12"/>
      <c r="RRM178" s="11"/>
      <c r="RRN178" s="12"/>
      <c r="RRW178" s="11"/>
      <c r="RRX178" s="12"/>
      <c r="RSG178" s="11"/>
      <c r="RSH178" s="12"/>
      <c r="RSQ178" s="11"/>
      <c r="RSR178" s="12"/>
      <c r="RTA178" s="11"/>
      <c r="RTB178" s="12"/>
      <c r="RTK178" s="11"/>
      <c r="RTL178" s="12"/>
      <c r="RTU178" s="11"/>
      <c r="RTV178" s="12"/>
      <c r="RUE178" s="11"/>
      <c r="RUF178" s="12"/>
      <c r="RUO178" s="11"/>
      <c r="RUP178" s="12"/>
      <c r="RUY178" s="11"/>
      <c r="RUZ178" s="12"/>
      <c r="RVI178" s="11"/>
      <c r="RVJ178" s="12"/>
      <c r="RVS178" s="11"/>
      <c r="RVT178" s="12"/>
      <c r="RWC178" s="11"/>
      <c r="RWD178" s="12"/>
      <c r="RWM178" s="11"/>
      <c r="RWN178" s="12"/>
      <c r="RWW178" s="11"/>
      <c r="RWX178" s="12"/>
      <c r="RXG178" s="11"/>
      <c r="RXH178" s="12"/>
      <c r="RXQ178" s="11"/>
      <c r="RXR178" s="12"/>
      <c r="RYA178" s="11"/>
      <c r="RYB178" s="12"/>
      <c r="RYK178" s="11"/>
      <c r="RYL178" s="12"/>
      <c r="RYU178" s="11"/>
      <c r="RYV178" s="12"/>
      <c r="RZE178" s="11"/>
      <c r="RZF178" s="12"/>
      <c r="RZO178" s="11"/>
      <c r="RZP178" s="12"/>
      <c r="RZY178" s="11"/>
      <c r="RZZ178" s="12"/>
      <c r="SAI178" s="11"/>
      <c r="SAJ178" s="12"/>
      <c r="SAS178" s="11"/>
      <c r="SAT178" s="12"/>
      <c r="SBC178" s="11"/>
      <c r="SBD178" s="12"/>
      <c r="SBM178" s="11"/>
      <c r="SBN178" s="12"/>
      <c r="SBW178" s="11"/>
      <c r="SBX178" s="12"/>
      <c r="SCG178" s="11"/>
      <c r="SCH178" s="12"/>
      <c r="SCQ178" s="11"/>
      <c r="SCR178" s="12"/>
      <c r="SDA178" s="11"/>
      <c r="SDB178" s="12"/>
      <c r="SDK178" s="11"/>
      <c r="SDL178" s="12"/>
      <c r="SDU178" s="11"/>
      <c r="SDV178" s="12"/>
      <c r="SEE178" s="11"/>
      <c r="SEF178" s="12"/>
      <c r="SEO178" s="11"/>
      <c r="SEP178" s="12"/>
      <c r="SEY178" s="11"/>
      <c r="SEZ178" s="12"/>
      <c r="SFI178" s="11"/>
      <c r="SFJ178" s="12"/>
      <c r="SFS178" s="11"/>
      <c r="SFT178" s="12"/>
      <c r="SGC178" s="11"/>
      <c r="SGD178" s="12"/>
      <c r="SGM178" s="11"/>
      <c r="SGN178" s="12"/>
      <c r="SGW178" s="11"/>
      <c r="SGX178" s="12"/>
      <c r="SHG178" s="11"/>
      <c r="SHH178" s="12"/>
      <c r="SHQ178" s="11"/>
      <c r="SHR178" s="12"/>
      <c r="SIA178" s="11"/>
      <c r="SIB178" s="12"/>
      <c r="SIK178" s="11"/>
      <c r="SIL178" s="12"/>
      <c r="SIU178" s="11"/>
      <c r="SIV178" s="12"/>
      <c r="SJE178" s="11"/>
      <c r="SJF178" s="12"/>
      <c r="SJO178" s="11"/>
      <c r="SJP178" s="12"/>
      <c r="SJY178" s="11"/>
      <c r="SJZ178" s="12"/>
      <c r="SKI178" s="11"/>
      <c r="SKJ178" s="12"/>
      <c r="SKS178" s="11"/>
      <c r="SKT178" s="12"/>
      <c r="SLC178" s="11"/>
      <c r="SLD178" s="12"/>
      <c r="SLM178" s="11"/>
      <c r="SLN178" s="12"/>
      <c r="SLW178" s="11"/>
      <c r="SLX178" s="12"/>
      <c r="SMG178" s="11"/>
      <c r="SMH178" s="12"/>
      <c r="SMQ178" s="11"/>
      <c r="SMR178" s="12"/>
      <c r="SNA178" s="11"/>
      <c r="SNB178" s="12"/>
      <c r="SNK178" s="11"/>
      <c r="SNL178" s="12"/>
      <c r="SNU178" s="11"/>
      <c r="SNV178" s="12"/>
      <c r="SOE178" s="11"/>
      <c r="SOF178" s="12"/>
      <c r="SOO178" s="11"/>
      <c r="SOP178" s="12"/>
      <c r="SOY178" s="11"/>
      <c r="SOZ178" s="12"/>
      <c r="SPI178" s="11"/>
      <c r="SPJ178" s="12"/>
      <c r="SPS178" s="11"/>
      <c r="SPT178" s="12"/>
      <c r="SQC178" s="11"/>
      <c r="SQD178" s="12"/>
      <c r="SQM178" s="11"/>
      <c r="SQN178" s="12"/>
      <c r="SQW178" s="11"/>
      <c r="SQX178" s="12"/>
      <c r="SRG178" s="11"/>
      <c r="SRH178" s="12"/>
      <c r="SRQ178" s="11"/>
      <c r="SRR178" s="12"/>
      <c r="SSA178" s="11"/>
      <c r="SSB178" s="12"/>
      <c r="SSK178" s="11"/>
      <c r="SSL178" s="12"/>
      <c r="SSU178" s="11"/>
      <c r="SSV178" s="12"/>
      <c r="STE178" s="11"/>
      <c r="STF178" s="12"/>
      <c r="STO178" s="11"/>
      <c r="STP178" s="12"/>
      <c r="STY178" s="11"/>
      <c r="STZ178" s="12"/>
      <c r="SUI178" s="11"/>
      <c r="SUJ178" s="12"/>
      <c r="SUS178" s="11"/>
      <c r="SUT178" s="12"/>
      <c r="SVC178" s="11"/>
      <c r="SVD178" s="12"/>
      <c r="SVM178" s="11"/>
      <c r="SVN178" s="12"/>
      <c r="SVW178" s="11"/>
      <c r="SVX178" s="12"/>
      <c r="SWG178" s="11"/>
      <c r="SWH178" s="12"/>
      <c r="SWQ178" s="11"/>
      <c r="SWR178" s="12"/>
      <c r="SXA178" s="11"/>
      <c r="SXB178" s="12"/>
      <c r="SXK178" s="11"/>
      <c r="SXL178" s="12"/>
      <c r="SXU178" s="11"/>
      <c r="SXV178" s="12"/>
      <c r="SYE178" s="11"/>
      <c r="SYF178" s="12"/>
      <c r="SYO178" s="11"/>
      <c r="SYP178" s="12"/>
      <c r="SYY178" s="11"/>
      <c r="SYZ178" s="12"/>
      <c r="SZI178" s="11"/>
      <c r="SZJ178" s="12"/>
      <c r="SZS178" s="11"/>
      <c r="SZT178" s="12"/>
      <c r="TAC178" s="11"/>
      <c r="TAD178" s="12"/>
      <c r="TAM178" s="11"/>
      <c r="TAN178" s="12"/>
      <c r="TAW178" s="11"/>
      <c r="TAX178" s="12"/>
      <c r="TBG178" s="11"/>
      <c r="TBH178" s="12"/>
      <c r="TBQ178" s="11"/>
      <c r="TBR178" s="12"/>
      <c r="TCA178" s="11"/>
      <c r="TCB178" s="12"/>
      <c r="TCK178" s="11"/>
      <c r="TCL178" s="12"/>
      <c r="TCU178" s="11"/>
      <c r="TCV178" s="12"/>
      <c r="TDE178" s="11"/>
      <c r="TDF178" s="12"/>
      <c r="TDO178" s="11"/>
      <c r="TDP178" s="12"/>
      <c r="TDY178" s="11"/>
      <c r="TDZ178" s="12"/>
      <c r="TEI178" s="11"/>
      <c r="TEJ178" s="12"/>
      <c r="TES178" s="11"/>
      <c r="TET178" s="12"/>
      <c r="TFC178" s="11"/>
      <c r="TFD178" s="12"/>
      <c r="TFM178" s="11"/>
      <c r="TFN178" s="12"/>
      <c r="TFW178" s="11"/>
      <c r="TFX178" s="12"/>
      <c r="TGG178" s="11"/>
      <c r="TGH178" s="12"/>
      <c r="TGQ178" s="11"/>
      <c r="TGR178" s="12"/>
      <c r="THA178" s="11"/>
      <c r="THB178" s="12"/>
      <c r="THK178" s="11"/>
      <c r="THL178" s="12"/>
      <c r="THU178" s="11"/>
      <c r="THV178" s="12"/>
      <c r="TIE178" s="11"/>
      <c r="TIF178" s="12"/>
      <c r="TIO178" s="11"/>
      <c r="TIP178" s="12"/>
      <c r="TIY178" s="11"/>
      <c r="TIZ178" s="12"/>
      <c r="TJI178" s="11"/>
      <c r="TJJ178" s="12"/>
      <c r="TJS178" s="11"/>
      <c r="TJT178" s="12"/>
      <c r="TKC178" s="11"/>
      <c r="TKD178" s="12"/>
      <c r="TKM178" s="11"/>
      <c r="TKN178" s="12"/>
      <c r="TKW178" s="11"/>
      <c r="TKX178" s="12"/>
      <c r="TLG178" s="11"/>
      <c r="TLH178" s="12"/>
      <c r="TLQ178" s="11"/>
      <c r="TLR178" s="12"/>
      <c r="TMA178" s="11"/>
      <c r="TMB178" s="12"/>
      <c r="TMK178" s="11"/>
      <c r="TML178" s="12"/>
      <c r="TMU178" s="11"/>
      <c r="TMV178" s="12"/>
      <c r="TNE178" s="11"/>
      <c r="TNF178" s="12"/>
      <c r="TNO178" s="11"/>
      <c r="TNP178" s="12"/>
      <c r="TNY178" s="11"/>
      <c r="TNZ178" s="12"/>
      <c r="TOI178" s="11"/>
      <c r="TOJ178" s="12"/>
      <c r="TOS178" s="11"/>
      <c r="TOT178" s="12"/>
      <c r="TPC178" s="11"/>
      <c r="TPD178" s="12"/>
      <c r="TPM178" s="11"/>
      <c r="TPN178" s="12"/>
      <c r="TPW178" s="11"/>
      <c r="TPX178" s="12"/>
      <c r="TQG178" s="11"/>
      <c r="TQH178" s="12"/>
      <c r="TQQ178" s="11"/>
      <c r="TQR178" s="12"/>
      <c r="TRA178" s="11"/>
      <c r="TRB178" s="12"/>
      <c r="TRK178" s="11"/>
      <c r="TRL178" s="12"/>
      <c r="TRU178" s="11"/>
      <c r="TRV178" s="12"/>
      <c r="TSE178" s="11"/>
      <c r="TSF178" s="12"/>
      <c r="TSO178" s="11"/>
      <c r="TSP178" s="12"/>
      <c r="TSY178" s="11"/>
      <c r="TSZ178" s="12"/>
      <c r="TTI178" s="11"/>
      <c r="TTJ178" s="12"/>
      <c r="TTS178" s="11"/>
      <c r="TTT178" s="12"/>
      <c r="TUC178" s="11"/>
      <c r="TUD178" s="12"/>
      <c r="TUM178" s="11"/>
      <c r="TUN178" s="12"/>
      <c r="TUW178" s="11"/>
      <c r="TUX178" s="12"/>
      <c r="TVG178" s="11"/>
      <c r="TVH178" s="12"/>
      <c r="TVQ178" s="11"/>
      <c r="TVR178" s="12"/>
      <c r="TWA178" s="11"/>
      <c r="TWB178" s="12"/>
      <c r="TWK178" s="11"/>
      <c r="TWL178" s="12"/>
      <c r="TWU178" s="11"/>
      <c r="TWV178" s="12"/>
      <c r="TXE178" s="11"/>
      <c r="TXF178" s="12"/>
      <c r="TXO178" s="11"/>
      <c r="TXP178" s="12"/>
      <c r="TXY178" s="11"/>
      <c r="TXZ178" s="12"/>
      <c r="TYI178" s="11"/>
      <c r="TYJ178" s="12"/>
      <c r="TYS178" s="11"/>
      <c r="TYT178" s="12"/>
      <c r="TZC178" s="11"/>
      <c r="TZD178" s="12"/>
      <c r="TZM178" s="11"/>
      <c r="TZN178" s="12"/>
      <c r="TZW178" s="11"/>
      <c r="TZX178" s="12"/>
      <c r="UAG178" s="11"/>
      <c r="UAH178" s="12"/>
      <c r="UAQ178" s="11"/>
      <c r="UAR178" s="12"/>
      <c r="UBA178" s="11"/>
      <c r="UBB178" s="12"/>
      <c r="UBK178" s="11"/>
      <c r="UBL178" s="12"/>
      <c r="UBU178" s="11"/>
      <c r="UBV178" s="12"/>
      <c r="UCE178" s="11"/>
      <c r="UCF178" s="12"/>
      <c r="UCO178" s="11"/>
      <c r="UCP178" s="12"/>
      <c r="UCY178" s="11"/>
      <c r="UCZ178" s="12"/>
      <c r="UDI178" s="11"/>
      <c r="UDJ178" s="12"/>
      <c r="UDS178" s="11"/>
      <c r="UDT178" s="12"/>
      <c r="UEC178" s="11"/>
      <c r="UED178" s="12"/>
      <c r="UEM178" s="11"/>
      <c r="UEN178" s="12"/>
      <c r="UEW178" s="11"/>
      <c r="UEX178" s="12"/>
      <c r="UFG178" s="11"/>
      <c r="UFH178" s="12"/>
      <c r="UFQ178" s="11"/>
      <c r="UFR178" s="12"/>
      <c r="UGA178" s="11"/>
      <c r="UGB178" s="12"/>
      <c r="UGK178" s="11"/>
      <c r="UGL178" s="12"/>
      <c r="UGU178" s="11"/>
      <c r="UGV178" s="12"/>
      <c r="UHE178" s="11"/>
      <c r="UHF178" s="12"/>
      <c r="UHO178" s="11"/>
      <c r="UHP178" s="12"/>
      <c r="UHY178" s="11"/>
      <c r="UHZ178" s="12"/>
      <c r="UII178" s="11"/>
      <c r="UIJ178" s="12"/>
      <c r="UIS178" s="11"/>
      <c r="UIT178" s="12"/>
      <c r="UJC178" s="11"/>
      <c r="UJD178" s="12"/>
      <c r="UJM178" s="11"/>
      <c r="UJN178" s="12"/>
      <c r="UJW178" s="11"/>
      <c r="UJX178" s="12"/>
      <c r="UKG178" s="11"/>
      <c r="UKH178" s="12"/>
      <c r="UKQ178" s="11"/>
      <c r="UKR178" s="12"/>
      <c r="ULA178" s="11"/>
      <c r="ULB178" s="12"/>
      <c r="ULK178" s="11"/>
      <c r="ULL178" s="12"/>
      <c r="ULU178" s="11"/>
      <c r="ULV178" s="12"/>
      <c r="UME178" s="11"/>
      <c r="UMF178" s="12"/>
      <c r="UMO178" s="11"/>
      <c r="UMP178" s="12"/>
      <c r="UMY178" s="11"/>
      <c r="UMZ178" s="12"/>
      <c r="UNI178" s="11"/>
      <c r="UNJ178" s="12"/>
      <c r="UNS178" s="11"/>
      <c r="UNT178" s="12"/>
      <c r="UOC178" s="11"/>
      <c r="UOD178" s="12"/>
      <c r="UOM178" s="11"/>
      <c r="UON178" s="12"/>
      <c r="UOW178" s="11"/>
      <c r="UOX178" s="12"/>
      <c r="UPG178" s="11"/>
      <c r="UPH178" s="12"/>
      <c r="UPQ178" s="11"/>
      <c r="UPR178" s="12"/>
      <c r="UQA178" s="11"/>
      <c r="UQB178" s="12"/>
      <c r="UQK178" s="11"/>
      <c r="UQL178" s="12"/>
      <c r="UQU178" s="11"/>
      <c r="UQV178" s="12"/>
      <c r="URE178" s="11"/>
      <c r="URF178" s="12"/>
      <c r="URO178" s="11"/>
      <c r="URP178" s="12"/>
      <c r="URY178" s="11"/>
      <c r="URZ178" s="12"/>
      <c r="USI178" s="11"/>
      <c r="USJ178" s="12"/>
      <c r="USS178" s="11"/>
      <c r="UST178" s="12"/>
      <c r="UTC178" s="11"/>
      <c r="UTD178" s="12"/>
      <c r="UTM178" s="11"/>
      <c r="UTN178" s="12"/>
      <c r="UTW178" s="11"/>
      <c r="UTX178" s="12"/>
      <c r="UUG178" s="11"/>
      <c r="UUH178" s="12"/>
      <c r="UUQ178" s="11"/>
      <c r="UUR178" s="12"/>
      <c r="UVA178" s="11"/>
      <c r="UVB178" s="12"/>
      <c r="UVK178" s="11"/>
      <c r="UVL178" s="12"/>
      <c r="UVU178" s="11"/>
      <c r="UVV178" s="12"/>
      <c r="UWE178" s="11"/>
      <c r="UWF178" s="12"/>
      <c r="UWO178" s="11"/>
      <c r="UWP178" s="12"/>
      <c r="UWY178" s="11"/>
      <c r="UWZ178" s="12"/>
      <c r="UXI178" s="11"/>
      <c r="UXJ178" s="12"/>
      <c r="UXS178" s="11"/>
      <c r="UXT178" s="12"/>
      <c r="UYC178" s="11"/>
      <c r="UYD178" s="12"/>
      <c r="UYM178" s="11"/>
      <c r="UYN178" s="12"/>
      <c r="UYW178" s="11"/>
      <c r="UYX178" s="12"/>
      <c r="UZG178" s="11"/>
      <c r="UZH178" s="12"/>
      <c r="UZQ178" s="11"/>
      <c r="UZR178" s="12"/>
      <c r="VAA178" s="11"/>
      <c r="VAB178" s="12"/>
      <c r="VAK178" s="11"/>
      <c r="VAL178" s="12"/>
      <c r="VAU178" s="11"/>
      <c r="VAV178" s="12"/>
      <c r="VBE178" s="11"/>
      <c r="VBF178" s="12"/>
      <c r="VBO178" s="11"/>
      <c r="VBP178" s="12"/>
      <c r="VBY178" s="11"/>
      <c r="VBZ178" s="12"/>
      <c r="VCI178" s="11"/>
      <c r="VCJ178" s="12"/>
      <c r="VCS178" s="11"/>
      <c r="VCT178" s="12"/>
      <c r="VDC178" s="11"/>
      <c r="VDD178" s="12"/>
      <c r="VDM178" s="11"/>
      <c r="VDN178" s="12"/>
      <c r="VDW178" s="11"/>
      <c r="VDX178" s="12"/>
      <c r="VEG178" s="11"/>
      <c r="VEH178" s="12"/>
      <c r="VEQ178" s="11"/>
      <c r="VER178" s="12"/>
      <c r="VFA178" s="11"/>
      <c r="VFB178" s="12"/>
      <c r="VFK178" s="11"/>
      <c r="VFL178" s="12"/>
      <c r="VFU178" s="11"/>
      <c r="VFV178" s="12"/>
      <c r="VGE178" s="11"/>
      <c r="VGF178" s="12"/>
      <c r="VGO178" s="11"/>
      <c r="VGP178" s="12"/>
      <c r="VGY178" s="11"/>
      <c r="VGZ178" s="12"/>
      <c r="VHI178" s="11"/>
      <c r="VHJ178" s="12"/>
      <c r="VHS178" s="11"/>
      <c r="VHT178" s="12"/>
      <c r="VIC178" s="11"/>
      <c r="VID178" s="12"/>
      <c r="VIM178" s="11"/>
      <c r="VIN178" s="12"/>
      <c r="VIW178" s="11"/>
      <c r="VIX178" s="12"/>
      <c r="VJG178" s="11"/>
      <c r="VJH178" s="12"/>
      <c r="VJQ178" s="11"/>
      <c r="VJR178" s="12"/>
      <c r="VKA178" s="11"/>
      <c r="VKB178" s="12"/>
      <c r="VKK178" s="11"/>
      <c r="VKL178" s="12"/>
      <c r="VKU178" s="11"/>
      <c r="VKV178" s="12"/>
      <c r="VLE178" s="11"/>
      <c r="VLF178" s="12"/>
      <c r="VLO178" s="11"/>
      <c r="VLP178" s="12"/>
      <c r="VLY178" s="11"/>
      <c r="VLZ178" s="12"/>
      <c r="VMI178" s="11"/>
      <c r="VMJ178" s="12"/>
      <c r="VMS178" s="11"/>
      <c r="VMT178" s="12"/>
      <c r="VNC178" s="11"/>
      <c r="VND178" s="12"/>
      <c r="VNM178" s="11"/>
      <c r="VNN178" s="12"/>
      <c r="VNW178" s="11"/>
      <c r="VNX178" s="12"/>
      <c r="VOG178" s="11"/>
      <c r="VOH178" s="12"/>
      <c r="VOQ178" s="11"/>
      <c r="VOR178" s="12"/>
      <c r="VPA178" s="11"/>
      <c r="VPB178" s="12"/>
      <c r="VPK178" s="11"/>
      <c r="VPL178" s="12"/>
      <c r="VPU178" s="11"/>
      <c r="VPV178" s="12"/>
      <c r="VQE178" s="11"/>
      <c r="VQF178" s="12"/>
      <c r="VQO178" s="11"/>
      <c r="VQP178" s="12"/>
      <c r="VQY178" s="11"/>
      <c r="VQZ178" s="12"/>
      <c r="VRI178" s="11"/>
      <c r="VRJ178" s="12"/>
      <c r="VRS178" s="11"/>
      <c r="VRT178" s="12"/>
      <c r="VSC178" s="11"/>
      <c r="VSD178" s="12"/>
      <c r="VSM178" s="11"/>
      <c r="VSN178" s="12"/>
      <c r="VSW178" s="11"/>
      <c r="VSX178" s="12"/>
      <c r="VTG178" s="11"/>
      <c r="VTH178" s="12"/>
      <c r="VTQ178" s="11"/>
      <c r="VTR178" s="12"/>
      <c r="VUA178" s="11"/>
      <c r="VUB178" s="12"/>
      <c r="VUK178" s="11"/>
      <c r="VUL178" s="12"/>
      <c r="VUU178" s="11"/>
      <c r="VUV178" s="12"/>
      <c r="VVE178" s="11"/>
      <c r="VVF178" s="12"/>
      <c r="VVO178" s="11"/>
      <c r="VVP178" s="12"/>
      <c r="VVY178" s="11"/>
      <c r="VVZ178" s="12"/>
      <c r="VWI178" s="11"/>
      <c r="VWJ178" s="12"/>
      <c r="VWS178" s="11"/>
      <c r="VWT178" s="12"/>
      <c r="VXC178" s="11"/>
      <c r="VXD178" s="12"/>
      <c r="VXM178" s="11"/>
      <c r="VXN178" s="12"/>
      <c r="VXW178" s="11"/>
      <c r="VXX178" s="12"/>
      <c r="VYG178" s="11"/>
      <c r="VYH178" s="12"/>
      <c r="VYQ178" s="11"/>
      <c r="VYR178" s="12"/>
      <c r="VZA178" s="11"/>
      <c r="VZB178" s="12"/>
      <c r="VZK178" s="11"/>
      <c r="VZL178" s="12"/>
      <c r="VZU178" s="11"/>
      <c r="VZV178" s="12"/>
      <c r="WAE178" s="11"/>
      <c r="WAF178" s="12"/>
      <c r="WAO178" s="11"/>
      <c r="WAP178" s="12"/>
      <c r="WAY178" s="11"/>
      <c r="WAZ178" s="12"/>
      <c r="WBI178" s="11"/>
      <c r="WBJ178" s="12"/>
      <c r="WBS178" s="11"/>
      <c r="WBT178" s="12"/>
      <c r="WCC178" s="11"/>
      <c r="WCD178" s="12"/>
      <c r="WCM178" s="11"/>
      <c r="WCN178" s="12"/>
      <c r="WCW178" s="11"/>
      <c r="WCX178" s="12"/>
      <c r="WDG178" s="11"/>
      <c r="WDH178" s="12"/>
      <c r="WDQ178" s="11"/>
      <c r="WDR178" s="12"/>
      <c r="WEA178" s="11"/>
      <c r="WEB178" s="12"/>
      <c r="WEK178" s="11"/>
      <c r="WEL178" s="12"/>
      <c r="WEU178" s="11"/>
      <c r="WEV178" s="12"/>
      <c r="WFE178" s="11"/>
      <c r="WFF178" s="12"/>
      <c r="WFO178" s="11"/>
      <c r="WFP178" s="12"/>
      <c r="WFY178" s="11"/>
      <c r="WFZ178" s="12"/>
      <c r="WGI178" s="11"/>
      <c r="WGJ178" s="12"/>
      <c r="WGS178" s="11"/>
      <c r="WGT178" s="12"/>
      <c r="WHC178" s="11"/>
      <c r="WHD178" s="12"/>
      <c r="WHM178" s="11"/>
      <c r="WHN178" s="12"/>
      <c r="WHW178" s="11"/>
      <c r="WHX178" s="12"/>
      <c r="WIG178" s="11"/>
      <c r="WIH178" s="12"/>
      <c r="WIQ178" s="11"/>
      <c r="WIR178" s="12"/>
      <c r="WJA178" s="11"/>
      <c r="WJB178" s="12"/>
      <c r="WJK178" s="11"/>
      <c r="WJL178" s="12"/>
      <c r="WJU178" s="11"/>
      <c r="WJV178" s="12"/>
      <c r="WKE178" s="11"/>
      <c r="WKF178" s="12"/>
      <c r="WKO178" s="11"/>
      <c r="WKP178" s="12"/>
      <c r="WKY178" s="11"/>
      <c r="WKZ178" s="12"/>
      <c r="WLI178" s="11"/>
      <c r="WLJ178" s="12"/>
      <c r="WLS178" s="11"/>
      <c r="WLT178" s="12"/>
      <c r="WMC178" s="11"/>
      <c r="WMD178" s="12"/>
      <c r="WMM178" s="11"/>
      <c r="WMN178" s="12"/>
      <c r="WMW178" s="11"/>
      <c r="WMX178" s="12"/>
      <c r="WNG178" s="11"/>
      <c r="WNH178" s="12"/>
      <c r="WNQ178" s="11"/>
      <c r="WNR178" s="12"/>
      <c r="WOA178" s="11"/>
      <c r="WOB178" s="12"/>
      <c r="WOK178" s="11"/>
      <c r="WOL178" s="12"/>
      <c r="WOU178" s="11"/>
      <c r="WOV178" s="12"/>
      <c r="WPE178" s="11"/>
      <c r="WPF178" s="12"/>
      <c r="WPO178" s="11"/>
      <c r="WPP178" s="12"/>
      <c r="WPY178" s="11"/>
      <c r="WPZ178" s="12"/>
      <c r="WQI178" s="11"/>
      <c r="WQJ178" s="12"/>
      <c r="WQS178" s="11"/>
      <c r="WQT178" s="12"/>
      <c r="WRC178" s="11"/>
      <c r="WRD178" s="12"/>
      <c r="WRM178" s="11"/>
      <c r="WRN178" s="12"/>
      <c r="WRW178" s="11"/>
      <c r="WRX178" s="12"/>
      <c r="WSG178" s="11"/>
      <c r="WSH178" s="12"/>
      <c r="WSQ178" s="11"/>
      <c r="WSR178" s="12"/>
      <c r="WTA178" s="11"/>
      <c r="WTB178" s="12"/>
      <c r="WTK178" s="11"/>
      <c r="WTL178" s="12"/>
      <c r="WTU178" s="11"/>
      <c r="WTV178" s="12"/>
      <c r="WUE178" s="11"/>
      <c r="WUF178" s="12"/>
      <c r="WUO178" s="11"/>
      <c r="WUP178" s="12"/>
      <c r="WUY178" s="11"/>
      <c r="WUZ178" s="12"/>
      <c r="WVI178" s="11"/>
      <c r="WVJ178" s="12"/>
      <c r="WVS178" s="11"/>
      <c r="WVT178" s="12"/>
      <c r="WWC178" s="11"/>
      <c r="WWD178" s="12"/>
      <c r="WWM178" s="11"/>
      <c r="WWN178" s="12"/>
      <c r="WWW178" s="11"/>
      <c r="WWX178" s="12"/>
      <c r="WXG178" s="11"/>
      <c r="WXH178" s="12"/>
      <c r="WXQ178" s="11"/>
      <c r="WXR178" s="12"/>
      <c r="WYA178" s="11"/>
      <c r="WYB178" s="12"/>
      <c r="WYK178" s="11"/>
      <c r="WYL178" s="12"/>
      <c r="WYU178" s="11"/>
      <c r="WYV178" s="12"/>
      <c r="WZE178" s="11"/>
      <c r="WZF178" s="12"/>
      <c r="WZO178" s="11"/>
      <c r="WZP178" s="12"/>
      <c r="WZY178" s="11"/>
      <c r="WZZ178" s="12"/>
      <c r="XAI178" s="11"/>
      <c r="XAJ178" s="12"/>
      <c r="XAS178" s="11"/>
      <c r="XAT178" s="12"/>
      <c r="XBC178" s="11"/>
      <c r="XBD178" s="12"/>
      <c r="XBM178" s="11"/>
      <c r="XBN178" s="12"/>
      <c r="XBW178" s="11"/>
      <c r="XBX178" s="12"/>
      <c r="XCG178" s="11"/>
      <c r="XCH178" s="12"/>
      <c r="XCQ178" s="11"/>
      <c r="XCR178" s="12"/>
      <c r="XDA178" s="11"/>
      <c r="XDB178" s="12"/>
      <c r="XDK178" s="11"/>
      <c r="XDL178" s="12"/>
      <c r="XDU178" s="11"/>
      <c r="XDV178" s="12"/>
      <c r="XEE178" s="11"/>
      <c r="XEF178" s="12"/>
      <c r="XEO178" s="11"/>
      <c r="XEP178" s="12"/>
      <c r="XEY178" s="11"/>
      <c r="XEZ178" s="12"/>
    </row>
    <row r="179" spans="1:1020 1029:2040 2049:3070 3079:4090 4099:5120 5129:6140 6149:7160 7169:8190 8199:9210 9219:10240 10249:11260 11269:12280 12289:13310 13319:14330 14339:15360 15369:16380" s="10" customFormat="1" ht="41.4" customHeight="1" x14ac:dyDescent="0.3">
      <c r="A179"/>
      <c r="B179"/>
      <c r="C179"/>
      <c r="D179"/>
      <c r="E179"/>
      <c r="F179"/>
      <c r="G179"/>
      <c r="H179" s="39" t="s">
        <v>9</v>
      </c>
      <c r="I179" s="40" t="s">
        <v>10</v>
      </c>
      <c r="J179" s="41" t="s">
        <v>11</v>
      </c>
      <c r="K179" s="42" t="s">
        <v>290</v>
      </c>
      <c r="L179" s="40" t="s">
        <v>272</v>
      </c>
      <c r="M179" s="40"/>
      <c r="N179" s="43"/>
      <c r="O179" s="40">
        <v>3</v>
      </c>
      <c r="P179" s="33">
        <f>IF(Tabela1[[#This Row],[Status]]="✔️",Tabela1[[#This Row],[Peso]],IF(Tabela1[[#This Row],[Status]]="✔️✔️",Tabela1[[#This Row],[Peso]]/2,0))</f>
        <v>0</v>
      </c>
      <c r="Q17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9" s="40" t="s">
        <v>264</v>
      </c>
      <c r="S179" s="44" t="s">
        <v>263</v>
      </c>
      <c r="T179" s="12"/>
      <c r="AC179" s="11"/>
      <c r="AD179" s="12"/>
      <c r="AM179" s="11"/>
      <c r="AN179" s="12"/>
      <c r="AW179" s="11"/>
      <c r="AX179" s="12"/>
      <c r="BG179" s="11"/>
      <c r="BH179" s="12"/>
      <c r="BQ179" s="11"/>
      <c r="BR179" s="12"/>
      <c r="CA179" s="11"/>
      <c r="CB179" s="12"/>
      <c r="CK179" s="11"/>
      <c r="CL179" s="12"/>
      <c r="CU179" s="11"/>
      <c r="CV179" s="12"/>
      <c r="DE179" s="11"/>
      <c r="DF179" s="12"/>
      <c r="DO179" s="11"/>
      <c r="DP179" s="12"/>
      <c r="DY179" s="11"/>
      <c r="DZ179" s="12"/>
      <c r="EI179" s="11"/>
      <c r="EJ179" s="12"/>
      <c r="ES179" s="11"/>
      <c r="ET179" s="12"/>
      <c r="FC179" s="11"/>
      <c r="FD179" s="12"/>
      <c r="FM179" s="11"/>
      <c r="FN179" s="12"/>
      <c r="FW179" s="11"/>
      <c r="FX179" s="12"/>
      <c r="GG179" s="11"/>
      <c r="GH179" s="12"/>
      <c r="GQ179" s="11"/>
      <c r="GR179" s="12"/>
      <c r="HA179" s="11"/>
      <c r="HB179" s="12"/>
      <c r="HK179" s="11"/>
      <c r="HL179" s="12"/>
      <c r="HU179" s="11"/>
      <c r="HV179" s="12"/>
      <c r="IE179" s="11"/>
      <c r="IF179" s="12"/>
      <c r="IO179" s="11"/>
      <c r="IP179" s="12"/>
      <c r="IY179" s="11"/>
      <c r="IZ179" s="12"/>
      <c r="JI179" s="11"/>
      <c r="JJ179" s="12"/>
      <c r="JS179" s="11"/>
      <c r="JT179" s="12"/>
      <c r="KC179" s="11"/>
      <c r="KD179" s="12"/>
      <c r="KM179" s="11"/>
      <c r="KN179" s="12"/>
      <c r="KW179" s="11"/>
      <c r="KX179" s="12"/>
      <c r="LG179" s="11"/>
      <c r="LH179" s="12"/>
      <c r="LQ179" s="11"/>
      <c r="LR179" s="12"/>
      <c r="MA179" s="11"/>
      <c r="MB179" s="12"/>
      <c r="MK179" s="11"/>
      <c r="ML179" s="12"/>
      <c r="MU179" s="11"/>
      <c r="MV179" s="12"/>
      <c r="NE179" s="11"/>
      <c r="NF179" s="12"/>
      <c r="NO179" s="11"/>
      <c r="NP179" s="12"/>
      <c r="NY179" s="11"/>
      <c r="NZ179" s="12"/>
      <c r="OI179" s="11"/>
      <c r="OJ179" s="12"/>
      <c r="OS179" s="11"/>
      <c r="OT179" s="12"/>
      <c r="PC179" s="11"/>
      <c r="PD179" s="12"/>
      <c r="PM179" s="11"/>
      <c r="PN179" s="12"/>
      <c r="PW179" s="11"/>
      <c r="PX179" s="12"/>
      <c r="QG179" s="11"/>
      <c r="QH179" s="12"/>
      <c r="QQ179" s="11"/>
      <c r="QR179" s="12"/>
      <c r="RA179" s="11"/>
      <c r="RB179" s="12"/>
      <c r="RK179" s="11"/>
      <c r="RL179" s="12"/>
      <c r="RU179" s="11"/>
      <c r="RV179" s="12"/>
      <c r="SE179" s="11"/>
      <c r="SF179" s="12"/>
      <c r="SO179" s="11"/>
      <c r="SP179" s="12"/>
      <c r="SY179" s="11"/>
      <c r="SZ179" s="12"/>
      <c r="TI179" s="11"/>
      <c r="TJ179" s="12"/>
      <c r="TS179" s="11"/>
      <c r="TT179" s="12"/>
      <c r="UC179" s="11"/>
      <c r="UD179" s="12"/>
      <c r="UM179" s="11"/>
      <c r="UN179" s="12"/>
      <c r="UW179" s="11"/>
      <c r="UX179" s="12"/>
      <c r="VG179" s="11"/>
      <c r="VH179" s="12"/>
      <c r="VQ179" s="11"/>
      <c r="VR179" s="12"/>
      <c r="WA179" s="11"/>
      <c r="WB179" s="12"/>
      <c r="WK179" s="11"/>
      <c r="WL179" s="12"/>
      <c r="WU179" s="11"/>
      <c r="WV179" s="12"/>
      <c r="XE179" s="11"/>
      <c r="XF179" s="12"/>
      <c r="XO179" s="11"/>
      <c r="XP179" s="12"/>
      <c r="XY179" s="11"/>
      <c r="XZ179" s="12"/>
      <c r="YI179" s="11"/>
      <c r="YJ179" s="12"/>
      <c r="YS179" s="11"/>
      <c r="YT179" s="12"/>
      <c r="ZC179" s="11"/>
      <c r="ZD179" s="12"/>
      <c r="ZM179" s="11"/>
      <c r="ZN179" s="12"/>
      <c r="ZW179" s="11"/>
      <c r="ZX179" s="12"/>
      <c r="AAG179" s="11"/>
      <c r="AAH179" s="12"/>
      <c r="AAQ179" s="11"/>
      <c r="AAR179" s="12"/>
      <c r="ABA179" s="11"/>
      <c r="ABB179" s="12"/>
      <c r="ABK179" s="11"/>
      <c r="ABL179" s="12"/>
      <c r="ABU179" s="11"/>
      <c r="ABV179" s="12"/>
      <c r="ACE179" s="11"/>
      <c r="ACF179" s="12"/>
      <c r="ACO179" s="11"/>
      <c r="ACP179" s="12"/>
      <c r="ACY179" s="11"/>
      <c r="ACZ179" s="12"/>
      <c r="ADI179" s="11"/>
      <c r="ADJ179" s="12"/>
      <c r="ADS179" s="11"/>
      <c r="ADT179" s="12"/>
      <c r="AEC179" s="11"/>
      <c r="AED179" s="12"/>
      <c r="AEM179" s="11"/>
      <c r="AEN179" s="12"/>
      <c r="AEW179" s="11"/>
      <c r="AEX179" s="12"/>
      <c r="AFG179" s="11"/>
      <c r="AFH179" s="12"/>
      <c r="AFQ179" s="11"/>
      <c r="AFR179" s="12"/>
      <c r="AGA179" s="11"/>
      <c r="AGB179" s="12"/>
      <c r="AGK179" s="11"/>
      <c r="AGL179" s="12"/>
      <c r="AGU179" s="11"/>
      <c r="AGV179" s="12"/>
      <c r="AHE179" s="11"/>
      <c r="AHF179" s="12"/>
      <c r="AHO179" s="11"/>
      <c r="AHP179" s="12"/>
      <c r="AHY179" s="11"/>
      <c r="AHZ179" s="12"/>
      <c r="AII179" s="11"/>
      <c r="AIJ179" s="12"/>
      <c r="AIS179" s="11"/>
      <c r="AIT179" s="12"/>
      <c r="AJC179" s="11"/>
      <c r="AJD179" s="12"/>
      <c r="AJM179" s="11"/>
      <c r="AJN179" s="12"/>
      <c r="AJW179" s="11"/>
      <c r="AJX179" s="12"/>
      <c r="AKG179" s="11"/>
      <c r="AKH179" s="12"/>
      <c r="AKQ179" s="11"/>
      <c r="AKR179" s="12"/>
      <c r="ALA179" s="11"/>
      <c r="ALB179" s="12"/>
      <c r="ALK179" s="11"/>
      <c r="ALL179" s="12"/>
      <c r="ALU179" s="11"/>
      <c r="ALV179" s="12"/>
      <c r="AME179" s="11"/>
      <c r="AMF179" s="12"/>
      <c r="AMO179" s="11"/>
      <c r="AMP179" s="12"/>
      <c r="AMY179" s="11"/>
      <c r="AMZ179" s="12"/>
      <c r="ANI179" s="11"/>
      <c r="ANJ179" s="12"/>
      <c r="ANS179" s="11"/>
      <c r="ANT179" s="12"/>
      <c r="AOC179" s="11"/>
      <c r="AOD179" s="12"/>
      <c r="AOM179" s="11"/>
      <c r="AON179" s="12"/>
      <c r="AOW179" s="11"/>
      <c r="AOX179" s="12"/>
      <c r="APG179" s="11"/>
      <c r="APH179" s="12"/>
      <c r="APQ179" s="11"/>
      <c r="APR179" s="12"/>
      <c r="AQA179" s="11"/>
      <c r="AQB179" s="12"/>
      <c r="AQK179" s="11"/>
      <c r="AQL179" s="12"/>
      <c r="AQU179" s="11"/>
      <c r="AQV179" s="12"/>
      <c r="ARE179" s="11"/>
      <c r="ARF179" s="12"/>
      <c r="ARO179" s="11"/>
      <c r="ARP179" s="12"/>
      <c r="ARY179" s="11"/>
      <c r="ARZ179" s="12"/>
      <c r="ASI179" s="11"/>
      <c r="ASJ179" s="12"/>
      <c r="ASS179" s="11"/>
      <c r="AST179" s="12"/>
      <c r="ATC179" s="11"/>
      <c r="ATD179" s="12"/>
      <c r="ATM179" s="11"/>
      <c r="ATN179" s="12"/>
      <c r="ATW179" s="11"/>
      <c r="ATX179" s="12"/>
      <c r="AUG179" s="11"/>
      <c r="AUH179" s="12"/>
      <c r="AUQ179" s="11"/>
      <c r="AUR179" s="12"/>
      <c r="AVA179" s="11"/>
      <c r="AVB179" s="12"/>
      <c r="AVK179" s="11"/>
      <c r="AVL179" s="12"/>
      <c r="AVU179" s="11"/>
      <c r="AVV179" s="12"/>
      <c r="AWE179" s="11"/>
      <c r="AWF179" s="12"/>
      <c r="AWO179" s="11"/>
      <c r="AWP179" s="12"/>
      <c r="AWY179" s="11"/>
      <c r="AWZ179" s="12"/>
      <c r="AXI179" s="11"/>
      <c r="AXJ179" s="12"/>
      <c r="AXS179" s="11"/>
      <c r="AXT179" s="12"/>
      <c r="AYC179" s="11"/>
      <c r="AYD179" s="12"/>
      <c r="AYM179" s="11"/>
      <c r="AYN179" s="12"/>
      <c r="AYW179" s="11"/>
      <c r="AYX179" s="12"/>
      <c r="AZG179" s="11"/>
      <c r="AZH179" s="12"/>
      <c r="AZQ179" s="11"/>
      <c r="AZR179" s="12"/>
      <c r="BAA179" s="11"/>
      <c r="BAB179" s="12"/>
      <c r="BAK179" s="11"/>
      <c r="BAL179" s="12"/>
      <c r="BAU179" s="11"/>
      <c r="BAV179" s="12"/>
      <c r="BBE179" s="11"/>
      <c r="BBF179" s="12"/>
      <c r="BBO179" s="11"/>
      <c r="BBP179" s="12"/>
      <c r="BBY179" s="11"/>
      <c r="BBZ179" s="12"/>
      <c r="BCI179" s="11"/>
      <c r="BCJ179" s="12"/>
      <c r="BCS179" s="11"/>
      <c r="BCT179" s="12"/>
      <c r="BDC179" s="11"/>
      <c r="BDD179" s="12"/>
      <c r="BDM179" s="11"/>
      <c r="BDN179" s="12"/>
      <c r="BDW179" s="11"/>
      <c r="BDX179" s="12"/>
      <c r="BEG179" s="11"/>
      <c r="BEH179" s="12"/>
      <c r="BEQ179" s="11"/>
      <c r="BER179" s="12"/>
      <c r="BFA179" s="11"/>
      <c r="BFB179" s="12"/>
      <c r="BFK179" s="11"/>
      <c r="BFL179" s="12"/>
      <c r="BFU179" s="11"/>
      <c r="BFV179" s="12"/>
      <c r="BGE179" s="11"/>
      <c r="BGF179" s="12"/>
      <c r="BGO179" s="11"/>
      <c r="BGP179" s="12"/>
      <c r="BGY179" s="11"/>
      <c r="BGZ179" s="12"/>
      <c r="BHI179" s="11"/>
      <c r="BHJ179" s="12"/>
      <c r="BHS179" s="11"/>
      <c r="BHT179" s="12"/>
      <c r="BIC179" s="11"/>
      <c r="BID179" s="12"/>
      <c r="BIM179" s="11"/>
      <c r="BIN179" s="12"/>
      <c r="BIW179" s="11"/>
      <c r="BIX179" s="12"/>
      <c r="BJG179" s="11"/>
      <c r="BJH179" s="12"/>
      <c r="BJQ179" s="11"/>
      <c r="BJR179" s="12"/>
      <c r="BKA179" s="11"/>
      <c r="BKB179" s="12"/>
      <c r="BKK179" s="11"/>
      <c r="BKL179" s="12"/>
      <c r="BKU179" s="11"/>
      <c r="BKV179" s="12"/>
      <c r="BLE179" s="11"/>
      <c r="BLF179" s="12"/>
      <c r="BLO179" s="11"/>
      <c r="BLP179" s="12"/>
      <c r="BLY179" s="11"/>
      <c r="BLZ179" s="12"/>
      <c r="BMI179" s="11"/>
      <c r="BMJ179" s="12"/>
      <c r="BMS179" s="11"/>
      <c r="BMT179" s="12"/>
      <c r="BNC179" s="11"/>
      <c r="BND179" s="12"/>
      <c r="BNM179" s="11"/>
      <c r="BNN179" s="12"/>
      <c r="BNW179" s="11"/>
      <c r="BNX179" s="12"/>
      <c r="BOG179" s="11"/>
      <c r="BOH179" s="12"/>
      <c r="BOQ179" s="11"/>
      <c r="BOR179" s="12"/>
      <c r="BPA179" s="11"/>
      <c r="BPB179" s="12"/>
      <c r="BPK179" s="11"/>
      <c r="BPL179" s="12"/>
      <c r="BPU179" s="11"/>
      <c r="BPV179" s="12"/>
      <c r="BQE179" s="11"/>
      <c r="BQF179" s="12"/>
      <c r="BQO179" s="11"/>
      <c r="BQP179" s="12"/>
      <c r="BQY179" s="11"/>
      <c r="BQZ179" s="12"/>
      <c r="BRI179" s="11"/>
      <c r="BRJ179" s="12"/>
      <c r="BRS179" s="11"/>
      <c r="BRT179" s="12"/>
      <c r="BSC179" s="11"/>
      <c r="BSD179" s="12"/>
      <c r="BSM179" s="11"/>
      <c r="BSN179" s="12"/>
      <c r="BSW179" s="11"/>
      <c r="BSX179" s="12"/>
      <c r="BTG179" s="11"/>
      <c r="BTH179" s="12"/>
      <c r="BTQ179" s="11"/>
      <c r="BTR179" s="12"/>
      <c r="BUA179" s="11"/>
      <c r="BUB179" s="12"/>
      <c r="BUK179" s="11"/>
      <c r="BUL179" s="12"/>
      <c r="BUU179" s="11"/>
      <c r="BUV179" s="12"/>
      <c r="BVE179" s="11"/>
      <c r="BVF179" s="12"/>
      <c r="BVO179" s="11"/>
      <c r="BVP179" s="12"/>
      <c r="BVY179" s="11"/>
      <c r="BVZ179" s="12"/>
      <c r="BWI179" s="11"/>
      <c r="BWJ179" s="12"/>
      <c r="BWS179" s="11"/>
      <c r="BWT179" s="12"/>
      <c r="BXC179" s="11"/>
      <c r="BXD179" s="12"/>
      <c r="BXM179" s="11"/>
      <c r="BXN179" s="12"/>
      <c r="BXW179" s="11"/>
      <c r="BXX179" s="12"/>
      <c r="BYG179" s="11"/>
      <c r="BYH179" s="12"/>
      <c r="BYQ179" s="11"/>
      <c r="BYR179" s="12"/>
      <c r="BZA179" s="11"/>
      <c r="BZB179" s="12"/>
      <c r="BZK179" s="11"/>
      <c r="BZL179" s="12"/>
      <c r="BZU179" s="11"/>
      <c r="BZV179" s="12"/>
      <c r="CAE179" s="11"/>
      <c r="CAF179" s="12"/>
      <c r="CAO179" s="11"/>
      <c r="CAP179" s="12"/>
      <c r="CAY179" s="11"/>
      <c r="CAZ179" s="12"/>
      <c r="CBI179" s="11"/>
      <c r="CBJ179" s="12"/>
      <c r="CBS179" s="11"/>
      <c r="CBT179" s="12"/>
      <c r="CCC179" s="11"/>
      <c r="CCD179" s="12"/>
      <c r="CCM179" s="11"/>
      <c r="CCN179" s="12"/>
      <c r="CCW179" s="11"/>
      <c r="CCX179" s="12"/>
      <c r="CDG179" s="11"/>
      <c r="CDH179" s="12"/>
      <c r="CDQ179" s="11"/>
      <c r="CDR179" s="12"/>
      <c r="CEA179" s="11"/>
      <c r="CEB179" s="12"/>
      <c r="CEK179" s="11"/>
      <c r="CEL179" s="12"/>
      <c r="CEU179" s="11"/>
      <c r="CEV179" s="12"/>
      <c r="CFE179" s="11"/>
      <c r="CFF179" s="12"/>
      <c r="CFO179" s="11"/>
      <c r="CFP179" s="12"/>
      <c r="CFY179" s="11"/>
      <c r="CFZ179" s="12"/>
      <c r="CGI179" s="11"/>
      <c r="CGJ179" s="12"/>
      <c r="CGS179" s="11"/>
      <c r="CGT179" s="12"/>
      <c r="CHC179" s="11"/>
      <c r="CHD179" s="12"/>
      <c r="CHM179" s="11"/>
      <c r="CHN179" s="12"/>
      <c r="CHW179" s="11"/>
      <c r="CHX179" s="12"/>
      <c r="CIG179" s="11"/>
      <c r="CIH179" s="12"/>
      <c r="CIQ179" s="11"/>
      <c r="CIR179" s="12"/>
      <c r="CJA179" s="11"/>
      <c r="CJB179" s="12"/>
      <c r="CJK179" s="11"/>
      <c r="CJL179" s="12"/>
      <c r="CJU179" s="11"/>
      <c r="CJV179" s="12"/>
      <c r="CKE179" s="11"/>
      <c r="CKF179" s="12"/>
      <c r="CKO179" s="11"/>
      <c r="CKP179" s="12"/>
      <c r="CKY179" s="11"/>
      <c r="CKZ179" s="12"/>
      <c r="CLI179" s="11"/>
      <c r="CLJ179" s="12"/>
      <c r="CLS179" s="11"/>
      <c r="CLT179" s="12"/>
      <c r="CMC179" s="11"/>
      <c r="CMD179" s="12"/>
      <c r="CMM179" s="11"/>
      <c r="CMN179" s="12"/>
      <c r="CMW179" s="11"/>
      <c r="CMX179" s="12"/>
      <c r="CNG179" s="11"/>
      <c r="CNH179" s="12"/>
      <c r="CNQ179" s="11"/>
      <c r="CNR179" s="12"/>
      <c r="COA179" s="11"/>
      <c r="COB179" s="12"/>
      <c r="COK179" s="11"/>
      <c r="COL179" s="12"/>
      <c r="COU179" s="11"/>
      <c r="COV179" s="12"/>
      <c r="CPE179" s="11"/>
      <c r="CPF179" s="12"/>
      <c r="CPO179" s="11"/>
      <c r="CPP179" s="12"/>
      <c r="CPY179" s="11"/>
      <c r="CPZ179" s="12"/>
      <c r="CQI179" s="11"/>
      <c r="CQJ179" s="12"/>
      <c r="CQS179" s="11"/>
      <c r="CQT179" s="12"/>
      <c r="CRC179" s="11"/>
      <c r="CRD179" s="12"/>
      <c r="CRM179" s="11"/>
      <c r="CRN179" s="12"/>
      <c r="CRW179" s="11"/>
      <c r="CRX179" s="12"/>
      <c r="CSG179" s="11"/>
      <c r="CSH179" s="12"/>
      <c r="CSQ179" s="11"/>
      <c r="CSR179" s="12"/>
      <c r="CTA179" s="11"/>
      <c r="CTB179" s="12"/>
      <c r="CTK179" s="11"/>
      <c r="CTL179" s="12"/>
      <c r="CTU179" s="11"/>
      <c r="CTV179" s="12"/>
      <c r="CUE179" s="11"/>
      <c r="CUF179" s="12"/>
      <c r="CUO179" s="11"/>
      <c r="CUP179" s="12"/>
      <c r="CUY179" s="11"/>
      <c r="CUZ179" s="12"/>
      <c r="CVI179" s="11"/>
      <c r="CVJ179" s="12"/>
      <c r="CVS179" s="11"/>
      <c r="CVT179" s="12"/>
      <c r="CWC179" s="11"/>
      <c r="CWD179" s="12"/>
      <c r="CWM179" s="11"/>
      <c r="CWN179" s="12"/>
      <c r="CWW179" s="11"/>
      <c r="CWX179" s="12"/>
      <c r="CXG179" s="11"/>
      <c r="CXH179" s="12"/>
      <c r="CXQ179" s="11"/>
      <c r="CXR179" s="12"/>
      <c r="CYA179" s="11"/>
      <c r="CYB179" s="12"/>
      <c r="CYK179" s="11"/>
      <c r="CYL179" s="12"/>
      <c r="CYU179" s="11"/>
      <c r="CYV179" s="12"/>
      <c r="CZE179" s="11"/>
      <c r="CZF179" s="12"/>
      <c r="CZO179" s="11"/>
      <c r="CZP179" s="12"/>
      <c r="CZY179" s="11"/>
      <c r="CZZ179" s="12"/>
      <c r="DAI179" s="11"/>
      <c r="DAJ179" s="12"/>
      <c r="DAS179" s="11"/>
      <c r="DAT179" s="12"/>
      <c r="DBC179" s="11"/>
      <c r="DBD179" s="12"/>
      <c r="DBM179" s="11"/>
      <c r="DBN179" s="12"/>
      <c r="DBW179" s="11"/>
      <c r="DBX179" s="12"/>
      <c r="DCG179" s="11"/>
      <c r="DCH179" s="12"/>
      <c r="DCQ179" s="11"/>
      <c r="DCR179" s="12"/>
      <c r="DDA179" s="11"/>
      <c r="DDB179" s="12"/>
      <c r="DDK179" s="11"/>
      <c r="DDL179" s="12"/>
      <c r="DDU179" s="11"/>
      <c r="DDV179" s="12"/>
      <c r="DEE179" s="11"/>
      <c r="DEF179" s="12"/>
      <c r="DEO179" s="11"/>
      <c r="DEP179" s="12"/>
      <c r="DEY179" s="11"/>
      <c r="DEZ179" s="12"/>
      <c r="DFI179" s="11"/>
      <c r="DFJ179" s="12"/>
      <c r="DFS179" s="11"/>
      <c r="DFT179" s="12"/>
      <c r="DGC179" s="11"/>
      <c r="DGD179" s="12"/>
      <c r="DGM179" s="11"/>
      <c r="DGN179" s="12"/>
      <c r="DGW179" s="11"/>
      <c r="DGX179" s="12"/>
      <c r="DHG179" s="11"/>
      <c r="DHH179" s="12"/>
      <c r="DHQ179" s="11"/>
      <c r="DHR179" s="12"/>
      <c r="DIA179" s="11"/>
      <c r="DIB179" s="12"/>
      <c r="DIK179" s="11"/>
      <c r="DIL179" s="12"/>
      <c r="DIU179" s="11"/>
      <c r="DIV179" s="12"/>
      <c r="DJE179" s="11"/>
      <c r="DJF179" s="12"/>
      <c r="DJO179" s="11"/>
      <c r="DJP179" s="12"/>
      <c r="DJY179" s="11"/>
      <c r="DJZ179" s="12"/>
      <c r="DKI179" s="11"/>
      <c r="DKJ179" s="12"/>
      <c r="DKS179" s="11"/>
      <c r="DKT179" s="12"/>
      <c r="DLC179" s="11"/>
      <c r="DLD179" s="12"/>
      <c r="DLM179" s="11"/>
      <c r="DLN179" s="12"/>
      <c r="DLW179" s="11"/>
      <c r="DLX179" s="12"/>
      <c r="DMG179" s="11"/>
      <c r="DMH179" s="12"/>
      <c r="DMQ179" s="11"/>
      <c r="DMR179" s="12"/>
      <c r="DNA179" s="11"/>
      <c r="DNB179" s="12"/>
      <c r="DNK179" s="11"/>
      <c r="DNL179" s="12"/>
      <c r="DNU179" s="11"/>
      <c r="DNV179" s="12"/>
      <c r="DOE179" s="11"/>
      <c r="DOF179" s="12"/>
      <c r="DOO179" s="11"/>
      <c r="DOP179" s="12"/>
      <c r="DOY179" s="11"/>
      <c r="DOZ179" s="12"/>
      <c r="DPI179" s="11"/>
      <c r="DPJ179" s="12"/>
      <c r="DPS179" s="11"/>
      <c r="DPT179" s="12"/>
      <c r="DQC179" s="11"/>
      <c r="DQD179" s="12"/>
      <c r="DQM179" s="11"/>
      <c r="DQN179" s="12"/>
      <c r="DQW179" s="11"/>
      <c r="DQX179" s="12"/>
      <c r="DRG179" s="11"/>
      <c r="DRH179" s="12"/>
      <c r="DRQ179" s="11"/>
      <c r="DRR179" s="12"/>
      <c r="DSA179" s="11"/>
      <c r="DSB179" s="12"/>
      <c r="DSK179" s="11"/>
      <c r="DSL179" s="12"/>
      <c r="DSU179" s="11"/>
      <c r="DSV179" s="12"/>
      <c r="DTE179" s="11"/>
      <c r="DTF179" s="12"/>
      <c r="DTO179" s="11"/>
      <c r="DTP179" s="12"/>
      <c r="DTY179" s="11"/>
      <c r="DTZ179" s="12"/>
      <c r="DUI179" s="11"/>
      <c r="DUJ179" s="12"/>
      <c r="DUS179" s="11"/>
      <c r="DUT179" s="12"/>
      <c r="DVC179" s="11"/>
      <c r="DVD179" s="12"/>
      <c r="DVM179" s="11"/>
      <c r="DVN179" s="12"/>
      <c r="DVW179" s="11"/>
      <c r="DVX179" s="12"/>
      <c r="DWG179" s="11"/>
      <c r="DWH179" s="12"/>
      <c r="DWQ179" s="11"/>
      <c r="DWR179" s="12"/>
      <c r="DXA179" s="11"/>
      <c r="DXB179" s="12"/>
      <c r="DXK179" s="11"/>
      <c r="DXL179" s="12"/>
      <c r="DXU179" s="11"/>
      <c r="DXV179" s="12"/>
      <c r="DYE179" s="11"/>
      <c r="DYF179" s="12"/>
      <c r="DYO179" s="11"/>
      <c r="DYP179" s="12"/>
      <c r="DYY179" s="11"/>
      <c r="DYZ179" s="12"/>
      <c r="DZI179" s="11"/>
      <c r="DZJ179" s="12"/>
      <c r="DZS179" s="11"/>
      <c r="DZT179" s="12"/>
      <c r="EAC179" s="11"/>
      <c r="EAD179" s="12"/>
      <c r="EAM179" s="11"/>
      <c r="EAN179" s="12"/>
      <c r="EAW179" s="11"/>
      <c r="EAX179" s="12"/>
      <c r="EBG179" s="11"/>
      <c r="EBH179" s="12"/>
      <c r="EBQ179" s="11"/>
      <c r="EBR179" s="12"/>
      <c r="ECA179" s="11"/>
      <c r="ECB179" s="12"/>
      <c r="ECK179" s="11"/>
      <c r="ECL179" s="12"/>
      <c r="ECU179" s="11"/>
      <c r="ECV179" s="12"/>
      <c r="EDE179" s="11"/>
      <c r="EDF179" s="12"/>
      <c r="EDO179" s="11"/>
      <c r="EDP179" s="12"/>
      <c r="EDY179" s="11"/>
      <c r="EDZ179" s="12"/>
      <c r="EEI179" s="11"/>
      <c r="EEJ179" s="12"/>
      <c r="EES179" s="11"/>
      <c r="EET179" s="12"/>
      <c r="EFC179" s="11"/>
      <c r="EFD179" s="12"/>
      <c r="EFM179" s="11"/>
      <c r="EFN179" s="12"/>
      <c r="EFW179" s="11"/>
      <c r="EFX179" s="12"/>
      <c r="EGG179" s="11"/>
      <c r="EGH179" s="12"/>
      <c r="EGQ179" s="11"/>
      <c r="EGR179" s="12"/>
      <c r="EHA179" s="11"/>
      <c r="EHB179" s="12"/>
      <c r="EHK179" s="11"/>
      <c r="EHL179" s="12"/>
      <c r="EHU179" s="11"/>
      <c r="EHV179" s="12"/>
      <c r="EIE179" s="11"/>
      <c r="EIF179" s="12"/>
      <c r="EIO179" s="11"/>
      <c r="EIP179" s="12"/>
      <c r="EIY179" s="11"/>
      <c r="EIZ179" s="12"/>
      <c r="EJI179" s="11"/>
      <c r="EJJ179" s="12"/>
      <c r="EJS179" s="11"/>
      <c r="EJT179" s="12"/>
      <c r="EKC179" s="11"/>
      <c r="EKD179" s="12"/>
      <c r="EKM179" s="11"/>
      <c r="EKN179" s="12"/>
      <c r="EKW179" s="11"/>
      <c r="EKX179" s="12"/>
      <c r="ELG179" s="11"/>
      <c r="ELH179" s="12"/>
      <c r="ELQ179" s="11"/>
      <c r="ELR179" s="12"/>
      <c r="EMA179" s="11"/>
      <c r="EMB179" s="12"/>
      <c r="EMK179" s="11"/>
      <c r="EML179" s="12"/>
      <c r="EMU179" s="11"/>
      <c r="EMV179" s="12"/>
      <c r="ENE179" s="11"/>
      <c r="ENF179" s="12"/>
      <c r="ENO179" s="11"/>
      <c r="ENP179" s="12"/>
      <c r="ENY179" s="11"/>
      <c r="ENZ179" s="12"/>
      <c r="EOI179" s="11"/>
      <c r="EOJ179" s="12"/>
      <c r="EOS179" s="11"/>
      <c r="EOT179" s="12"/>
      <c r="EPC179" s="11"/>
      <c r="EPD179" s="12"/>
      <c r="EPM179" s="11"/>
      <c r="EPN179" s="12"/>
      <c r="EPW179" s="11"/>
      <c r="EPX179" s="12"/>
      <c r="EQG179" s="11"/>
      <c r="EQH179" s="12"/>
      <c r="EQQ179" s="11"/>
      <c r="EQR179" s="12"/>
      <c r="ERA179" s="11"/>
      <c r="ERB179" s="12"/>
      <c r="ERK179" s="11"/>
      <c r="ERL179" s="12"/>
      <c r="ERU179" s="11"/>
      <c r="ERV179" s="12"/>
      <c r="ESE179" s="11"/>
      <c r="ESF179" s="12"/>
      <c r="ESO179" s="11"/>
      <c r="ESP179" s="12"/>
      <c r="ESY179" s="11"/>
      <c r="ESZ179" s="12"/>
      <c r="ETI179" s="11"/>
      <c r="ETJ179" s="12"/>
      <c r="ETS179" s="11"/>
      <c r="ETT179" s="12"/>
      <c r="EUC179" s="11"/>
      <c r="EUD179" s="12"/>
      <c r="EUM179" s="11"/>
      <c r="EUN179" s="12"/>
      <c r="EUW179" s="11"/>
      <c r="EUX179" s="12"/>
      <c r="EVG179" s="11"/>
      <c r="EVH179" s="12"/>
      <c r="EVQ179" s="11"/>
      <c r="EVR179" s="12"/>
      <c r="EWA179" s="11"/>
      <c r="EWB179" s="12"/>
      <c r="EWK179" s="11"/>
      <c r="EWL179" s="12"/>
      <c r="EWU179" s="11"/>
      <c r="EWV179" s="12"/>
      <c r="EXE179" s="11"/>
      <c r="EXF179" s="12"/>
      <c r="EXO179" s="11"/>
      <c r="EXP179" s="12"/>
      <c r="EXY179" s="11"/>
      <c r="EXZ179" s="12"/>
      <c r="EYI179" s="11"/>
      <c r="EYJ179" s="12"/>
      <c r="EYS179" s="11"/>
      <c r="EYT179" s="12"/>
      <c r="EZC179" s="11"/>
      <c r="EZD179" s="12"/>
      <c r="EZM179" s="11"/>
      <c r="EZN179" s="12"/>
      <c r="EZW179" s="11"/>
      <c r="EZX179" s="12"/>
      <c r="FAG179" s="11"/>
      <c r="FAH179" s="12"/>
      <c r="FAQ179" s="11"/>
      <c r="FAR179" s="12"/>
      <c r="FBA179" s="11"/>
      <c r="FBB179" s="12"/>
      <c r="FBK179" s="11"/>
      <c r="FBL179" s="12"/>
      <c r="FBU179" s="11"/>
      <c r="FBV179" s="12"/>
      <c r="FCE179" s="11"/>
      <c r="FCF179" s="12"/>
      <c r="FCO179" s="11"/>
      <c r="FCP179" s="12"/>
      <c r="FCY179" s="11"/>
      <c r="FCZ179" s="12"/>
      <c r="FDI179" s="11"/>
      <c r="FDJ179" s="12"/>
      <c r="FDS179" s="11"/>
      <c r="FDT179" s="12"/>
      <c r="FEC179" s="11"/>
      <c r="FED179" s="12"/>
      <c r="FEM179" s="11"/>
      <c r="FEN179" s="12"/>
      <c r="FEW179" s="11"/>
      <c r="FEX179" s="12"/>
      <c r="FFG179" s="11"/>
      <c r="FFH179" s="12"/>
      <c r="FFQ179" s="11"/>
      <c r="FFR179" s="12"/>
      <c r="FGA179" s="11"/>
      <c r="FGB179" s="12"/>
      <c r="FGK179" s="11"/>
      <c r="FGL179" s="12"/>
      <c r="FGU179" s="11"/>
      <c r="FGV179" s="12"/>
      <c r="FHE179" s="11"/>
      <c r="FHF179" s="12"/>
      <c r="FHO179" s="11"/>
      <c r="FHP179" s="12"/>
      <c r="FHY179" s="11"/>
      <c r="FHZ179" s="12"/>
      <c r="FII179" s="11"/>
      <c r="FIJ179" s="12"/>
      <c r="FIS179" s="11"/>
      <c r="FIT179" s="12"/>
      <c r="FJC179" s="11"/>
      <c r="FJD179" s="12"/>
      <c r="FJM179" s="11"/>
      <c r="FJN179" s="12"/>
      <c r="FJW179" s="11"/>
      <c r="FJX179" s="12"/>
      <c r="FKG179" s="11"/>
      <c r="FKH179" s="12"/>
      <c r="FKQ179" s="11"/>
      <c r="FKR179" s="12"/>
      <c r="FLA179" s="11"/>
      <c r="FLB179" s="12"/>
      <c r="FLK179" s="11"/>
      <c r="FLL179" s="12"/>
      <c r="FLU179" s="11"/>
      <c r="FLV179" s="12"/>
      <c r="FME179" s="11"/>
      <c r="FMF179" s="12"/>
      <c r="FMO179" s="11"/>
      <c r="FMP179" s="12"/>
      <c r="FMY179" s="11"/>
      <c r="FMZ179" s="12"/>
      <c r="FNI179" s="11"/>
      <c r="FNJ179" s="12"/>
      <c r="FNS179" s="11"/>
      <c r="FNT179" s="12"/>
      <c r="FOC179" s="11"/>
      <c r="FOD179" s="12"/>
      <c r="FOM179" s="11"/>
      <c r="FON179" s="12"/>
      <c r="FOW179" s="11"/>
      <c r="FOX179" s="12"/>
      <c r="FPG179" s="11"/>
      <c r="FPH179" s="12"/>
      <c r="FPQ179" s="11"/>
      <c r="FPR179" s="12"/>
      <c r="FQA179" s="11"/>
      <c r="FQB179" s="12"/>
      <c r="FQK179" s="11"/>
      <c r="FQL179" s="12"/>
      <c r="FQU179" s="11"/>
      <c r="FQV179" s="12"/>
      <c r="FRE179" s="11"/>
      <c r="FRF179" s="12"/>
      <c r="FRO179" s="11"/>
      <c r="FRP179" s="12"/>
      <c r="FRY179" s="11"/>
      <c r="FRZ179" s="12"/>
      <c r="FSI179" s="11"/>
      <c r="FSJ179" s="12"/>
      <c r="FSS179" s="11"/>
      <c r="FST179" s="12"/>
      <c r="FTC179" s="11"/>
      <c r="FTD179" s="12"/>
      <c r="FTM179" s="11"/>
      <c r="FTN179" s="12"/>
      <c r="FTW179" s="11"/>
      <c r="FTX179" s="12"/>
      <c r="FUG179" s="11"/>
      <c r="FUH179" s="12"/>
      <c r="FUQ179" s="11"/>
      <c r="FUR179" s="12"/>
      <c r="FVA179" s="11"/>
      <c r="FVB179" s="12"/>
      <c r="FVK179" s="11"/>
      <c r="FVL179" s="12"/>
      <c r="FVU179" s="11"/>
      <c r="FVV179" s="12"/>
      <c r="FWE179" s="11"/>
      <c r="FWF179" s="12"/>
      <c r="FWO179" s="11"/>
      <c r="FWP179" s="12"/>
      <c r="FWY179" s="11"/>
      <c r="FWZ179" s="12"/>
      <c r="FXI179" s="11"/>
      <c r="FXJ179" s="12"/>
      <c r="FXS179" s="11"/>
      <c r="FXT179" s="12"/>
      <c r="FYC179" s="11"/>
      <c r="FYD179" s="12"/>
      <c r="FYM179" s="11"/>
      <c r="FYN179" s="12"/>
      <c r="FYW179" s="11"/>
      <c r="FYX179" s="12"/>
      <c r="FZG179" s="11"/>
      <c r="FZH179" s="12"/>
      <c r="FZQ179" s="11"/>
      <c r="FZR179" s="12"/>
      <c r="GAA179" s="11"/>
      <c r="GAB179" s="12"/>
      <c r="GAK179" s="11"/>
      <c r="GAL179" s="12"/>
      <c r="GAU179" s="11"/>
      <c r="GAV179" s="12"/>
      <c r="GBE179" s="11"/>
      <c r="GBF179" s="12"/>
      <c r="GBO179" s="11"/>
      <c r="GBP179" s="12"/>
      <c r="GBY179" s="11"/>
      <c r="GBZ179" s="12"/>
      <c r="GCI179" s="11"/>
      <c r="GCJ179" s="12"/>
      <c r="GCS179" s="11"/>
      <c r="GCT179" s="12"/>
      <c r="GDC179" s="11"/>
      <c r="GDD179" s="12"/>
      <c r="GDM179" s="11"/>
      <c r="GDN179" s="12"/>
      <c r="GDW179" s="11"/>
      <c r="GDX179" s="12"/>
      <c r="GEG179" s="11"/>
      <c r="GEH179" s="12"/>
      <c r="GEQ179" s="11"/>
      <c r="GER179" s="12"/>
      <c r="GFA179" s="11"/>
      <c r="GFB179" s="12"/>
      <c r="GFK179" s="11"/>
      <c r="GFL179" s="12"/>
      <c r="GFU179" s="11"/>
      <c r="GFV179" s="12"/>
      <c r="GGE179" s="11"/>
      <c r="GGF179" s="12"/>
      <c r="GGO179" s="11"/>
      <c r="GGP179" s="12"/>
      <c r="GGY179" s="11"/>
      <c r="GGZ179" s="12"/>
      <c r="GHI179" s="11"/>
      <c r="GHJ179" s="12"/>
      <c r="GHS179" s="11"/>
      <c r="GHT179" s="12"/>
      <c r="GIC179" s="11"/>
      <c r="GID179" s="12"/>
      <c r="GIM179" s="11"/>
      <c r="GIN179" s="12"/>
      <c r="GIW179" s="11"/>
      <c r="GIX179" s="12"/>
      <c r="GJG179" s="11"/>
      <c r="GJH179" s="12"/>
      <c r="GJQ179" s="11"/>
      <c r="GJR179" s="12"/>
      <c r="GKA179" s="11"/>
      <c r="GKB179" s="12"/>
      <c r="GKK179" s="11"/>
      <c r="GKL179" s="12"/>
      <c r="GKU179" s="11"/>
      <c r="GKV179" s="12"/>
      <c r="GLE179" s="11"/>
      <c r="GLF179" s="12"/>
      <c r="GLO179" s="11"/>
      <c r="GLP179" s="12"/>
      <c r="GLY179" s="11"/>
      <c r="GLZ179" s="12"/>
      <c r="GMI179" s="11"/>
      <c r="GMJ179" s="12"/>
      <c r="GMS179" s="11"/>
      <c r="GMT179" s="12"/>
      <c r="GNC179" s="11"/>
      <c r="GND179" s="12"/>
      <c r="GNM179" s="11"/>
      <c r="GNN179" s="12"/>
      <c r="GNW179" s="11"/>
      <c r="GNX179" s="12"/>
      <c r="GOG179" s="11"/>
      <c r="GOH179" s="12"/>
      <c r="GOQ179" s="11"/>
      <c r="GOR179" s="12"/>
      <c r="GPA179" s="11"/>
      <c r="GPB179" s="12"/>
      <c r="GPK179" s="11"/>
      <c r="GPL179" s="12"/>
      <c r="GPU179" s="11"/>
      <c r="GPV179" s="12"/>
      <c r="GQE179" s="11"/>
      <c r="GQF179" s="12"/>
      <c r="GQO179" s="11"/>
      <c r="GQP179" s="12"/>
      <c r="GQY179" s="11"/>
      <c r="GQZ179" s="12"/>
      <c r="GRI179" s="11"/>
      <c r="GRJ179" s="12"/>
      <c r="GRS179" s="11"/>
      <c r="GRT179" s="12"/>
      <c r="GSC179" s="11"/>
      <c r="GSD179" s="12"/>
      <c r="GSM179" s="11"/>
      <c r="GSN179" s="12"/>
      <c r="GSW179" s="11"/>
      <c r="GSX179" s="12"/>
      <c r="GTG179" s="11"/>
      <c r="GTH179" s="12"/>
      <c r="GTQ179" s="11"/>
      <c r="GTR179" s="12"/>
      <c r="GUA179" s="11"/>
      <c r="GUB179" s="12"/>
      <c r="GUK179" s="11"/>
      <c r="GUL179" s="12"/>
      <c r="GUU179" s="11"/>
      <c r="GUV179" s="12"/>
      <c r="GVE179" s="11"/>
      <c r="GVF179" s="12"/>
      <c r="GVO179" s="11"/>
      <c r="GVP179" s="12"/>
      <c r="GVY179" s="11"/>
      <c r="GVZ179" s="12"/>
      <c r="GWI179" s="11"/>
      <c r="GWJ179" s="12"/>
      <c r="GWS179" s="11"/>
      <c r="GWT179" s="12"/>
      <c r="GXC179" s="11"/>
      <c r="GXD179" s="12"/>
      <c r="GXM179" s="11"/>
      <c r="GXN179" s="12"/>
      <c r="GXW179" s="11"/>
      <c r="GXX179" s="12"/>
      <c r="GYG179" s="11"/>
      <c r="GYH179" s="12"/>
      <c r="GYQ179" s="11"/>
      <c r="GYR179" s="12"/>
      <c r="GZA179" s="11"/>
      <c r="GZB179" s="12"/>
      <c r="GZK179" s="11"/>
      <c r="GZL179" s="12"/>
      <c r="GZU179" s="11"/>
      <c r="GZV179" s="12"/>
      <c r="HAE179" s="11"/>
      <c r="HAF179" s="12"/>
      <c r="HAO179" s="11"/>
      <c r="HAP179" s="12"/>
      <c r="HAY179" s="11"/>
      <c r="HAZ179" s="12"/>
      <c r="HBI179" s="11"/>
      <c r="HBJ179" s="12"/>
      <c r="HBS179" s="11"/>
      <c r="HBT179" s="12"/>
      <c r="HCC179" s="11"/>
      <c r="HCD179" s="12"/>
      <c r="HCM179" s="11"/>
      <c r="HCN179" s="12"/>
      <c r="HCW179" s="11"/>
      <c r="HCX179" s="12"/>
      <c r="HDG179" s="11"/>
      <c r="HDH179" s="12"/>
      <c r="HDQ179" s="11"/>
      <c r="HDR179" s="12"/>
      <c r="HEA179" s="11"/>
      <c r="HEB179" s="12"/>
      <c r="HEK179" s="11"/>
      <c r="HEL179" s="12"/>
      <c r="HEU179" s="11"/>
      <c r="HEV179" s="12"/>
      <c r="HFE179" s="11"/>
      <c r="HFF179" s="12"/>
      <c r="HFO179" s="11"/>
      <c r="HFP179" s="12"/>
      <c r="HFY179" s="11"/>
      <c r="HFZ179" s="12"/>
      <c r="HGI179" s="11"/>
      <c r="HGJ179" s="12"/>
      <c r="HGS179" s="11"/>
      <c r="HGT179" s="12"/>
      <c r="HHC179" s="11"/>
      <c r="HHD179" s="12"/>
      <c r="HHM179" s="11"/>
      <c r="HHN179" s="12"/>
      <c r="HHW179" s="11"/>
      <c r="HHX179" s="12"/>
      <c r="HIG179" s="11"/>
      <c r="HIH179" s="12"/>
      <c r="HIQ179" s="11"/>
      <c r="HIR179" s="12"/>
      <c r="HJA179" s="11"/>
      <c r="HJB179" s="12"/>
      <c r="HJK179" s="11"/>
      <c r="HJL179" s="12"/>
      <c r="HJU179" s="11"/>
      <c r="HJV179" s="12"/>
      <c r="HKE179" s="11"/>
      <c r="HKF179" s="12"/>
      <c r="HKO179" s="11"/>
      <c r="HKP179" s="12"/>
      <c r="HKY179" s="11"/>
      <c r="HKZ179" s="12"/>
      <c r="HLI179" s="11"/>
      <c r="HLJ179" s="12"/>
      <c r="HLS179" s="11"/>
      <c r="HLT179" s="12"/>
      <c r="HMC179" s="11"/>
      <c r="HMD179" s="12"/>
      <c r="HMM179" s="11"/>
      <c r="HMN179" s="12"/>
      <c r="HMW179" s="11"/>
      <c r="HMX179" s="12"/>
      <c r="HNG179" s="11"/>
      <c r="HNH179" s="12"/>
      <c r="HNQ179" s="11"/>
      <c r="HNR179" s="12"/>
      <c r="HOA179" s="11"/>
      <c r="HOB179" s="12"/>
      <c r="HOK179" s="11"/>
      <c r="HOL179" s="12"/>
      <c r="HOU179" s="11"/>
      <c r="HOV179" s="12"/>
      <c r="HPE179" s="11"/>
      <c r="HPF179" s="12"/>
      <c r="HPO179" s="11"/>
      <c r="HPP179" s="12"/>
      <c r="HPY179" s="11"/>
      <c r="HPZ179" s="12"/>
      <c r="HQI179" s="11"/>
      <c r="HQJ179" s="12"/>
      <c r="HQS179" s="11"/>
      <c r="HQT179" s="12"/>
      <c r="HRC179" s="11"/>
      <c r="HRD179" s="12"/>
      <c r="HRM179" s="11"/>
      <c r="HRN179" s="12"/>
      <c r="HRW179" s="11"/>
      <c r="HRX179" s="12"/>
      <c r="HSG179" s="11"/>
      <c r="HSH179" s="12"/>
      <c r="HSQ179" s="11"/>
      <c r="HSR179" s="12"/>
      <c r="HTA179" s="11"/>
      <c r="HTB179" s="12"/>
      <c r="HTK179" s="11"/>
      <c r="HTL179" s="12"/>
      <c r="HTU179" s="11"/>
      <c r="HTV179" s="12"/>
      <c r="HUE179" s="11"/>
      <c r="HUF179" s="12"/>
      <c r="HUO179" s="11"/>
      <c r="HUP179" s="12"/>
      <c r="HUY179" s="11"/>
      <c r="HUZ179" s="12"/>
      <c r="HVI179" s="11"/>
      <c r="HVJ179" s="12"/>
      <c r="HVS179" s="11"/>
      <c r="HVT179" s="12"/>
      <c r="HWC179" s="11"/>
      <c r="HWD179" s="12"/>
      <c r="HWM179" s="11"/>
      <c r="HWN179" s="12"/>
      <c r="HWW179" s="11"/>
      <c r="HWX179" s="12"/>
      <c r="HXG179" s="11"/>
      <c r="HXH179" s="12"/>
      <c r="HXQ179" s="11"/>
      <c r="HXR179" s="12"/>
      <c r="HYA179" s="11"/>
      <c r="HYB179" s="12"/>
      <c r="HYK179" s="11"/>
      <c r="HYL179" s="12"/>
      <c r="HYU179" s="11"/>
      <c r="HYV179" s="12"/>
      <c r="HZE179" s="11"/>
      <c r="HZF179" s="12"/>
      <c r="HZO179" s="11"/>
      <c r="HZP179" s="12"/>
      <c r="HZY179" s="11"/>
      <c r="HZZ179" s="12"/>
      <c r="IAI179" s="11"/>
      <c r="IAJ179" s="12"/>
      <c r="IAS179" s="11"/>
      <c r="IAT179" s="12"/>
      <c r="IBC179" s="11"/>
      <c r="IBD179" s="12"/>
      <c r="IBM179" s="11"/>
      <c r="IBN179" s="12"/>
      <c r="IBW179" s="11"/>
      <c r="IBX179" s="12"/>
      <c r="ICG179" s="11"/>
      <c r="ICH179" s="12"/>
      <c r="ICQ179" s="11"/>
      <c r="ICR179" s="12"/>
      <c r="IDA179" s="11"/>
      <c r="IDB179" s="12"/>
      <c r="IDK179" s="11"/>
      <c r="IDL179" s="12"/>
      <c r="IDU179" s="11"/>
      <c r="IDV179" s="12"/>
      <c r="IEE179" s="11"/>
      <c r="IEF179" s="12"/>
      <c r="IEO179" s="11"/>
      <c r="IEP179" s="12"/>
      <c r="IEY179" s="11"/>
      <c r="IEZ179" s="12"/>
      <c r="IFI179" s="11"/>
      <c r="IFJ179" s="12"/>
      <c r="IFS179" s="11"/>
      <c r="IFT179" s="12"/>
      <c r="IGC179" s="11"/>
      <c r="IGD179" s="12"/>
      <c r="IGM179" s="11"/>
      <c r="IGN179" s="12"/>
      <c r="IGW179" s="11"/>
      <c r="IGX179" s="12"/>
      <c r="IHG179" s="11"/>
      <c r="IHH179" s="12"/>
      <c r="IHQ179" s="11"/>
      <c r="IHR179" s="12"/>
      <c r="IIA179" s="11"/>
      <c r="IIB179" s="12"/>
      <c r="IIK179" s="11"/>
      <c r="IIL179" s="12"/>
      <c r="IIU179" s="11"/>
      <c r="IIV179" s="12"/>
      <c r="IJE179" s="11"/>
      <c r="IJF179" s="12"/>
      <c r="IJO179" s="11"/>
      <c r="IJP179" s="12"/>
      <c r="IJY179" s="11"/>
      <c r="IJZ179" s="12"/>
      <c r="IKI179" s="11"/>
      <c r="IKJ179" s="12"/>
      <c r="IKS179" s="11"/>
      <c r="IKT179" s="12"/>
      <c r="ILC179" s="11"/>
      <c r="ILD179" s="12"/>
      <c r="ILM179" s="11"/>
      <c r="ILN179" s="12"/>
      <c r="ILW179" s="11"/>
      <c r="ILX179" s="12"/>
      <c r="IMG179" s="11"/>
      <c r="IMH179" s="12"/>
      <c r="IMQ179" s="11"/>
      <c r="IMR179" s="12"/>
      <c r="INA179" s="11"/>
      <c r="INB179" s="12"/>
      <c r="INK179" s="11"/>
      <c r="INL179" s="12"/>
      <c r="INU179" s="11"/>
      <c r="INV179" s="12"/>
      <c r="IOE179" s="11"/>
      <c r="IOF179" s="12"/>
      <c r="IOO179" s="11"/>
      <c r="IOP179" s="12"/>
      <c r="IOY179" s="11"/>
      <c r="IOZ179" s="12"/>
      <c r="IPI179" s="11"/>
      <c r="IPJ179" s="12"/>
      <c r="IPS179" s="11"/>
      <c r="IPT179" s="12"/>
      <c r="IQC179" s="11"/>
      <c r="IQD179" s="12"/>
      <c r="IQM179" s="11"/>
      <c r="IQN179" s="12"/>
      <c r="IQW179" s="11"/>
      <c r="IQX179" s="12"/>
      <c r="IRG179" s="11"/>
      <c r="IRH179" s="12"/>
      <c r="IRQ179" s="11"/>
      <c r="IRR179" s="12"/>
      <c r="ISA179" s="11"/>
      <c r="ISB179" s="12"/>
      <c r="ISK179" s="11"/>
      <c r="ISL179" s="12"/>
      <c r="ISU179" s="11"/>
      <c r="ISV179" s="12"/>
      <c r="ITE179" s="11"/>
      <c r="ITF179" s="12"/>
      <c r="ITO179" s="11"/>
      <c r="ITP179" s="12"/>
      <c r="ITY179" s="11"/>
      <c r="ITZ179" s="12"/>
      <c r="IUI179" s="11"/>
      <c r="IUJ179" s="12"/>
      <c r="IUS179" s="11"/>
      <c r="IUT179" s="12"/>
      <c r="IVC179" s="11"/>
      <c r="IVD179" s="12"/>
      <c r="IVM179" s="11"/>
      <c r="IVN179" s="12"/>
      <c r="IVW179" s="11"/>
      <c r="IVX179" s="12"/>
      <c r="IWG179" s="11"/>
      <c r="IWH179" s="12"/>
      <c r="IWQ179" s="11"/>
      <c r="IWR179" s="12"/>
      <c r="IXA179" s="11"/>
      <c r="IXB179" s="12"/>
      <c r="IXK179" s="11"/>
      <c r="IXL179" s="12"/>
      <c r="IXU179" s="11"/>
      <c r="IXV179" s="12"/>
      <c r="IYE179" s="11"/>
      <c r="IYF179" s="12"/>
      <c r="IYO179" s="11"/>
      <c r="IYP179" s="12"/>
      <c r="IYY179" s="11"/>
      <c r="IYZ179" s="12"/>
      <c r="IZI179" s="11"/>
      <c r="IZJ179" s="12"/>
      <c r="IZS179" s="11"/>
      <c r="IZT179" s="12"/>
      <c r="JAC179" s="11"/>
      <c r="JAD179" s="12"/>
      <c r="JAM179" s="11"/>
      <c r="JAN179" s="12"/>
      <c r="JAW179" s="11"/>
      <c r="JAX179" s="12"/>
      <c r="JBG179" s="11"/>
      <c r="JBH179" s="12"/>
      <c r="JBQ179" s="11"/>
      <c r="JBR179" s="12"/>
      <c r="JCA179" s="11"/>
      <c r="JCB179" s="12"/>
      <c r="JCK179" s="11"/>
      <c r="JCL179" s="12"/>
      <c r="JCU179" s="11"/>
      <c r="JCV179" s="12"/>
      <c r="JDE179" s="11"/>
      <c r="JDF179" s="12"/>
      <c r="JDO179" s="11"/>
      <c r="JDP179" s="12"/>
      <c r="JDY179" s="11"/>
      <c r="JDZ179" s="12"/>
      <c r="JEI179" s="11"/>
      <c r="JEJ179" s="12"/>
      <c r="JES179" s="11"/>
      <c r="JET179" s="12"/>
      <c r="JFC179" s="11"/>
      <c r="JFD179" s="12"/>
      <c r="JFM179" s="11"/>
      <c r="JFN179" s="12"/>
      <c r="JFW179" s="11"/>
      <c r="JFX179" s="12"/>
      <c r="JGG179" s="11"/>
      <c r="JGH179" s="12"/>
      <c r="JGQ179" s="11"/>
      <c r="JGR179" s="12"/>
      <c r="JHA179" s="11"/>
      <c r="JHB179" s="12"/>
      <c r="JHK179" s="11"/>
      <c r="JHL179" s="12"/>
      <c r="JHU179" s="11"/>
      <c r="JHV179" s="12"/>
      <c r="JIE179" s="11"/>
      <c r="JIF179" s="12"/>
      <c r="JIO179" s="11"/>
      <c r="JIP179" s="12"/>
      <c r="JIY179" s="11"/>
      <c r="JIZ179" s="12"/>
      <c r="JJI179" s="11"/>
      <c r="JJJ179" s="12"/>
      <c r="JJS179" s="11"/>
      <c r="JJT179" s="12"/>
      <c r="JKC179" s="11"/>
      <c r="JKD179" s="12"/>
      <c r="JKM179" s="11"/>
      <c r="JKN179" s="12"/>
      <c r="JKW179" s="11"/>
      <c r="JKX179" s="12"/>
      <c r="JLG179" s="11"/>
      <c r="JLH179" s="12"/>
      <c r="JLQ179" s="11"/>
      <c r="JLR179" s="12"/>
      <c r="JMA179" s="11"/>
      <c r="JMB179" s="12"/>
      <c r="JMK179" s="11"/>
      <c r="JML179" s="12"/>
      <c r="JMU179" s="11"/>
      <c r="JMV179" s="12"/>
      <c r="JNE179" s="11"/>
      <c r="JNF179" s="12"/>
      <c r="JNO179" s="11"/>
      <c r="JNP179" s="12"/>
      <c r="JNY179" s="11"/>
      <c r="JNZ179" s="12"/>
      <c r="JOI179" s="11"/>
      <c r="JOJ179" s="12"/>
      <c r="JOS179" s="11"/>
      <c r="JOT179" s="12"/>
      <c r="JPC179" s="11"/>
      <c r="JPD179" s="12"/>
      <c r="JPM179" s="11"/>
      <c r="JPN179" s="12"/>
      <c r="JPW179" s="11"/>
      <c r="JPX179" s="12"/>
      <c r="JQG179" s="11"/>
      <c r="JQH179" s="12"/>
      <c r="JQQ179" s="11"/>
      <c r="JQR179" s="12"/>
      <c r="JRA179" s="11"/>
      <c r="JRB179" s="12"/>
      <c r="JRK179" s="11"/>
      <c r="JRL179" s="12"/>
      <c r="JRU179" s="11"/>
      <c r="JRV179" s="12"/>
      <c r="JSE179" s="11"/>
      <c r="JSF179" s="12"/>
      <c r="JSO179" s="11"/>
      <c r="JSP179" s="12"/>
      <c r="JSY179" s="11"/>
      <c r="JSZ179" s="12"/>
      <c r="JTI179" s="11"/>
      <c r="JTJ179" s="12"/>
      <c r="JTS179" s="11"/>
      <c r="JTT179" s="12"/>
      <c r="JUC179" s="11"/>
      <c r="JUD179" s="12"/>
      <c r="JUM179" s="11"/>
      <c r="JUN179" s="12"/>
      <c r="JUW179" s="11"/>
      <c r="JUX179" s="12"/>
      <c r="JVG179" s="11"/>
      <c r="JVH179" s="12"/>
      <c r="JVQ179" s="11"/>
      <c r="JVR179" s="12"/>
      <c r="JWA179" s="11"/>
      <c r="JWB179" s="12"/>
      <c r="JWK179" s="11"/>
      <c r="JWL179" s="12"/>
      <c r="JWU179" s="11"/>
      <c r="JWV179" s="12"/>
      <c r="JXE179" s="11"/>
      <c r="JXF179" s="12"/>
      <c r="JXO179" s="11"/>
      <c r="JXP179" s="12"/>
      <c r="JXY179" s="11"/>
      <c r="JXZ179" s="12"/>
      <c r="JYI179" s="11"/>
      <c r="JYJ179" s="12"/>
      <c r="JYS179" s="11"/>
      <c r="JYT179" s="12"/>
      <c r="JZC179" s="11"/>
      <c r="JZD179" s="12"/>
      <c r="JZM179" s="11"/>
      <c r="JZN179" s="12"/>
      <c r="JZW179" s="11"/>
      <c r="JZX179" s="12"/>
      <c r="KAG179" s="11"/>
      <c r="KAH179" s="12"/>
      <c r="KAQ179" s="11"/>
      <c r="KAR179" s="12"/>
      <c r="KBA179" s="11"/>
      <c r="KBB179" s="12"/>
      <c r="KBK179" s="11"/>
      <c r="KBL179" s="12"/>
      <c r="KBU179" s="11"/>
      <c r="KBV179" s="12"/>
      <c r="KCE179" s="11"/>
      <c r="KCF179" s="12"/>
      <c r="KCO179" s="11"/>
      <c r="KCP179" s="12"/>
      <c r="KCY179" s="11"/>
      <c r="KCZ179" s="12"/>
      <c r="KDI179" s="11"/>
      <c r="KDJ179" s="12"/>
      <c r="KDS179" s="11"/>
      <c r="KDT179" s="12"/>
      <c r="KEC179" s="11"/>
      <c r="KED179" s="12"/>
      <c r="KEM179" s="11"/>
      <c r="KEN179" s="12"/>
      <c r="KEW179" s="11"/>
      <c r="KEX179" s="12"/>
      <c r="KFG179" s="11"/>
      <c r="KFH179" s="12"/>
      <c r="KFQ179" s="11"/>
      <c r="KFR179" s="12"/>
      <c r="KGA179" s="11"/>
      <c r="KGB179" s="12"/>
      <c r="KGK179" s="11"/>
      <c r="KGL179" s="12"/>
      <c r="KGU179" s="11"/>
      <c r="KGV179" s="12"/>
      <c r="KHE179" s="11"/>
      <c r="KHF179" s="12"/>
      <c r="KHO179" s="11"/>
      <c r="KHP179" s="12"/>
      <c r="KHY179" s="11"/>
      <c r="KHZ179" s="12"/>
      <c r="KII179" s="11"/>
      <c r="KIJ179" s="12"/>
      <c r="KIS179" s="11"/>
      <c r="KIT179" s="12"/>
      <c r="KJC179" s="11"/>
      <c r="KJD179" s="12"/>
      <c r="KJM179" s="11"/>
      <c r="KJN179" s="12"/>
      <c r="KJW179" s="11"/>
      <c r="KJX179" s="12"/>
      <c r="KKG179" s="11"/>
      <c r="KKH179" s="12"/>
      <c r="KKQ179" s="11"/>
      <c r="KKR179" s="12"/>
      <c r="KLA179" s="11"/>
      <c r="KLB179" s="12"/>
      <c r="KLK179" s="11"/>
      <c r="KLL179" s="12"/>
      <c r="KLU179" s="11"/>
      <c r="KLV179" s="12"/>
      <c r="KME179" s="11"/>
      <c r="KMF179" s="12"/>
      <c r="KMO179" s="11"/>
      <c r="KMP179" s="12"/>
      <c r="KMY179" s="11"/>
      <c r="KMZ179" s="12"/>
      <c r="KNI179" s="11"/>
      <c r="KNJ179" s="12"/>
      <c r="KNS179" s="11"/>
      <c r="KNT179" s="12"/>
      <c r="KOC179" s="11"/>
      <c r="KOD179" s="12"/>
      <c r="KOM179" s="11"/>
      <c r="KON179" s="12"/>
      <c r="KOW179" s="11"/>
      <c r="KOX179" s="12"/>
      <c r="KPG179" s="11"/>
      <c r="KPH179" s="12"/>
      <c r="KPQ179" s="11"/>
      <c r="KPR179" s="12"/>
      <c r="KQA179" s="11"/>
      <c r="KQB179" s="12"/>
      <c r="KQK179" s="11"/>
      <c r="KQL179" s="12"/>
      <c r="KQU179" s="11"/>
      <c r="KQV179" s="12"/>
      <c r="KRE179" s="11"/>
      <c r="KRF179" s="12"/>
      <c r="KRO179" s="11"/>
      <c r="KRP179" s="12"/>
      <c r="KRY179" s="11"/>
      <c r="KRZ179" s="12"/>
      <c r="KSI179" s="11"/>
      <c r="KSJ179" s="12"/>
      <c r="KSS179" s="11"/>
      <c r="KST179" s="12"/>
      <c r="KTC179" s="11"/>
      <c r="KTD179" s="12"/>
      <c r="KTM179" s="11"/>
      <c r="KTN179" s="12"/>
      <c r="KTW179" s="11"/>
      <c r="KTX179" s="12"/>
      <c r="KUG179" s="11"/>
      <c r="KUH179" s="12"/>
      <c r="KUQ179" s="11"/>
      <c r="KUR179" s="12"/>
      <c r="KVA179" s="11"/>
      <c r="KVB179" s="12"/>
      <c r="KVK179" s="11"/>
      <c r="KVL179" s="12"/>
      <c r="KVU179" s="11"/>
      <c r="KVV179" s="12"/>
      <c r="KWE179" s="11"/>
      <c r="KWF179" s="12"/>
      <c r="KWO179" s="11"/>
      <c r="KWP179" s="12"/>
      <c r="KWY179" s="11"/>
      <c r="KWZ179" s="12"/>
      <c r="KXI179" s="11"/>
      <c r="KXJ179" s="12"/>
      <c r="KXS179" s="11"/>
      <c r="KXT179" s="12"/>
      <c r="KYC179" s="11"/>
      <c r="KYD179" s="12"/>
      <c r="KYM179" s="11"/>
      <c r="KYN179" s="12"/>
      <c r="KYW179" s="11"/>
      <c r="KYX179" s="12"/>
      <c r="KZG179" s="11"/>
      <c r="KZH179" s="12"/>
      <c r="KZQ179" s="11"/>
      <c r="KZR179" s="12"/>
      <c r="LAA179" s="11"/>
      <c r="LAB179" s="12"/>
      <c r="LAK179" s="11"/>
      <c r="LAL179" s="12"/>
      <c r="LAU179" s="11"/>
      <c r="LAV179" s="12"/>
      <c r="LBE179" s="11"/>
      <c r="LBF179" s="12"/>
      <c r="LBO179" s="11"/>
      <c r="LBP179" s="12"/>
      <c r="LBY179" s="11"/>
      <c r="LBZ179" s="12"/>
      <c r="LCI179" s="11"/>
      <c r="LCJ179" s="12"/>
      <c r="LCS179" s="11"/>
      <c r="LCT179" s="12"/>
      <c r="LDC179" s="11"/>
      <c r="LDD179" s="12"/>
      <c r="LDM179" s="11"/>
      <c r="LDN179" s="12"/>
      <c r="LDW179" s="11"/>
      <c r="LDX179" s="12"/>
      <c r="LEG179" s="11"/>
      <c r="LEH179" s="12"/>
      <c r="LEQ179" s="11"/>
      <c r="LER179" s="12"/>
      <c r="LFA179" s="11"/>
      <c r="LFB179" s="12"/>
      <c r="LFK179" s="11"/>
      <c r="LFL179" s="12"/>
      <c r="LFU179" s="11"/>
      <c r="LFV179" s="12"/>
      <c r="LGE179" s="11"/>
      <c r="LGF179" s="12"/>
      <c r="LGO179" s="11"/>
      <c r="LGP179" s="12"/>
      <c r="LGY179" s="11"/>
      <c r="LGZ179" s="12"/>
      <c r="LHI179" s="11"/>
      <c r="LHJ179" s="12"/>
      <c r="LHS179" s="11"/>
      <c r="LHT179" s="12"/>
      <c r="LIC179" s="11"/>
      <c r="LID179" s="12"/>
      <c r="LIM179" s="11"/>
      <c r="LIN179" s="12"/>
      <c r="LIW179" s="11"/>
      <c r="LIX179" s="12"/>
      <c r="LJG179" s="11"/>
      <c r="LJH179" s="12"/>
      <c r="LJQ179" s="11"/>
      <c r="LJR179" s="12"/>
      <c r="LKA179" s="11"/>
      <c r="LKB179" s="12"/>
      <c r="LKK179" s="11"/>
      <c r="LKL179" s="12"/>
      <c r="LKU179" s="11"/>
      <c r="LKV179" s="12"/>
      <c r="LLE179" s="11"/>
      <c r="LLF179" s="12"/>
      <c r="LLO179" s="11"/>
      <c r="LLP179" s="12"/>
      <c r="LLY179" s="11"/>
      <c r="LLZ179" s="12"/>
      <c r="LMI179" s="11"/>
      <c r="LMJ179" s="12"/>
      <c r="LMS179" s="11"/>
      <c r="LMT179" s="12"/>
      <c r="LNC179" s="11"/>
      <c r="LND179" s="12"/>
      <c r="LNM179" s="11"/>
      <c r="LNN179" s="12"/>
      <c r="LNW179" s="11"/>
      <c r="LNX179" s="12"/>
      <c r="LOG179" s="11"/>
      <c r="LOH179" s="12"/>
      <c r="LOQ179" s="11"/>
      <c r="LOR179" s="12"/>
      <c r="LPA179" s="11"/>
      <c r="LPB179" s="12"/>
      <c r="LPK179" s="11"/>
      <c r="LPL179" s="12"/>
      <c r="LPU179" s="11"/>
      <c r="LPV179" s="12"/>
      <c r="LQE179" s="11"/>
      <c r="LQF179" s="12"/>
      <c r="LQO179" s="11"/>
      <c r="LQP179" s="12"/>
      <c r="LQY179" s="11"/>
      <c r="LQZ179" s="12"/>
      <c r="LRI179" s="11"/>
      <c r="LRJ179" s="12"/>
      <c r="LRS179" s="11"/>
      <c r="LRT179" s="12"/>
      <c r="LSC179" s="11"/>
      <c r="LSD179" s="12"/>
      <c r="LSM179" s="11"/>
      <c r="LSN179" s="12"/>
      <c r="LSW179" s="11"/>
      <c r="LSX179" s="12"/>
      <c r="LTG179" s="11"/>
      <c r="LTH179" s="12"/>
      <c r="LTQ179" s="11"/>
      <c r="LTR179" s="12"/>
      <c r="LUA179" s="11"/>
      <c r="LUB179" s="12"/>
      <c r="LUK179" s="11"/>
      <c r="LUL179" s="12"/>
      <c r="LUU179" s="11"/>
      <c r="LUV179" s="12"/>
      <c r="LVE179" s="11"/>
      <c r="LVF179" s="12"/>
      <c r="LVO179" s="11"/>
      <c r="LVP179" s="12"/>
      <c r="LVY179" s="11"/>
      <c r="LVZ179" s="12"/>
      <c r="LWI179" s="11"/>
      <c r="LWJ179" s="12"/>
      <c r="LWS179" s="11"/>
      <c r="LWT179" s="12"/>
      <c r="LXC179" s="11"/>
      <c r="LXD179" s="12"/>
      <c r="LXM179" s="11"/>
      <c r="LXN179" s="12"/>
      <c r="LXW179" s="11"/>
      <c r="LXX179" s="12"/>
      <c r="LYG179" s="11"/>
      <c r="LYH179" s="12"/>
      <c r="LYQ179" s="11"/>
      <c r="LYR179" s="12"/>
      <c r="LZA179" s="11"/>
      <c r="LZB179" s="12"/>
      <c r="LZK179" s="11"/>
      <c r="LZL179" s="12"/>
      <c r="LZU179" s="11"/>
      <c r="LZV179" s="12"/>
      <c r="MAE179" s="11"/>
      <c r="MAF179" s="12"/>
      <c r="MAO179" s="11"/>
      <c r="MAP179" s="12"/>
      <c r="MAY179" s="11"/>
      <c r="MAZ179" s="12"/>
      <c r="MBI179" s="11"/>
      <c r="MBJ179" s="12"/>
      <c r="MBS179" s="11"/>
      <c r="MBT179" s="12"/>
      <c r="MCC179" s="11"/>
      <c r="MCD179" s="12"/>
      <c r="MCM179" s="11"/>
      <c r="MCN179" s="12"/>
      <c r="MCW179" s="11"/>
      <c r="MCX179" s="12"/>
      <c r="MDG179" s="11"/>
      <c r="MDH179" s="12"/>
      <c r="MDQ179" s="11"/>
      <c r="MDR179" s="12"/>
      <c r="MEA179" s="11"/>
      <c r="MEB179" s="12"/>
      <c r="MEK179" s="11"/>
      <c r="MEL179" s="12"/>
      <c r="MEU179" s="11"/>
      <c r="MEV179" s="12"/>
      <c r="MFE179" s="11"/>
      <c r="MFF179" s="12"/>
      <c r="MFO179" s="11"/>
      <c r="MFP179" s="12"/>
      <c r="MFY179" s="11"/>
      <c r="MFZ179" s="12"/>
      <c r="MGI179" s="11"/>
      <c r="MGJ179" s="12"/>
      <c r="MGS179" s="11"/>
      <c r="MGT179" s="12"/>
      <c r="MHC179" s="11"/>
      <c r="MHD179" s="12"/>
      <c r="MHM179" s="11"/>
      <c r="MHN179" s="12"/>
      <c r="MHW179" s="11"/>
      <c r="MHX179" s="12"/>
      <c r="MIG179" s="11"/>
      <c r="MIH179" s="12"/>
      <c r="MIQ179" s="11"/>
      <c r="MIR179" s="12"/>
      <c r="MJA179" s="11"/>
      <c r="MJB179" s="12"/>
      <c r="MJK179" s="11"/>
      <c r="MJL179" s="12"/>
      <c r="MJU179" s="11"/>
      <c r="MJV179" s="12"/>
      <c r="MKE179" s="11"/>
      <c r="MKF179" s="12"/>
      <c r="MKO179" s="11"/>
      <c r="MKP179" s="12"/>
      <c r="MKY179" s="11"/>
      <c r="MKZ179" s="12"/>
      <c r="MLI179" s="11"/>
      <c r="MLJ179" s="12"/>
      <c r="MLS179" s="11"/>
      <c r="MLT179" s="12"/>
      <c r="MMC179" s="11"/>
      <c r="MMD179" s="12"/>
      <c r="MMM179" s="11"/>
      <c r="MMN179" s="12"/>
      <c r="MMW179" s="11"/>
      <c r="MMX179" s="12"/>
      <c r="MNG179" s="11"/>
      <c r="MNH179" s="12"/>
      <c r="MNQ179" s="11"/>
      <c r="MNR179" s="12"/>
      <c r="MOA179" s="11"/>
      <c r="MOB179" s="12"/>
      <c r="MOK179" s="11"/>
      <c r="MOL179" s="12"/>
      <c r="MOU179" s="11"/>
      <c r="MOV179" s="12"/>
      <c r="MPE179" s="11"/>
      <c r="MPF179" s="12"/>
      <c r="MPO179" s="11"/>
      <c r="MPP179" s="12"/>
      <c r="MPY179" s="11"/>
      <c r="MPZ179" s="12"/>
      <c r="MQI179" s="11"/>
      <c r="MQJ179" s="12"/>
      <c r="MQS179" s="11"/>
      <c r="MQT179" s="12"/>
      <c r="MRC179" s="11"/>
      <c r="MRD179" s="12"/>
      <c r="MRM179" s="11"/>
      <c r="MRN179" s="12"/>
      <c r="MRW179" s="11"/>
      <c r="MRX179" s="12"/>
      <c r="MSG179" s="11"/>
      <c r="MSH179" s="12"/>
      <c r="MSQ179" s="11"/>
      <c r="MSR179" s="12"/>
      <c r="MTA179" s="11"/>
      <c r="MTB179" s="12"/>
      <c r="MTK179" s="11"/>
      <c r="MTL179" s="12"/>
      <c r="MTU179" s="11"/>
      <c r="MTV179" s="12"/>
      <c r="MUE179" s="11"/>
      <c r="MUF179" s="12"/>
      <c r="MUO179" s="11"/>
      <c r="MUP179" s="12"/>
      <c r="MUY179" s="11"/>
      <c r="MUZ179" s="12"/>
      <c r="MVI179" s="11"/>
      <c r="MVJ179" s="12"/>
      <c r="MVS179" s="11"/>
      <c r="MVT179" s="12"/>
      <c r="MWC179" s="11"/>
      <c r="MWD179" s="12"/>
      <c r="MWM179" s="11"/>
      <c r="MWN179" s="12"/>
      <c r="MWW179" s="11"/>
      <c r="MWX179" s="12"/>
      <c r="MXG179" s="11"/>
      <c r="MXH179" s="12"/>
      <c r="MXQ179" s="11"/>
      <c r="MXR179" s="12"/>
      <c r="MYA179" s="11"/>
      <c r="MYB179" s="12"/>
      <c r="MYK179" s="11"/>
      <c r="MYL179" s="12"/>
      <c r="MYU179" s="11"/>
      <c r="MYV179" s="12"/>
      <c r="MZE179" s="11"/>
      <c r="MZF179" s="12"/>
      <c r="MZO179" s="11"/>
      <c r="MZP179" s="12"/>
      <c r="MZY179" s="11"/>
      <c r="MZZ179" s="12"/>
      <c r="NAI179" s="11"/>
      <c r="NAJ179" s="12"/>
      <c r="NAS179" s="11"/>
      <c r="NAT179" s="12"/>
      <c r="NBC179" s="11"/>
      <c r="NBD179" s="12"/>
      <c r="NBM179" s="11"/>
      <c r="NBN179" s="12"/>
      <c r="NBW179" s="11"/>
      <c r="NBX179" s="12"/>
      <c r="NCG179" s="11"/>
      <c r="NCH179" s="12"/>
      <c r="NCQ179" s="11"/>
      <c r="NCR179" s="12"/>
      <c r="NDA179" s="11"/>
      <c r="NDB179" s="12"/>
      <c r="NDK179" s="11"/>
      <c r="NDL179" s="12"/>
      <c r="NDU179" s="11"/>
      <c r="NDV179" s="12"/>
      <c r="NEE179" s="11"/>
      <c r="NEF179" s="12"/>
      <c r="NEO179" s="11"/>
      <c r="NEP179" s="12"/>
      <c r="NEY179" s="11"/>
      <c r="NEZ179" s="12"/>
      <c r="NFI179" s="11"/>
      <c r="NFJ179" s="12"/>
      <c r="NFS179" s="11"/>
      <c r="NFT179" s="12"/>
      <c r="NGC179" s="11"/>
      <c r="NGD179" s="12"/>
      <c r="NGM179" s="11"/>
      <c r="NGN179" s="12"/>
      <c r="NGW179" s="11"/>
      <c r="NGX179" s="12"/>
      <c r="NHG179" s="11"/>
      <c r="NHH179" s="12"/>
      <c r="NHQ179" s="11"/>
      <c r="NHR179" s="12"/>
      <c r="NIA179" s="11"/>
      <c r="NIB179" s="12"/>
      <c r="NIK179" s="11"/>
      <c r="NIL179" s="12"/>
      <c r="NIU179" s="11"/>
      <c r="NIV179" s="12"/>
      <c r="NJE179" s="11"/>
      <c r="NJF179" s="12"/>
      <c r="NJO179" s="11"/>
      <c r="NJP179" s="12"/>
      <c r="NJY179" s="11"/>
      <c r="NJZ179" s="12"/>
      <c r="NKI179" s="11"/>
      <c r="NKJ179" s="12"/>
      <c r="NKS179" s="11"/>
      <c r="NKT179" s="12"/>
      <c r="NLC179" s="11"/>
      <c r="NLD179" s="12"/>
      <c r="NLM179" s="11"/>
      <c r="NLN179" s="12"/>
      <c r="NLW179" s="11"/>
      <c r="NLX179" s="12"/>
      <c r="NMG179" s="11"/>
      <c r="NMH179" s="12"/>
      <c r="NMQ179" s="11"/>
      <c r="NMR179" s="12"/>
      <c r="NNA179" s="11"/>
      <c r="NNB179" s="12"/>
      <c r="NNK179" s="11"/>
      <c r="NNL179" s="12"/>
      <c r="NNU179" s="11"/>
      <c r="NNV179" s="12"/>
      <c r="NOE179" s="11"/>
      <c r="NOF179" s="12"/>
      <c r="NOO179" s="11"/>
      <c r="NOP179" s="12"/>
      <c r="NOY179" s="11"/>
      <c r="NOZ179" s="12"/>
      <c r="NPI179" s="11"/>
      <c r="NPJ179" s="12"/>
      <c r="NPS179" s="11"/>
      <c r="NPT179" s="12"/>
      <c r="NQC179" s="11"/>
      <c r="NQD179" s="12"/>
      <c r="NQM179" s="11"/>
      <c r="NQN179" s="12"/>
      <c r="NQW179" s="11"/>
      <c r="NQX179" s="12"/>
      <c r="NRG179" s="11"/>
      <c r="NRH179" s="12"/>
      <c r="NRQ179" s="11"/>
      <c r="NRR179" s="12"/>
      <c r="NSA179" s="11"/>
      <c r="NSB179" s="12"/>
      <c r="NSK179" s="11"/>
      <c r="NSL179" s="12"/>
      <c r="NSU179" s="11"/>
      <c r="NSV179" s="12"/>
      <c r="NTE179" s="11"/>
      <c r="NTF179" s="12"/>
      <c r="NTO179" s="11"/>
      <c r="NTP179" s="12"/>
      <c r="NTY179" s="11"/>
      <c r="NTZ179" s="12"/>
      <c r="NUI179" s="11"/>
      <c r="NUJ179" s="12"/>
      <c r="NUS179" s="11"/>
      <c r="NUT179" s="12"/>
      <c r="NVC179" s="11"/>
      <c r="NVD179" s="12"/>
      <c r="NVM179" s="11"/>
      <c r="NVN179" s="12"/>
      <c r="NVW179" s="11"/>
      <c r="NVX179" s="12"/>
      <c r="NWG179" s="11"/>
      <c r="NWH179" s="12"/>
      <c r="NWQ179" s="11"/>
      <c r="NWR179" s="12"/>
      <c r="NXA179" s="11"/>
      <c r="NXB179" s="12"/>
      <c r="NXK179" s="11"/>
      <c r="NXL179" s="12"/>
      <c r="NXU179" s="11"/>
      <c r="NXV179" s="12"/>
      <c r="NYE179" s="11"/>
      <c r="NYF179" s="12"/>
      <c r="NYO179" s="11"/>
      <c r="NYP179" s="12"/>
      <c r="NYY179" s="11"/>
      <c r="NYZ179" s="12"/>
      <c r="NZI179" s="11"/>
      <c r="NZJ179" s="12"/>
      <c r="NZS179" s="11"/>
      <c r="NZT179" s="12"/>
      <c r="OAC179" s="11"/>
      <c r="OAD179" s="12"/>
      <c r="OAM179" s="11"/>
      <c r="OAN179" s="12"/>
      <c r="OAW179" s="11"/>
      <c r="OAX179" s="12"/>
      <c r="OBG179" s="11"/>
      <c r="OBH179" s="12"/>
      <c r="OBQ179" s="11"/>
      <c r="OBR179" s="12"/>
      <c r="OCA179" s="11"/>
      <c r="OCB179" s="12"/>
      <c r="OCK179" s="11"/>
      <c r="OCL179" s="12"/>
      <c r="OCU179" s="11"/>
      <c r="OCV179" s="12"/>
      <c r="ODE179" s="11"/>
      <c r="ODF179" s="12"/>
      <c r="ODO179" s="11"/>
      <c r="ODP179" s="12"/>
      <c r="ODY179" s="11"/>
      <c r="ODZ179" s="12"/>
      <c r="OEI179" s="11"/>
      <c r="OEJ179" s="12"/>
      <c r="OES179" s="11"/>
      <c r="OET179" s="12"/>
      <c r="OFC179" s="11"/>
      <c r="OFD179" s="12"/>
      <c r="OFM179" s="11"/>
      <c r="OFN179" s="12"/>
      <c r="OFW179" s="11"/>
      <c r="OFX179" s="12"/>
      <c r="OGG179" s="11"/>
      <c r="OGH179" s="12"/>
      <c r="OGQ179" s="11"/>
      <c r="OGR179" s="12"/>
      <c r="OHA179" s="11"/>
      <c r="OHB179" s="12"/>
      <c r="OHK179" s="11"/>
      <c r="OHL179" s="12"/>
      <c r="OHU179" s="11"/>
      <c r="OHV179" s="12"/>
      <c r="OIE179" s="11"/>
      <c r="OIF179" s="12"/>
      <c r="OIO179" s="11"/>
      <c r="OIP179" s="12"/>
      <c r="OIY179" s="11"/>
      <c r="OIZ179" s="12"/>
      <c r="OJI179" s="11"/>
      <c r="OJJ179" s="12"/>
      <c r="OJS179" s="11"/>
      <c r="OJT179" s="12"/>
      <c r="OKC179" s="11"/>
      <c r="OKD179" s="12"/>
      <c r="OKM179" s="11"/>
      <c r="OKN179" s="12"/>
      <c r="OKW179" s="11"/>
      <c r="OKX179" s="12"/>
      <c r="OLG179" s="11"/>
      <c r="OLH179" s="12"/>
      <c r="OLQ179" s="11"/>
      <c r="OLR179" s="12"/>
      <c r="OMA179" s="11"/>
      <c r="OMB179" s="12"/>
      <c r="OMK179" s="11"/>
      <c r="OML179" s="12"/>
      <c r="OMU179" s="11"/>
      <c r="OMV179" s="12"/>
      <c r="ONE179" s="11"/>
      <c r="ONF179" s="12"/>
      <c r="ONO179" s="11"/>
      <c r="ONP179" s="12"/>
      <c r="ONY179" s="11"/>
      <c r="ONZ179" s="12"/>
      <c r="OOI179" s="11"/>
      <c r="OOJ179" s="12"/>
      <c r="OOS179" s="11"/>
      <c r="OOT179" s="12"/>
      <c r="OPC179" s="11"/>
      <c r="OPD179" s="12"/>
      <c r="OPM179" s="11"/>
      <c r="OPN179" s="12"/>
      <c r="OPW179" s="11"/>
      <c r="OPX179" s="12"/>
      <c r="OQG179" s="11"/>
      <c r="OQH179" s="12"/>
      <c r="OQQ179" s="11"/>
      <c r="OQR179" s="12"/>
      <c r="ORA179" s="11"/>
      <c r="ORB179" s="12"/>
      <c r="ORK179" s="11"/>
      <c r="ORL179" s="12"/>
      <c r="ORU179" s="11"/>
      <c r="ORV179" s="12"/>
      <c r="OSE179" s="11"/>
      <c r="OSF179" s="12"/>
      <c r="OSO179" s="11"/>
      <c r="OSP179" s="12"/>
      <c r="OSY179" s="11"/>
      <c r="OSZ179" s="12"/>
      <c r="OTI179" s="11"/>
      <c r="OTJ179" s="12"/>
      <c r="OTS179" s="11"/>
      <c r="OTT179" s="12"/>
      <c r="OUC179" s="11"/>
      <c r="OUD179" s="12"/>
      <c r="OUM179" s="11"/>
      <c r="OUN179" s="12"/>
      <c r="OUW179" s="11"/>
      <c r="OUX179" s="12"/>
      <c r="OVG179" s="11"/>
      <c r="OVH179" s="12"/>
      <c r="OVQ179" s="11"/>
      <c r="OVR179" s="12"/>
      <c r="OWA179" s="11"/>
      <c r="OWB179" s="12"/>
      <c r="OWK179" s="11"/>
      <c r="OWL179" s="12"/>
      <c r="OWU179" s="11"/>
      <c r="OWV179" s="12"/>
      <c r="OXE179" s="11"/>
      <c r="OXF179" s="12"/>
      <c r="OXO179" s="11"/>
      <c r="OXP179" s="12"/>
      <c r="OXY179" s="11"/>
      <c r="OXZ179" s="12"/>
      <c r="OYI179" s="11"/>
      <c r="OYJ179" s="12"/>
      <c r="OYS179" s="11"/>
      <c r="OYT179" s="12"/>
      <c r="OZC179" s="11"/>
      <c r="OZD179" s="12"/>
      <c r="OZM179" s="11"/>
      <c r="OZN179" s="12"/>
      <c r="OZW179" s="11"/>
      <c r="OZX179" s="12"/>
      <c r="PAG179" s="11"/>
      <c r="PAH179" s="12"/>
      <c r="PAQ179" s="11"/>
      <c r="PAR179" s="12"/>
      <c r="PBA179" s="11"/>
      <c r="PBB179" s="12"/>
      <c r="PBK179" s="11"/>
      <c r="PBL179" s="12"/>
      <c r="PBU179" s="11"/>
      <c r="PBV179" s="12"/>
      <c r="PCE179" s="11"/>
      <c r="PCF179" s="12"/>
      <c r="PCO179" s="11"/>
      <c r="PCP179" s="12"/>
      <c r="PCY179" s="11"/>
      <c r="PCZ179" s="12"/>
      <c r="PDI179" s="11"/>
      <c r="PDJ179" s="12"/>
      <c r="PDS179" s="11"/>
      <c r="PDT179" s="12"/>
      <c r="PEC179" s="11"/>
      <c r="PED179" s="12"/>
      <c r="PEM179" s="11"/>
      <c r="PEN179" s="12"/>
      <c r="PEW179" s="11"/>
      <c r="PEX179" s="12"/>
      <c r="PFG179" s="11"/>
      <c r="PFH179" s="12"/>
      <c r="PFQ179" s="11"/>
      <c r="PFR179" s="12"/>
      <c r="PGA179" s="11"/>
      <c r="PGB179" s="12"/>
      <c r="PGK179" s="11"/>
      <c r="PGL179" s="12"/>
      <c r="PGU179" s="11"/>
      <c r="PGV179" s="12"/>
      <c r="PHE179" s="11"/>
      <c r="PHF179" s="12"/>
      <c r="PHO179" s="11"/>
      <c r="PHP179" s="12"/>
      <c r="PHY179" s="11"/>
      <c r="PHZ179" s="12"/>
      <c r="PII179" s="11"/>
      <c r="PIJ179" s="12"/>
      <c r="PIS179" s="11"/>
      <c r="PIT179" s="12"/>
      <c r="PJC179" s="11"/>
      <c r="PJD179" s="12"/>
      <c r="PJM179" s="11"/>
      <c r="PJN179" s="12"/>
      <c r="PJW179" s="11"/>
      <c r="PJX179" s="12"/>
      <c r="PKG179" s="11"/>
      <c r="PKH179" s="12"/>
      <c r="PKQ179" s="11"/>
      <c r="PKR179" s="12"/>
      <c r="PLA179" s="11"/>
      <c r="PLB179" s="12"/>
      <c r="PLK179" s="11"/>
      <c r="PLL179" s="12"/>
      <c r="PLU179" s="11"/>
      <c r="PLV179" s="12"/>
      <c r="PME179" s="11"/>
      <c r="PMF179" s="12"/>
      <c r="PMO179" s="11"/>
      <c r="PMP179" s="12"/>
      <c r="PMY179" s="11"/>
      <c r="PMZ179" s="12"/>
      <c r="PNI179" s="11"/>
      <c r="PNJ179" s="12"/>
      <c r="PNS179" s="11"/>
      <c r="PNT179" s="12"/>
      <c r="POC179" s="11"/>
      <c r="POD179" s="12"/>
      <c r="POM179" s="11"/>
      <c r="PON179" s="12"/>
      <c r="POW179" s="11"/>
      <c r="POX179" s="12"/>
      <c r="PPG179" s="11"/>
      <c r="PPH179" s="12"/>
      <c r="PPQ179" s="11"/>
      <c r="PPR179" s="12"/>
      <c r="PQA179" s="11"/>
      <c r="PQB179" s="12"/>
      <c r="PQK179" s="11"/>
      <c r="PQL179" s="12"/>
      <c r="PQU179" s="11"/>
      <c r="PQV179" s="12"/>
      <c r="PRE179" s="11"/>
      <c r="PRF179" s="12"/>
      <c r="PRO179" s="11"/>
      <c r="PRP179" s="12"/>
      <c r="PRY179" s="11"/>
      <c r="PRZ179" s="12"/>
      <c r="PSI179" s="11"/>
      <c r="PSJ179" s="12"/>
      <c r="PSS179" s="11"/>
      <c r="PST179" s="12"/>
      <c r="PTC179" s="11"/>
      <c r="PTD179" s="12"/>
      <c r="PTM179" s="11"/>
      <c r="PTN179" s="12"/>
      <c r="PTW179" s="11"/>
      <c r="PTX179" s="12"/>
      <c r="PUG179" s="11"/>
      <c r="PUH179" s="12"/>
      <c r="PUQ179" s="11"/>
      <c r="PUR179" s="12"/>
      <c r="PVA179" s="11"/>
      <c r="PVB179" s="12"/>
      <c r="PVK179" s="11"/>
      <c r="PVL179" s="12"/>
      <c r="PVU179" s="11"/>
      <c r="PVV179" s="12"/>
      <c r="PWE179" s="11"/>
      <c r="PWF179" s="12"/>
      <c r="PWO179" s="11"/>
      <c r="PWP179" s="12"/>
      <c r="PWY179" s="11"/>
      <c r="PWZ179" s="12"/>
      <c r="PXI179" s="11"/>
      <c r="PXJ179" s="12"/>
      <c r="PXS179" s="11"/>
      <c r="PXT179" s="12"/>
      <c r="PYC179" s="11"/>
      <c r="PYD179" s="12"/>
      <c r="PYM179" s="11"/>
      <c r="PYN179" s="12"/>
      <c r="PYW179" s="11"/>
      <c r="PYX179" s="12"/>
      <c r="PZG179" s="11"/>
      <c r="PZH179" s="12"/>
      <c r="PZQ179" s="11"/>
      <c r="PZR179" s="12"/>
      <c r="QAA179" s="11"/>
      <c r="QAB179" s="12"/>
      <c r="QAK179" s="11"/>
      <c r="QAL179" s="12"/>
      <c r="QAU179" s="11"/>
      <c r="QAV179" s="12"/>
      <c r="QBE179" s="11"/>
      <c r="QBF179" s="12"/>
      <c r="QBO179" s="11"/>
      <c r="QBP179" s="12"/>
      <c r="QBY179" s="11"/>
      <c r="QBZ179" s="12"/>
      <c r="QCI179" s="11"/>
      <c r="QCJ179" s="12"/>
      <c r="QCS179" s="11"/>
      <c r="QCT179" s="12"/>
      <c r="QDC179" s="11"/>
      <c r="QDD179" s="12"/>
      <c r="QDM179" s="11"/>
      <c r="QDN179" s="12"/>
      <c r="QDW179" s="11"/>
      <c r="QDX179" s="12"/>
      <c r="QEG179" s="11"/>
      <c r="QEH179" s="12"/>
      <c r="QEQ179" s="11"/>
      <c r="QER179" s="12"/>
      <c r="QFA179" s="11"/>
      <c r="QFB179" s="12"/>
      <c r="QFK179" s="11"/>
      <c r="QFL179" s="12"/>
      <c r="QFU179" s="11"/>
      <c r="QFV179" s="12"/>
      <c r="QGE179" s="11"/>
      <c r="QGF179" s="12"/>
      <c r="QGO179" s="11"/>
      <c r="QGP179" s="12"/>
      <c r="QGY179" s="11"/>
      <c r="QGZ179" s="12"/>
      <c r="QHI179" s="11"/>
      <c r="QHJ179" s="12"/>
      <c r="QHS179" s="11"/>
      <c r="QHT179" s="12"/>
      <c r="QIC179" s="11"/>
      <c r="QID179" s="12"/>
      <c r="QIM179" s="11"/>
      <c r="QIN179" s="12"/>
      <c r="QIW179" s="11"/>
      <c r="QIX179" s="12"/>
      <c r="QJG179" s="11"/>
      <c r="QJH179" s="12"/>
      <c r="QJQ179" s="11"/>
      <c r="QJR179" s="12"/>
      <c r="QKA179" s="11"/>
      <c r="QKB179" s="12"/>
      <c r="QKK179" s="11"/>
      <c r="QKL179" s="12"/>
      <c r="QKU179" s="11"/>
      <c r="QKV179" s="12"/>
      <c r="QLE179" s="11"/>
      <c r="QLF179" s="12"/>
      <c r="QLO179" s="11"/>
      <c r="QLP179" s="12"/>
      <c r="QLY179" s="11"/>
      <c r="QLZ179" s="12"/>
      <c r="QMI179" s="11"/>
      <c r="QMJ179" s="12"/>
      <c r="QMS179" s="11"/>
      <c r="QMT179" s="12"/>
      <c r="QNC179" s="11"/>
      <c r="QND179" s="12"/>
      <c r="QNM179" s="11"/>
      <c r="QNN179" s="12"/>
      <c r="QNW179" s="11"/>
      <c r="QNX179" s="12"/>
      <c r="QOG179" s="11"/>
      <c r="QOH179" s="12"/>
      <c r="QOQ179" s="11"/>
      <c r="QOR179" s="12"/>
      <c r="QPA179" s="11"/>
      <c r="QPB179" s="12"/>
      <c r="QPK179" s="11"/>
      <c r="QPL179" s="12"/>
      <c r="QPU179" s="11"/>
      <c r="QPV179" s="12"/>
      <c r="QQE179" s="11"/>
      <c r="QQF179" s="12"/>
      <c r="QQO179" s="11"/>
      <c r="QQP179" s="12"/>
      <c r="QQY179" s="11"/>
      <c r="QQZ179" s="12"/>
      <c r="QRI179" s="11"/>
      <c r="QRJ179" s="12"/>
      <c r="QRS179" s="11"/>
      <c r="QRT179" s="12"/>
      <c r="QSC179" s="11"/>
      <c r="QSD179" s="12"/>
      <c r="QSM179" s="11"/>
      <c r="QSN179" s="12"/>
      <c r="QSW179" s="11"/>
      <c r="QSX179" s="12"/>
      <c r="QTG179" s="11"/>
      <c r="QTH179" s="12"/>
      <c r="QTQ179" s="11"/>
      <c r="QTR179" s="12"/>
      <c r="QUA179" s="11"/>
      <c r="QUB179" s="12"/>
      <c r="QUK179" s="11"/>
      <c r="QUL179" s="12"/>
      <c r="QUU179" s="11"/>
      <c r="QUV179" s="12"/>
      <c r="QVE179" s="11"/>
      <c r="QVF179" s="12"/>
      <c r="QVO179" s="11"/>
      <c r="QVP179" s="12"/>
      <c r="QVY179" s="11"/>
      <c r="QVZ179" s="12"/>
      <c r="QWI179" s="11"/>
      <c r="QWJ179" s="12"/>
      <c r="QWS179" s="11"/>
      <c r="QWT179" s="12"/>
      <c r="QXC179" s="11"/>
      <c r="QXD179" s="12"/>
      <c r="QXM179" s="11"/>
      <c r="QXN179" s="12"/>
      <c r="QXW179" s="11"/>
      <c r="QXX179" s="12"/>
      <c r="QYG179" s="11"/>
      <c r="QYH179" s="12"/>
      <c r="QYQ179" s="11"/>
      <c r="QYR179" s="12"/>
      <c r="QZA179" s="11"/>
      <c r="QZB179" s="12"/>
      <c r="QZK179" s="11"/>
      <c r="QZL179" s="12"/>
      <c r="QZU179" s="11"/>
      <c r="QZV179" s="12"/>
      <c r="RAE179" s="11"/>
      <c r="RAF179" s="12"/>
      <c r="RAO179" s="11"/>
      <c r="RAP179" s="12"/>
      <c r="RAY179" s="11"/>
      <c r="RAZ179" s="12"/>
      <c r="RBI179" s="11"/>
      <c r="RBJ179" s="12"/>
      <c r="RBS179" s="11"/>
      <c r="RBT179" s="12"/>
      <c r="RCC179" s="11"/>
      <c r="RCD179" s="12"/>
      <c r="RCM179" s="11"/>
      <c r="RCN179" s="12"/>
      <c r="RCW179" s="11"/>
      <c r="RCX179" s="12"/>
      <c r="RDG179" s="11"/>
      <c r="RDH179" s="12"/>
      <c r="RDQ179" s="11"/>
      <c r="RDR179" s="12"/>
      <c r="REA179" s="11"/>
      <c r="REB179" s="12"/>
      <c r="REK179" s="11"/>
      <c r="REL179" s="12"/>
      <c r="REU179" s="11"/>
      <c r="REV179" s="12"/>
      <c r="RFE179" s="11"/>
      <c r="RFF179" s="12"/>
      <c r="RFO179" s="11"/>
      <c r="RFP179" s="12"/>
      <c r="RFY179" s="11"/>
      <c r="RFZ179" s="12"/>
      <c r="RGI179" s="11"/>
      <c r="RGJ179" s="12"/>
      <c r="RGS179" s="11"/>
      <c r="RGT179" s="12"/>
      <c r="RHC179" s="11"/>
      <c r="RHD179" s="12"/>
      <c r="RHM179" s="11"/>
      <c r="RHN179" s="12"/>
      <c r="RHW179" s="11"/>
      <c r="RHX179" s="12"/>
      <c r="RIG179" s="11"/>
      <c r="RIH179" s="12"/>
      <c r="RIQ179" s="11"/>
      <c r="RIR179" s="12"/>
      <c r="RJA179" s="11"/>
      <c r="RJB179" s="12"/>
      <c r="RJK179" s="11"/>
      <c r="RJL179" s="12"/>
      <c r="RJU179" s="11"/>
      <c r="RJV179" s="12"/>
      <c r="RKE179" s="11"/>
      <c r="RKF179" s="12"/>
      <c r="RKO179" s="11"/>
      <c r="RKP179" s="12"/>
      <c r="RKY179" s="11"/>
      <c r="RKZ179" s="12"/>
      <c r="RLI179" s="11"/>
      <c r="RLJ179" s="12"/>
      <c r="RLS179" s="11"/>
      <c r="RLT179" s="12"/>
      <c r="RMC179" s="11"/>
      <c r="RMD179" s="12"/>
      <c r="RMM179" s="11"/>
      <c r="RMN179" s="12"/>
      <c r="RMW179" s="11"/>
      <c r="RMX179" s="12"/>
      <c r="RNG179" s="11"/>
      <c r="RNH179" s="12"/>
      <c r="RNQ179" s="11"/>
      <c r="RNR179" s="12"/>
      <c r="ROA179" s="11"/>
      <c r="ROB179" s="12"/>
      <c r="ROK179" s="11"/>
      <c r="ROL179" s="12"/>
      <c r="ROU179" s="11"/>
      <c r="ROV179" s="12"/>
      <c r="RPE179" s="11"/>
      <c r="RPF179" s="12"/>
      <c r="RPO179" s="11"/>
      <c r="RPP179" s="12"/>
      <c r="RPY179" s="11"/>
      <c r="RPZ179" s="12"/>
      <c r="RQI179" s="11"/>
      <c r="RQJ179" s="12"/>
      <c r="RQS179" s="11"/>
      <c r="RQT179" s="12"/>
      <c r="RRC179" s="11"/>
      <c r="RRD179" s="12"/>
      <c r="RRM179" s="11"/>
      <c r="RRN179" s="12"/>
      <c r="RRW179" s="11"/>
      <c r="RRX179" s="12"/>
      <c r="RSG179" s="11"/>
      <c r="RSH179" s="12"/>
      <c r="RSQ179" s="11"/>
      <c r="RSR179" s="12"/>
      <c r="RTA179" s="11"/>
      <c r="RTB179" s="12"/>
      <c r="RTK179" s="11"/>
      <c r="RTL179" s="12"/>
      <c r="RTU179" s="11"/>
      <c r="RTV179" s="12"/>
      <c r="RUE179" s="11"/>
      <c r="RUF179" s="12"/>
      <c r="RUO179" s="11"/>
      <c r="RUP179" s="12"/>
      <c r="RUY179" s="11"/>
      <c r="RUZ179" s="12"/>
      <c r="RVI179" s="11"/>
      <c r="RVJ179" s="12"/>
      <c r="RVS179" s="11"/>
      <c r="RVT179" s="12"/>
      <c r="RWC179" s="11"/>
      <c r="RWD179" s="12"/>
      <c r="RWM179" s="11"/>
      <c r="RWN179" s="12"/>
      <c r="RWW179" s="11"/>
      <c r="RWX179" s="12"/>
      <c r="RXG179" s="11"/>
      <c r="RXH179" s="12"/>
      <c r="RXQ179" s="11"/>
      <c r="RXR179" s="12"/>
      <c r="RYA179" s="11"/>
      <c r="RYB179" s="12"/>
      <c r="RYK179" s="11"/>
      <c r="RYL179" s="12"/>
      <c r="RYU179" s="11"/>
      <c r="RYV179" s="12"/>
      <c r="RZE179" s="11"/>
      <c r="RZF179" s="12"/>
      <c r="RZO179" s="11"/>
      <c r="RZP179" s="12"/>
      <c r="RZY179" s="11"/>
      <c r="RZZ179" s="12"/>
      <c r="SAI179" s="11"/>
      <c r="SAJ179" s="12"/>
      <c r="SAS179" s="11"/>
      <c r="SAT179" s="12"/>
      <c r="SBC179" s="11"/>
      <c r="SBD179" s="12"/>
      <c r="SBM179" s="11"/>
      <c r="SBN179" s="12"/>
      <c r="SBW179" s="11"/>
      <c r="SBX179" s="12"/>
      <c r="SCG179" s="11"/>
      <c r="SCH179" s="12"/>
      <c r="SCQ179" s="11"/>
      <c r="SCR179" s="12"/>
      <c r="SDA179" s="11"/>
      <c r="SDB179" s="12"/>
      <c r="SDK179" s="11"/>
      <c r="SDL179" s="12"/>
      <c r="SDU179" s="11"/>
      <c r="SDV179" s="12"/>
      <c r="SEE179" s="11"/>
      <c r="SEF179" s="12"/>
      <c r="SEO179" s="11"/>
      <c r="SEP179" s="12"/>
      <c r="SEY179" s="11"/>
      <c r="SEZ179" s="12"/>
      <c r="SFI179" s="11"/>
      <c r="SFJ179" s="12"/>
      <c r="SFS179" s="11"/>
      <c r="SFT179" s="12"/>
      <c r="SGC179" s="11"/>
      <c r="SGD179" s="12"/>
      <c r="SGM179" s="11"/>
      <c r="SGN179" s="12"/>
      <c r="SGW179" s="11"/>
      <c r="SGX179" s="12"/>
      <c r="SHG179" s="11"/>
      <c r="SHH179" s="12"/>
      <c r="SHQ179" s="11"/>
      <c r="SHR179" s="12"/>
      <c r="SIA179" s="11"/>
      <c r="SIB179" s="12"/>
      <c r="SIK179" s="11"/>
      <c r="SIL179" s="12"/>
      <c r="SIU179" s="11"/>
      <c r="SIV179" s="12"/>
      <c r="SJE179" s="11"/>
      <c r="SJF179" s="12"/>
      <c r="SJO179" s="11"/>
      <c r="SJP179" s="12"/>
      <c r="SJY179" s="11"/>
      <c r="SJZ179" s="12"/>
      <c r="SKI179" s="11"/>
      <c r="SKJ179" s="12"/>
      <c r="SKS179" s="11"/>
      <c r="SKT179" s="12"/>
      <c r="SLC179" s="11"/>
      <c r="SLD179" s="12"/>
      <c r="SLM179" s="11"/>
      <c r="SLN179" s="12"/>
      <c r="SLW179" s="11"/>
      <c r="SLX179" s="12"/>
      <c r="SMG179" s="11"/>
      <c r="SMH179" s="12"/>
      <c r="SMQ179" s="11"/>
      <c r="SMR179" s="12"/>
      <c r="SNA179" s="11"/>
      <c r="SNB179" s="12"/>
      <c r="SNK179" s="11"/>
      <c r="SNL179" s="12"/>
      <c r="SNU179" s="11"/>
      <c r="SNV179" s="12"/>
      <c r="SOE179" s="11"/>
      <c r="SOF179" s="12"/>
      <c r="SOO179" s="11"/>
      <c r="SOP179" s="12"/>
      <c r="SOY179" s="11"/>
      <c r="SOZ179" s="12"/>
      <c r="SPI179" s="11"/>
      <c r="SPJ179" s="12"/>
      <c r="SPS179" s="11"/>
      <c r="SPT179" s="12"/>
      <c r="SQC179" s="11"/>
      <c r="SQD179" s="12"/>
      <c r="SQM179" s="11"/>
      <c r="SQN179" s="12"/>
      <c r="SQW179" s="11"/>
      <c r="SQX179" s="12"/>
      <c r="SRG179" s="11"/>
      <c r="SRH179" s="12"/>
      <c r="SRQ179" s="11"/>
      <c r="SRR179" s="12"/>
      <c r="SSA179" s="11"/>
      <c r="SSB179" s="12"/>
      <c r="SSK179" s="11"/>
      <c r="SSL179" s="12"/>
      <c r="SSU179" s="11"/>
      <c r="SSV179" s="12"/>
      <c r="STE179" s="11"/>
      <c r="STF179" s="12"/>
      <c r="STO179" s="11"/>
      <c r="STP179" s="12"/>
      <c r="STY179" s="11"/>
      <c r="STZ179" s="12"/>
      <c r="SUI179" s="11"/>
      <c r="SUJ179" s="12"/>
      <c r="SUS179" s="11"/>
      <c r="SUT179" s="12"/>
      <c r="SVC179" s="11"/>
      <c r="SVD179" s="12"/>
      <c r="SVM179" s="11"/>
      <c r="SVN179" s="12"/>
      <c r="SVW179" s="11"/>
      <c r="SVX179" s="12"/>
      <c r="SWG179" s="11"/>
      <c r="SWH179" s="12"/>
      <c r="SWQ179" s="11"/>
      <c r="SWR179" s="12"/>
      <c r="SXA179" s="11"/>
      <c r="SXB179" s="12"/>
      <c r="SXK179" s="11"/>
      <c r="SXL179" s="12"/>
      <c r="SXU179" s="11"/>
      <c r="SXV179" s="12"/>
      <c r="SYE179" s="11"/>
      <c r="SYF179" s="12"/>
      <c r="SYO179" s="11"/>
      <c r="SYP179" s="12"/>
      <c r="SYY179" s="11"/>
      <c r="SYZ179" s="12"/>
      <c r="SZI179" s="11"/>
      <c r="SZJ179" s="12"/>
      <c r="SZS179" s="11"/>
      <c r="SZT179" s="12"/>
      <c r="TAC179" s="11"/>
      <c r="TAD179" s="12"/>
      <c r="TAM179" s="11"/>
      <c r="TAN179" s="12"/>
      <c r="TAW179" s="11"/>
      <c r="TAX179" s="12"/>
      <c r="TBG179" s="11"/>
      <c r="TBH179" s="12"/>
      <c r="TBQ179" s="11"/>
      <c r="TBR179" s="12"/>
      <c r="TCA179" s="11"/>
      <c r="TCB179" s="12"/>
      <c r="TCK179" s="11"/>
      <c r="TCL179" s="12"/>
      <c r="TCU179" s="11"/>
      <c r="TCV179" s="12"/>
      <c r="TDE179" s="11"/>
      <c r="TDF179" s="12"/>
      <c r="TDO179" s="11"/>
      <c r="TDP179" s="12"/>
      <c r="TDY179" s="11"/>
      <c r="TDZ179" s="12"/>
      <c r="TEI179" s="11"/>
      <c r="TEJ179" s="12"/>
      <c r="TES179" s="11"/>
      <c r="TET179" s="12"/>
      <c r="TFC179" s="11"/>
      <c r="TFD179" s="12"/>
      <c r="TFM179" s="11"/>
      <c r="TFN179" s="12"/>
      <c r="TFW179" s="11"/>
      <c r="TFX179" s="12"/>
      <c r="TGG179" s="11"/>
      <c r="TGH179" s="12"/>
      <c r="TGQ179" s="11"/>
      <c r="TGR179" s="12"/>
      <c r="THA179" s="11"/>
      <c r="THB179" s="12"/>
      <c r="THK179" s="11"/>
      <c r="THL179" s="12"/>
      <c r="THU179" s="11"/>
      <c r="THV179" s="12"/>
      <c r="TIE179" s="11"/>
      <c r="TIF179" s="12"/>
      <c r="TIO179" s="11"/>
      <c r="TIP179" s="12"/>
      <c r="TIY179" s="11"/>
      <c r="TIZ179" s="12"/>
      <c r="TJI179" s="11"/>
      <c r="TJJ179" s="12"/>
      <c r="TJS179" s="11"/>
      <c r="TJT179" s="12"/>
      <c r="TKC179" s="11"/>
      <c r="TKD179" s="12"/>
      <c r="TKM179" s="11"/>
      <c r="TKN179" s="12"/>
      <c r="TKW179" s="11"/>
      <c r="TKX179" s="12"/>
      <c r="TLG179" s="11"/>
      <c r="TLH179" s="12"/>
      <c r="TLQ179" s="11"/>
      <c r="TLR179" s="12"/>
      <c r="TMA179" s="11"/>
      <c r="TMB179" s="12"/>
      <c r="TMK179" s="11"/>
      <c r="TML179" s="12"/>
      <c r="TMU179" s="11"/>
      <c r="TMV179" s="12"/>
      <c r="TNE179" s="11"/>
      <c r="TNF179" s="12"/>
      <c r="TNO179" s="11"/>
      <c r="TNP179" s="12"/>
      <c r="TNY179" s="11"/>
      <c r="TNZ179" s="12"/>
      <c r="TOI179" s="11"/>
      <c r="TOJ179" s="12"/>
      <c r="TOS179" s="11"/>
      <c r="TOT179" s="12"/>
      <c r="TPC179" s="11"/>
      <c r="TPD179" s="12"/>
      <c r="TPM179" s="11"/>
      <c r="TPN179" s="12"/>
      <c r="TPW179" s="11"/>
      <c r="TPX179" s="12"/>
      <c r="TQG179" s="11"/>
      <c r="TQH179" s="12"/>
      <c r="TQQ179" s="11"/>
      <c r="TQR179" s="12"/>
      <c r="TRA179" s="11"/>
      <c r="TRB179" s="12"/>
      <c r="TRK179" s="11"/>
      <c r="TRL179" s="12"/>
      <c r="TRU179" s="11"/>
      <c r="TRV179" s="12"/>
      <c r="TSE179" s="11"/>
      <c r="TSF179" s="12"/>
      <c r="TSO179" s="11"/>
      <c r="TSP179" s="12"/>
      <c r="TSY179" s="11"/>
      <c r="TSZ179" s="12"/>
      <c r="TTI179" s="11"/>
      <c r="TTJ179" s="12"/>
      <c r="TTS179" s="11"/>
      <c r="TTT179" s="12"/>
      <c r="TUC179" s="11"/>
      <c r="TUD179" s="12"/>
      <c r="TUM179" s="11"/>
      <c r="TUN179" s="12"/>
      <c r="TUW179" s="11"/>
      <c r="TUX179" s="12"/>
      <c r="TVG179" s="11"/>
      <c r="TVH179" s="12"/>
      <c r="TVQ179" s="11"/>
      <c r="TVR179" s="12"/>
      <c r="TWA179" s="11"/>
      <c r="TWB179" s="12"/>
      <c r="TWK179" s="11"/>
      <c r="TWL179" s="12"/>
      <c r="TWU179" s="11"/>
      <c r="TWV179" s="12"/>
      <c r="TXE179" s="11"/>
      <c r="TXF179" s="12"/>
      <c r="TXO179" s="11"/>
      <c r="TXP179" s="12"/>
      <c r="TXY179" s="11"/>
      <c r="TXZ179" s="12"/>
      <c r="TYI179" s="11"/>
      <c r="TYJ179" s="12"/>
      <c r="TYS179" s="11"/>
      <c r="TYT179" s="12"/>
      <c r="TZC179" s="11"/>
      <c r="TZD179" s="12"/>
      <c r="TZM179" s="11"/>
      <c r="TZN179" s="12"/>
      <c r="TZW179" s="11"/>
      <c r="TZX179" s="12"/>
      <c r="UAG179" s="11"/>
      <c r="UAH179" s="12"/>
      <c r="UAQ179" s="11"/>
      <c r="UAR179" s="12"/>
      <c r="UBA179" s="11"/>
      <c r="UBB179" s="12"/>
      <c r="UBK179" s="11"/>
      <c r="UBL179" s="12"/>
      <c r="UBU179" s="11"/>
      <c r="UBV179" s="12"/>
      <c r="UCE179" s="11"/>
      <c r="UCF179" s="12"/>
      <c r="UCO179" s="11"/>
      <c r="UCP179" s="12"/>
      <c r="UCY179" s="11"/>
      <c r="UCZ179" s="12"/>
      <c r="UDI179" s="11"/>
      <c r="UDJ179" s="12"/>
      <c r="UDS179" s="11"/>
      <c r="UDT179" s="12"/>
      <c r="UEC179" s="11"/>
      <c r="UED179" s="12"/>
      <c r="UEM179" s="11"/>
      <c r="UEN179" s="12"/>
      <c r="UEW179" s="11"/>
      <c r="UEX179" s="12"/>
      <c r="UFG179" s="11"/>
      <c r="UFH179" s="12"/>
      <c r="UFQ179" s="11"/>
      <c r="UFR179" s="12"/>
      <c r="UGA179" s="11"/>
      <c r="UGB179" s="12"/>
      <c r="UGK179" s="11"/>
      <c r="UGL179" s="12"/>
      <c r="UGU179" s="11"/>
      <c r="UGV179" s="12"/>
      <c r="UHE179" s="11"/>
      <c r="UHF179" s="12"/>
      <c r="UHO179" s="11"/>
      <c r="UHP179" s="12"/>
      <c r="UHY179" s="11"/>
      <c r="UHZ179" s="12"/>
      <c r="UII179" s="11"/>
      <c r="UIJ179" s="12"/>
      <c r="UIS179" s="11"/>
      <c r="UIT179" s="12"/>
      <c r="UJC179" s="11"/>
      <c r="UJD179" s="12"/>
      <c r="UJM179" s="11"/>
      <c r="UJN179" s="12"/>
      <c r="UJW179" s="11"/>
      <c r="UJX179" s="12"/>
      <c r="UKG179" s="11"/>
      <c r="UKH179" s="12"/>
      <c r="UKQ179" s="11"/>
      <c r="UKR179" s="12"/>
      <c r="ULA179" s="11"/>
      <c r="ULB179" s="12"/>
      <c r="ULK179" s="11"/>
      <c r="ULL179" s="12"/>
      <c r="ULU179" s="11"/>
      <c r="ULV179" s="12"/>
      <c r="UME179" s="11"/>
      <c r="UMF179" s="12"/>
      <c r="UMO179" s="11"/>
      <c r="UMP179" s="12"/>
      <c r="UMY179" s="11"/>
      <c r="UMZ179" s="12"/>
      <c r="UNI179" s="11"/>
      <c r="UNJ179" s="12"/>
      <c r="UNS179" s="11"/>
      <c r="UNT179" s="12"/>
      <c r="UOC179" s="11"/>
      <c r="UOD179" s="12"/>
      <c r="UOM179" s="11"/>
      <c r="UON179" s="12"/>
      <c r="UOW179" s="11"/>
      <c r="UOX179" s="12"/>
      <c r="UPG179" s="11"/>
      <c r="UPH179" s="12"/>
      <c r="UPQ179" s="11"/>
      <c r="UPR179" s="12"/>
      <c r="UQA179" s="11"/>
      <c r="UQB179" s="12"/>
      <c r="UQK179" s="11"/>
      <c r="UQL179" s="12"/>
      <c r="UQU179" s="11"/>
      <c r="UQV179" s="12"/>
      <c r="URE179" s="11"/>
      <c r="URF179" s="12"/>
      <c r="URO179" s="11"/>
      <c r="URP179" s="12"/>
      <c r="URY179" s="11"/>
      <c r="URZ179" s="12"/>
      <c r="USI179" s="11"/>
      <c r="USJ179" s="12"/>
      <c r="USS179" s="11"/>
      <c r="UST179" s="12"/>
      <c r="UTC179" s="11"/>
      <c r="UTD179" s="12"/>
      <c r="UTM179" s="11"/>
      <c r="UTN179" s="12"/>
      <c r="UTW179" s="11"/>
      <c r="UTX179" s="12"/>
      <c r="UUG179" s="11"/>
      <c r="UUH179" s="12"/>
      <c r="UUQ179" s="11"/>
      <c r="UUR179" s="12"/>
      <c r="UVA179" s="11"/>
      <c r="UVB179" s="12"/>
      <c r="UVK179" s="11"/>
      <c r="UVL179" s="12"/>
      <c r="UVU179" s="11"/>
      <c r="UVV179" s="12"/>
      <c r="UWE179" s="11"/>
      <c r="UWF179" s="12"/>
      <c r="UWO179" s="11"/>
      <c r="UWP179" s="12"/>
      <c r="UWY179" s="11"/>
      <c r="UWZ179" s="12"/>
      <c r="UXI179" s="11"/>
      <c r="UXJ179" s="12"/>
      <c r="UXS179" s="11"/>
      <c r="UXT179" s="12"/>
      <c r="UYC179" s="11"/>
      <c r="UYD179" s="12"/>
      <c r="UYM179" s="11"/>
      <c r="UYN179" s="12"/>
      <c r="UYW179" s="11"/>
      <c r="UYX179" s="12"/>
      <c r="UZG179" s="11"/>
      <c r="UZH179" s="12"/>
      <c r="UZQ179" s="11"/>
      <c r="UZR179" s="12"/>
      <c r="VAA179" s="11"/>
      <c r="VAB179" s="12"/>
      <c r="VAK179" s="11"/>
      <c r="VAL179" s="12"/>
      <c r="VAU179" s="11"/>
      <c r="VAV179" s="12"/>
      <c r="VBE179" s="11"/>
      <c r="VBF179" s="12"/>
      <c r="VBO179" s="11"/>
      <c r="VBP179" s="12"/>
      <c r="VBY179" s="11"/>
      <c r="VBZ179" s="12"/>
      <c r="VCI179" s="11"/>
      <c r="VCJ179" s="12"/>
      <c r="VCS179" s="11"/>
      <c r="VCT179" s="12"/>
      <c r="VDC179" s="11"/>
      <c r="VDD179" s="12"/>
      <c r="VDM179" s="11"/>
      <c r="VDN179" s="12"/>
      <c r="VDW179" s="11"/>
      <c r="VDX179" s="12"/>
      <c r="VEG179" s="11"/>
      <c r="VEH179" s="12"/>
      <c r="VEQ179" s="11"/>
      <c r="VER179" s="12"/>
      <c r="VFA179" s="11"/>
      <c r="VFB179" s="12"/>
      <c r="VFK179" s="11"/>
      <c r="VFL179" s="12"/>
      <c r="VFU179" s="11"/>
      <c r="VFV179" s="12"/>
      <c r="VGE179" s="11"/>
      <c r="VGF179" s="12"/>
      <c r="VGO179" s="11"/>
      <c r="VGP179" s="12"/>
      <c r="VGY179" s="11"/>
      <c r="VGZ179" s="12"/>
      <c r="VHI179" s="11"/>
      <c r="VHJ179" s="12"/>
      <c r="VHS179" s="11"/>
      <c r="VHT179" s="12"/>
      <c r="VIC179" s="11"/>
      <c r="VID179" s="12"/>
      <c r="VIM179" s="11"/>
      <c r="VIN179" s="12"/>
      <c r="VIW179" s="11"/>
      <c r="VIX179" s="12"/>
      <c r="VJG179" s="11"/>
      <c r="VJH179" s="12"/>
      <c r="VJQ179" s="11"/>
      <c r="VJR179" s="12"/>
      <c r="VKA179" s="11"/>
      <c r="VKB179" s="12"/>
      <c r="VKK179" s="11"/>
      <c r="VKL179" s="12"/>
      <c r="VKU179" s="11"/>
      <c r="VKV179" s="12"/>
      <c r="VLE179" s="11"/>
      <c r="VLF179" s="12"/>
      <c r="VLO179" s="11"/>
      <c r="VLP179" s="12"/>
      <c r="VLY179" s="11"/>
      <c r="VLZ179" s="12"/>
      <c r="VMI179" s="11"/>
      <c r="VMJ179" s="12"/>
      <c r="VMS179" s="11"/>
      <c r="VMT179" s="12"/>
      <c r="VNC179" s="11"/>
      <c r="VND179" s="12"/>
      <c r="VNM179" s="11"/>
      <c r="VNN179" s="12"/>
      <c r="VNW179" s="11"/>
      <c r="VNX179" s="12"/>
      <c r="VOG179" s="11"/>
      <c r="VOH179" s="12"/>
      <c r="VOQ179" s="11"/>
      <c r="VOR179" s="12"/>
      <c r="VPA179" s="11"/>
      <c r="VPB179" s="12"/>
      <c r="VPK179" s="11"/>
      <c r="VPL179" s="12"/>
      <c r="VPU179" s="11"/>
      <c r="VPV179" s="12"/>
      <c r="VQE179" s="11"/>
      <c r="VQF179" s="12"/>
      <c r="VQO179" s="11"/>
      <c r="VQP179" s="12"/>
      <c r="VQY179" s="11"/>
      <c r="VQZ179" s="12"/>
      <c r="VRI179" s="11"/>
      <c r="VRJ179" s="12"/>
      <c r="VRS179" s="11"/>
      <c r="VRT179" s="12"/>
      <c r="VSC179" s="11"/>
      <c r="VSD179" s="12"/>
      <c r="VSM179" s="11"/>
      <c r="VSN179" s="12"/>
      <c r="VSW179" s="11"/>
      <c r="VSX179" s="12"/>
      <c r="VTG179" s="11"/>
      <c r="VTH179" s="12"/>
      <c r="VTQ179" s="11"/>
      <c r="VTR179" s="12"/>
      <c r="VUA179" s="11"/>
      <c r="VUB179" s="12"/>
      <c r="VUK179" s="11"/>
      <c r="VUL179" s="12"/>
      <c r="VUU179" s="11"/>
      <c r="VUV179" s="12"/>
      <c r="VVE179" s="11"/>
      <c r="VVF179" s="12"/>
      <c r="VVO179" s="11"/>
      <c r="VVP179" s="12"/>
      <c r="VVY179" s="11"/>
      <c r="VVZ179" s="12"/>
      <c r="VWI179" s="11"/>
      <c r="VWJ179" s="12"/>
      <c r="VWS179" s="11"/>
      <c r="VWT179" s="12"/>
      <c r="VXC179" s="11"/>
      <c r="VXD179" s="12"/>
      <c r="VXM179" s="11"/>
      <c r="VXN179" s="12"/>
      <c r="VXW179" s="11"/>
      <c r="VXX179" s="12"/>
      <c r="VYG179" s="11"/>
      <c r="VYH179" s="12"/>
      <c r="VYQ179" s="11"/>
      <c r="VYR179" s="12"/>
      <c r="VZA179" s="11"/>
      <c r="VZB179" s="12"/>
      <c r="VZK179" s="11"/>
      <c r="VZL179" s="12"/>
      <c r="VZU179" s="11"/>
      <c r="VZV179" s="12"/>
      <c r="WAE179" s="11"/>
      <c r="WAF179" s="12"/>
      <c r="WAO179" s="11"/>
      <c r="WAP179" s="12"/>
      <c r="WAY179" s="11"/>
      <c r="WAZ179" s="12"/>
      <c r="WBI179" s="11"/>
      <c r="WBJ179" s="12"/>
      <c r="WBS179" s="11"/>
      <c r="WBT179" s="12"/>
      <c r="WCC179" s="11"/>
      <c r="WCD179" s="12"/>
      <c r="WCM179" s="11"/>
      <c r="WCN179" s="12"/>
      <c r="WCW179" s="11"/>
      <c r="WCX179" s="12"/>
      <c r="WDG179" s="11"/>
      <c r="WDH179" s="12"/>
      <c r="WDQ179" s="11"/>
      <c r="WDR179" s="12"/>
      <c r="WEA179" s="11"/>
      <c r="WEB179" s="12"/>
      <c r="WEK179" s="11"/>
      <c r="WEL179" s="12"/>
      <c r="WEU179" s="11"/>
      <c r="WEV179" s="12"/>
      <c r="WFE179" s="11"/>
      <c r="WFF179" s="12"/>
      <c r="WFO179" s="11"/>
      <c r="WFP179" s="12"/>
      <c r="WFY179" s="11"/>
      <c r="WFZ179" s="12"/>
      <c r="WGI179" s="11"/>
      <c r="WGJ179" s="12"/>
      <c r="WGS179" s="11"/>
      <c r="WGT179" s="12"/>
      <c r="WHC179" s="11"/>
      <c r="WHD179" s="12"/>
      <c r="WHM179" s="11"/>
      <c r="WHN179" s="12"/>
      <c r="WHW179" s="11"/>
      <c r="WHX179" s="12"/>
      <c r="WIG179" s="11"/>
      <c r="WIH179" s="12"/>
      <c r="WIQ179" s="11"/>
      <c r="WIR179" s="12"/>
      <c r="WJA179" s="11"/>
      <c r="WJB179" s="12"/>
      <c r="WJK179" s="11"/>
      <c r="WJL179" s="12"/>
      <c r="WJU179" s="11"/>
      <c r="WJV179" s="12"/>
      <c r="WKE179" s="11"/>
      <c r="WKF179" s="12"/>
      <c r="WKO179" s="11"/>
      <c r="WKP179" s="12"/>
      <c r="WKY179" s="11"/>
      <c r="WKZ179" s="12"/>
      <c r="WLI179" s="11"/>
      <c r="WLJ179" s="12"/>
      <c r="WLS179" s="11"/>
      <c r="WLT179" s="12"/>
      <c r="WMC179" s="11"/>
      <c r="WMD179" s="12"/>
      <c r="WMM179" s="11"/>
      <c r="WMN179" s="12"/>
      <c r="WMW179" s="11"/>
      <c r="WMX179" s="12"/>
      <c r="WNG179" s="11"/>
      <c r="WNH179" s="12"/>
      <c r="WNQ179" s="11"/>
      <c r="WNR179" s="12"/>
      <c r="WOA179" s="11"/>
      <c r="WOB179" s="12"/>
      <c r="WOK179" s="11"/>
      <c r="WOL179" s="12"/>
      <c r="WOU179" s="11"/>
      <c r="WOV179" s="12"/>
      <c r="WPE179" s="11"/>
      <c r="WPF179" s="12"/>
      <c r="WPO179" s="11"/>
      <c r="WPP179" s="12"/>
      <c r="WPY179" s="11"/>
      <c r="WPZ179" s="12"/>
      <c r="WQI179" s="11"/>
      <c r="WQJ179" s="12"/>
      <c r="WQS179" s="11"/>
      <c r="WQT179" s="12"/>
      <c r="WRC179" s="11"/>
      <c r="WRD179" s="12"/>
      <c r="WRM179" s="11"/>
      <c r="WRN179" s="12"/>
      <c r="WRW179" s="11"/>
      <c r="WRX179" s="12"/>
      <c r="WSG179" s="11"/>
      <c r="WSH179" s="12"/>
      <c r="WSQ179" s="11"/>
      <c r="WSR179" s="12"/>
      <c r="WTA179" s="11"/>
      <c r="WTB179" s="12"/>
      <c r="WTK179" s="11"/>
      <c r="WTL179" s="12"/>
      <c r="WTU179" s="11"/>
      <c r="WTV179" s="12"/>
      <c r="WUE179" s="11"/>
      <c r="WUF179" s="12"/>
      <c r="WUO179" s="11"/>
      <c r="WUP179" s="12"/>
      <c r="WUY179" s="11"/>
      <c r="WUZ179" s="12"/>
      <c r="WVI179" s="11"/>
      <c r="WVJ179" s="12"/>
      <c r="WVS179" s="11"/>
      <c r="WVT179" s="12"/>
      <c r="WWC179" s="11"/>
      <c r="WWD179" s="12"/>
      <c r="WWM179" s="11"/>
      <c r="WWN179" s="12"/>
      <c r="WWW179" s="11"/>
      <c r="WWX179" s="12"/>
      <c r="WXG179" s="11"/>
      <c r="WXH179" s="12"/>
      <c r="WXQ179" s="11"/>
      <c r="WXR179" s="12"/>
      <c r="WYA179" s="11"/>
      <c r="WYB179" s="12"/>
      <c r="WYK179" s="11"/>
      <c r="WYL179" s="12"/>
      <c r="WYU179" s="11"/>
      <c r="WYV179" s="12"/>
      <c r="WZE179" s="11"/>
      <c r="WZF179" s="12"/>
      <c r="WZO179" s="11"/>
      <c r="WZP179" s="12"/>
      <c r="WZY179" s="11"/>
      <c r="WZZ179" s="12"/>
      <c r="XAI179" s="11"/>
      <c r="XAJ179" s="12"/>
      <c r="XAS179" s="11"/>
      <c r="XAT179" s="12"/>
      <c r="XBC179" s="11"/>
      <c r="XBD179" s="12"/>
      <c r="XBM179" s="11"/>
      <c r="XBN179" s="12"/>
      <c r="XBW179" s="11"/>
      <c r="XBX179" s="12"/>
      <c r="XCG179" s="11"/>
      <c r="XCH179" s="12"/>
      <c r="XCQ179" s="11"/>
      <c r="XCR179" s="12"/>
      <c r="XDA179" s="11"/>
      <c r="XDB179" s="12"/>
      <c r="XDK179" s="11"/>
      <c r="XDL179" s="12"/>
      <c r="XDU179" s="11"/>
      <c r="XDV179" s="12"/>
      <c r="XEE179" s="11"/>
      <c r="XEF179" s="12"/>
      <c r="XEO179" s="11"/>
      <c r="XEP179" s="12"/>
      <c r="XEY179" s="11"/>
      <c r="XEZ179" s="12"/>
    </row>
    <row r="180" spans="1:1020 1029:2040 2049:3070 3079:4090 4099:5120 5129:6140 6149:7160 7169:8190 8199:9210 9219:10240 10249:11260 11269:12280 12289:13310 13319:14330 14339:15360 15369:16380" s="10" customFormat="1" ht="27.6" x14ac:dyDescent="0.3">
      <c r="A180"/>
      <c r="B180"/>
      <c r="C180"/>
      <c r="D180"/>
      <c r="E180"/>
      <c r="F180"/>
      <c r="G180"/>
      <c r="H180" s="32" t="s">
        <v>9</v>
      </c>
      <c r="I180" s="33" t="s">
        <v>10</v>
      </c>
      <c r="J180" s="34" t="s">
        <v>439</v>
      </c>
      <c r="K180" s="35" t="s">
        <v>0</v>
      </c>
      <c r="L180" s="33"/>
      <c r="M180" s="33"/>
      <c r="N180" s="36"/>
      <c r="O180" s="33">
        <v>3</v>
      </c>
      <c r="P180" s="33">
        <f>IF(Tabela1[[#This Row],[Status]]="✔️",Tabela1[[#This Row],[Peso]],IF(Tabela1[[#This Row],[Status]]="✔️✔️",Tabela1[[#This Row],[Peso]]/2,0))</f>
        <v>3</v>
      </c>
      <c r="Q18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0" s="33" t="s">
        <v>264</v>
      </c>
      <c r="S180" s="37" t="s">
        <v>263</v>
      </c>
      <c r="T180" s="12"/>
      <c r="AC180" s="11"/>
      <c r="AD180" s="12"/>
      <c r="AM180" s="11"/>
      <c r="AN180" s="12"/>
      <c r="AW180" s="11"/>
      <c r="AX180" s="12"/>
      <c r="BG180" s="11"/>
      <c r="BH180" s="12"/>
      <c r="BQ180" s="11"/>
      <c r="BR180" s="12"/>
      <c r="CA180" s="11"/>
      <c r="CB180" s="12"/>
      <c r="CK180" s="11"/>
      <c r="CL180" s="12"/>
      <c r="CU180" s="11"/>
      <c r="CV180" s="12"/>
      <c r="DE180" s="11"/>
      <c r="DF180" s="12"/>
      <c r="DO180" s="11"/>
      <c r="DP180" s="12"/>
      <c r="DY180" s="11"/>
      <c r="DZ180" s="12"/>
      <c r="EI180" s="11"/>
      <c r="EJ180" s="12"/>
      <c r="ES180" s="11"/>
      <c r="ET180" s="12"/>
      <c r="FC180" s="11"/>
      <c r="FD180" s="12"/>
      <c r="FM180" s="11"/>
      <c r="FN180" s="12"/>
      <c r="FW180" s="11"/>
      <c r="FX180" s="12"/>
      <c r="GG180" s="11"/>
      <c r="GH180" s="12"/>
      <c r="GQ180" s="11"/>
      <c r="GR180" s="12"/>
      <c r="HA180" s="11"/>
      <c r="HB180" s="12"/>
      <c r="HK180" s="11"/>
      <c r="HL180" s="12"/>
      <c r="HU180" s="11"/>
      <c r="HV180" s="12"/>
      <c r="IE180" s="11"/>
      <c r="IF180" s="12"/>
      <c r="IO180" s="11"/>
      <c r="IP180" s="12"/>
      <c r="IY180" s="11"/>
      <c r="IZ180" s="12"/>
      <c r="JI180" s="11"/>
      <c r="JJ180" s="12"/>
      <c r="JS180" s="11"/>
      <c r="JT180" s="12"/>
      <c r="KC180" s="11"/>
      <c r="KD180" s="12"/>
      <c r="KM180" s="11"/>
      <c r="KN180" s="12"/>
      <c r="KW180" s="11"/>
      <c r="KX180" s="12"/>
      <c r="LG180" s="11"/>
      <c r="LH180" s="12"/>
      <c r="LQ180" s="11"/>
      <c r="LR180" s="12"/>
      <c r="MA180" s="11"/>
      <c r="MB180" s="12"/>
      <c r="MK180" s="11"/>
      <c r="ML180" s="12"/>
      <c r="MU180" s="11"/>
      <c r="MV180" s="12"/>
      <c r="NE180" s="11"/>
      <c r="NF180" s="12"/>
      <c r="NO180" s="11"/>
      <c r="NP180" s="12"/>
      <c r="NY180" s="11"/>
      <c r="NZ180" s="12"/>
      <c r="OI180" s="11"/>
      <c r="OJ180" s="12"/>
      <c r="OS180" s="11"/>
      <c r="OT180" s="12"/>
      <c r="PC180" s="11"/>
      <c r="PD180" s="12"/>
      <c r="PM180" s="11"/>
      <c r="PN180" s="12"/>
      <c r="PW180" s="11"/>
      <c r="PX180" s="12"/>
      <c r="QG180" s="11"/>
      <c r="QH180" s="12"/>
      <c r="QQ180" s="11"/>
      <c r="QR180" s="12"/>
      <c r="RA180" s="11"/>
      <c r="RB180" s="12"/>
      <c r="RK180" s="11"/>
      <c r="RL180" s="12"/>
      <c r="RU180" s="11"/>
      <c r="RV180" s="12"/>
      <c r="SE180" s="11"/>
      <c r="SF180" s="12"/>
      <c r="SO180" s="11"/>
      <c r="SP180" s="12"/>
      <c r="SY180" s="11"/>
      <c r="SZ180" s="12"/>
      <c r="TI180" s="11"/>
      <c r="TJ180" s="12"/>
      <c r="TS180" s="11"/>
      <c r="TT180" s="12"/>
      <c r="UC180" s="11"/>
      <c r="UD180" s="12"/>
      <c r="UM180" s="11"/>
      <c r="UN180" s="12"/>
      <c r="UW180" s="11"/>
      <c r="UX180" s="12"/>
      <c r="VG180" s="11"/>
      <c r="VH180" s="12"/>
      <c r="VQ180" s="11"/>
      <c r="VR180" s="12"/>
      <c r="WA180" s="11"/>
      <c r="WB180" s="12"/>
      <c r="WK180" s="11"/>
      <c r="WL180" s="12"/>
      <c r="WU180" s="11"/>
      <c r="WV180" s="12"/>
      <c r="XE180" s="11"/>
      <c r="XF180" s="12"/>
      <c r="XO180" s="11"/>
      <c r="XP180" s="12"/>
      <c r="XY180" s="11"/>
      <c r="XZ180" s="12"/>
      <c r="YI180" s="11"/>
      <c r="YJ180" s="12"/>
      <c r="YS180" s="11"/>
      <c r="YT180" s="12"/>
      <c r="ZC180" s="11"/>
      <c r="ZD180" s="12"/>
      <c r="ZM180" s="11"/>
      <c r="ZN180" s="12"/>
      <c r="ZW180" s="11"/>
      <c r="ZX180" s="12"/>
      <c r="AAG180" s="11"/>
      <c r="AAH180" s="12"/>
      <c r="AAQ180" s="11"/>
      <c r="AAR180" s="12"/>
      <c r="ABA180" s="11"/>
      <c r="ABB180" s="12"/>
      <c r="ABK180" s="11"/>
      <c r="ABL180" s="12"/>
      <c r="ABU180" s="11"/>
      <c r="ABV180" s="12"/>
      <c r="ACE180" s="11"/>
      <c r="ACF180" s="12"/>
      <c r="ACO180" s="11"/>
      <c r="ACP180" s="12"/>
      <c r="ACY180" s="11"/>
      <c r="ACZ180" s="12"/>
      <c r="ADI180" s="11"/>
      <c r="ADJ180" s="12"/>
      <c r="ADS180" s="11"/>
      <c r="ADT180" s="12"/>
      <c r="AEC180" s="11"/>
      <c r="AED180" s="12"/>
      <c r="AEM180" s="11"/>
      <c r="AEN180" s="12"/>
      <c r="AEW180" s="11"/>
      <c r="AEX180" s="12"/>
      <c r="AFG180" s="11"/>
      <c r="AFH180" s="12"/>
      <c r="AFQ180" s="11"/>
      <c r="AFR180" s="12"/>
      <c r="AGA180" s="11"/>
      <c r="AGB180" s="12"/>
      <c r="AGK180" s="11"/>
      <c r="AGL180" s="12"/>
      <c r="AGU180" s="11"/>
      <c r="AGV180" s="12"/>
      <c r="AHE180" s="11"/>
      <c r="AHF180" s="12"/>
      <c r="AHO180" s="11"/>
      <c r="AHP180" s="12"/>
      <c r="AHY180" s="11"/>
      <c r="AHZ180" s="12"/>
      <c r="AII180" s="11"/>
      <c r="AIJ180" s="12"/>
      <c r="AIS180" s="11"/>
      <c r="AIT180" s="12"/>
      <c r="AJC180" s="11"/>
      <c r="AJD180" s="12"/>
      <c r="AJM180" s="11"/>
      <c r="AJN180" s="12"/>
      <c r="AJW180" s="11"/>
      <c r="AJX180" s="12"/>
      <c r="AKG180" s="11"/>
      <c r="AKH180" s="12"/>
      <c r="AKQ180" s="11"/>
      <c r="AKR180" s="12"/>
      <c r="ALA180" s="11"/>
      <c r="ALB180" s="12"/>
      <c r="ALK180" s="11"/>
      <c r="ALL180" s="12"/>
      <c r="ALU180" s="11"/>
      <c r="ALV180" s="12"/>
      <c r="AME180" s="11"/>
      <c r="AMF180" s="12"/>
      <c r="AMO180" s="11"/>
      <c r="AMP180" s="12"/>
      <c r="AMY180" s="11"/>
      <c r="AMZ180" s="12"/>
      <c r="ANI180" s="11"/>
      <c r="ANJ180" s="12"/>
      <c r="ANS180" s="11"/>
      <c r="ANT180" s="12"/>
      <c r="AOC180" s="11"/>
      <c r="AOD180" s="12"/>
      <c r="AOM180" s="11"/>
      <c r="AON180" s="12"/>
      <c r="AOW180" s="11"/>
      <c r="AOX180" s="12"/>
      <c r="APG180" s="11"/>
      <c r="APH180" s="12"/>
      <c r="APQ180" s="11"/>
      <c r="APR180" s="12"/>
      <c r="AQA180" s="11"/>
      <c r="AQB180" s="12"/>
      <c r="AQK180" s="11"/>
      <c r="AQL180" s="12"/>
      <c r="AQU180" s="11"/>
      <c r="AQV180" s="12"/>
      <c r="ARE180" s="11"/>
      <c r="ARF180" s="12"/>
      <c r="ARO180" s="11"/>
      <c r="ARP180" s="12"/>
      <c r="ARY180" s="11"/>
      <c r="ARZ180" s="12"/>
      <c r="ASI180" s="11"/>
      <c r="ASJ180" s="12"/>
      <c r="ASS180" s="11"/>
      <c r="AST180" s="12"/>
      <c r="ATC180" s="11"/>
      <c r="ATD180" s="12"/>
      <c r="ATM180" s="11"/>
      <c r="ATN180" s="12"/>
      <c r="ATW180" s="11"/>
      <c r="ATX180" s="12"/>
      <c r="AUG180" s="11"/>
      <c r="AUH180" s="12"/>
      <c r="AUQ180" s="11"/>
      <c r="AUR180" s="12"/>
      <c r="AVA180" s="11"/>
      <c r="AVB180" s="12"/>
      <c r="AVK180" s="11"/>
      <c r="AVL180" s="12"/>
      <c r="AVU180" s="11"/>
      <c r="AVV180" s="12"/>
      <c r="AWE180" s="11"/>
      <c r="AWF180" s="12"/>
      <c r="AWO180" s="11"/>
      <c r="AWP180" s="12"/>
      <c r="AWY180" s="11"/>
      <c r="AWZ180" s="12"/>
      <c r="AXI180" s="11"/>
      <c r="AXJ180" s="12"/>
      <c r="AXS180" s="11"/>
      <c r="AXT180" s="12"/>
      <c r="AYC180" s="11"/>
      <c r="AYD180" s="12"/>
      <c r="AYM180" s="11"/>
      <c r="AYN180" s="12"/>
      <c r="AYW180" s="11"/>
      <c r="AYX180" s="12"/>
      <c r="AZG180" s="11"/>
      <c r="AZH180" s="12"/>
      <c r="AZQ180" s="11"/>
      <c r="AZR180" s="12"/>
      <c r="BAA180" s="11"/>
      <c r="BAB180" s="12"/>
      <c r="BAK180" s="11"/>
      <c r="BAL180" s="12"/>
      <c r="BAU180" s="11"/>
      <c r="BAV180" s="12"/>
      <c r="BBE180" s="11"/>
      <c r="BBF180" s="12"/>
      <c r="BBO180" s="11"/>
      <c r="BBP180" s="12"/>
      <c r="BBY180" s="11"/>
      <c r="BBZ180" s="12"/>
      <c r="BCI180" s="11"/>
      <c r="BCJ180" s="12"/>
      <c r="BCS180" s="11"/>
      <c r="BCT180" s="12"/>
      <c r="BDC180" s="11"/>
      <c r="BDD180" s="12"/>
      <c r="BDM180" s="11"/>
      <c r="BDN180" s="12"/>
      <c r="BDW180" s="11"/>
      <c r="BDX180" s="12"/>
      <c r="BEG180" s="11"/>
      <c r="BEH180" s="12"/>
      <c r="BEQ180" s="11"/>
      <c r="BER180" s="12"/>
      <c r="BFA180" s="11"/>
      <c r="BFB180" s="12"/>
      <c r="BFK180" s="11"/>
      <c r="BFL180" s="12"/>
      <c r="BFU180" s="11"/>
      <c r="BFV180" s="12"/>
      <c r="BGE180" s="11"/>
      <c r="BGF180" s="12"/>
      <c r="BGO180" s="11"/>
      <c r="BGP180" s="12"/>
      <c r="BGY180" s="11"/>
      <c r="BGZ180" s="12"/>
      <c r="BHI180" s="11"/>
      <c r="BHJ180" s="12"/>
      <c r="BHS180" s="11"/>
      <c r="BHT180" s="12"/>
      <c r="BIC180" s="11"/>
      <c r="BID180" s="12"/>
      <c r="BIM180" s="11"/>
      <c r="BIN180" s="12"/>
      <c r="BIW180" s="11"/>
      <c r="BIX180" s="12"/>
      <c r="BJG180" s="11"/>
      <c r="BJH180" s="12"/>
      <c r="BJQ180" s="11"/>
      <c r="BJR180" s="12"/>
      <c r="BKA180" s="11"/>
      <c r="BKB180" s="12"/>
      <c r="BKK180" s="11"/>
      <c r="BKL180" s="12"/>
      <c r="BKU180" s="11"/>
      <c r="BKV180" s="12"/>
      <c r="BLE180" s="11"/>
      <c r="BLF180" s="12"/>
      <c r="BLO180" s="11"/>
      <c r="BLP180" s="12"/>
      <c r="BLY180" s="11"/>
      <c r="BLZ180" s="12"/>
      <c r="BMI180" s="11"/>
      <c r="BMJ180" s="12"/>
      <c r="BMS180" s="11"/>
      <c r="BMT180" s="12"/>
      <c r="BNC180" s="11"/>
      <c r="BND180" s="12"/>
      <c r="BNM180" s="11"/>
      <c r="BNN180" s="12"/>
      <c r="BNW180" s="11"/>
      <c r="BNX180" s="12"/>
      <c r="BOG180" s="11"/>
      <c r="BOH180" s="12"/>
      <c r="BOQ180" s="11"/>
      <c r="BOR180" s="12"/>
      <c r="BPA180" s="11"/>
      <c r="BPB180" s="12"/>
      <c r="BPK180" s="11"/>
      <c r="BPL180" s="12"/>
      <c r="BPU180" s="11"/>
      <c r="BPV180" s="12"/>
      <c r="BQE180" s="11"/>
      <c r="BQF180" s="12"/>
      <c r="BQO180" s="11"/>
      <c r="BQP180" s="12"/>
      <c r="BQY180" s="11"/>
      <c r="BQZ180" s="12"/>
      <c r="BRI180" s="11"/>
      <c r="BRJ180" s="12"/>
      <c r="BRS180" s="11"/>
      <c r="BRT180" s="12"/>
      <c r="BSC180" s="11"/>
      <c r="BSD180" s="12"/>
      <c r="BSM180" s="11"/>
      <c r="BSN180" s="12"/>
      <c r="BSW180" s="11"/>
      <c r="BSX180" s="12"/>
      <c r="BTG180" s="11"/>
      <c r="BTH180" s="12"/>
      <c r="BTQ180" s="11"/>
      <c r="BTR180" s="12"/>
      <c r="BUA180" s="11"/>
      <c r="BUB180" s="12"/>
      <c r="BUK180" s="11"/>
      <c r="BUL180" s="12"/>
      <c r="BUU180" s="11"/>
      <c r="BUV180" s="12"/>
      <c r="BVE180" s="11"/>
      <c r="BVF180" s="12"/>
      <c r="BVO180" s="11"/>
      <c r="BVP180" s="12"/>
      <c r="BVY180" s="11"/>
      <c r="BVZ180" s="12"/>
      <c r="BWI180" s="11"/>
      <c r="BWJ180" s="12"/>
      <c r="BWS180" s="11"/>
      <c r="BWT180" s="12"/>
      <c r="BXC180" s="11"/>
      <c r="BXD180" s="12"/>
      <c r="BXM180" s="11"/>
      <c r="BXN180" s="12"/>
      <c r="BXW180" s="11"/>
      <c r="BXX180" s="12"/>
      <c r="BYG180" s="11"/>
      <c r="BYH180" s="12"/>
      <c r="BYQ180" s="11"/>
      <c r="BYR180" s="12"/>
      <c r="BZA180" s="11"/>
      <c r="BZB180" s="12"/>
      <c r="BZK180" s="11"/>
      <c r="BZL180" s="12"/>
      <c r="BZU180" s="11"/>
      <c r="BZV180" s="12"/>
      <c r="CAE180" s="11"/>
      <c r="CAF180" s="12"/>
      <c r="CAO180" s="11"/>
      <c r="CAP180" s="12"/>
      <c r="CAY180" s="11"/>
      <c r="CAZ180" s="12"/>
      <c r="CBI180" s="11"/>
      <c r="CBJ180" s="12"/>
      <c r="CBS180" s="11"/>
      <c r="CBT180" s="12"/>
      <c r="CCC180" s="11"/>
      <c r="CCD180" s="12"/>
      <c r="CCM180" s="11"/>
      <c r="CCN180" s="12"/>
      <c r="CCW180" s="11"/>
      <c r="CCX180" s="12"/>
      <c r="CDG180" s="11"/>
      <c r="CDH180" s="12"/>
      <c r="CDQ180" s="11"/>
      <c r="CDR180" s="12"/>
      <c r="CEA180" s="11"/>
      <c r="CEB180" s="12"/>
      <c r="CEK180" s="11"/>
      <c r="CEL180" s="12"/>
      <c r="CEU180" s="11"/>
      <c r="CEV180" s="12"/>
      <c r="CFE180" s="11"/>
      <c r="CFF180" s="12"/>
      <c r="CFO180" s="11"/>
      <c r="CFP180" s="12"/>
      <c r="CFY180" s="11"/>
      <c r="CFZ180" s="12"/>
      <c r="CGI180" s="11"/>
      <c r="CGJ180" s="12"/>
      <c r="CGS180" s="11"/>
      <c r="CGT180" s="12"/>
      <c r="CHC180" s="11"/>
      <c r="CHD180" s="12"/>
      <c r="CHM180" s="11"/>
      <c r="CHN180" s="12"/>
      <c r="CHW180" s="11"/>
      <c r="CHX180" s="12"/>
      <c r="CIG180" s="11"/>
      <c r="CIH180" s="12"/>
      <c r="CIQ180" s="11"/>
      <c r="CIR180" s="12"/>
      <c r="CJA180" s="11"/>
      <c r="CJB180" s="12"/>
      <c r="CJK180" s="11"/>
      <c r="CJL180" s="12"/>
      <c r="CJU180" s="11"/>
      <c r="CJV180" s="12"/>
      <c r="CKE180" s="11"/>
      <c r="CKF180" s="12"/>
      <c r="CKO180" s="11"/>
      <c r="CKP180" s="12"/>
      <c r="CKY180" s="11"/>
      <c r="CKZ180" s="12"/>
      <c r="CLI180" s="11"/>
      <c r="CLJ180" s="12"/>
      <c r="CLS180" s="11"/>
      <c r="CLT180" s="12"/>
      <c r="CMC180" s="11"/>
      <c r="CMD180" s="12"/>
      <c r="CMM180" s="11"/>
      <c r="CMN180" s="12"/>
      <c r="CMW180" s="11"/>
      <c r="CMX180" s="12"/>
      <c r="CNG180" s="11"/>
      <c r="CNH180" s="12"/>
      <c r="CNQ180" s="11"/>
      <c r="CNR180" s="12"/>
      <c r="COA180" s="11"/>
      <c r="COB180" s="12"/>
      <c r="COK180" s="11"/>
      <c r="COL180" s="12"/>
      <c r="COU180" s="11"/>
      <c r="COV180" s="12"/>
      <c r="CPE180" s="11"/>
      <c r="CPF180" s="12"/>
      <c r="CPO180" s="11"/>
      <c r="CPP180" s="12"/>
      <c r="CPY180" s="11"/>
      <c r="CPZ180" s="12"/>
      <c r="CQI180" s="11"/>
      <c r="CQJ180" s="12"/>
      <c r="CQS180" s="11"/>
      <c r="CQT180" s="12"/>
      <c r="CRC180" s="11"/>
      <c r="CRD180" s="12"/>
      <c r="CRM180" s="11"/>
      <c r="CRN180" s="12"/>
      <c r="CRW180" s="11"/>
      <c r="CRX180" s="12"/>
      <c r="CSG180" s="11"/>
      <c r="CSH180" s="12"/>
      <c r="CSQ180" s="11"/>
      <c r="CSR180" s="12"/>
      <c r="CTA180" s="11"/>
      <c r="CTB180" s="12"/>
      <c r="CTK180" s="11"/>
      <c r="CTL180" s="12"/>
      <c r="CTU180" s="11"/>
      <c r="CTV180" s="12"/>
      <c r="CUE180" s="11"/>
      <c r="CUF180" s="12"/>
      <c r="CUO180" s="11"/>
      <c r="CUP180" s="12"/>
      <c r="CUY180" s="11"/>
      <c r="CUZ180" s="12"/>
      <c r="CVI180" s="11"/>
      <c r="CVJ180" s="12"/>
      <c r="CVS180" s="11"/>
      <c r="CVT180" s="12"/>
      <c r="CWC180" s="11"/>
      <c r="CWD180" s="12"/>
      <c r="CWM180" s="11"/>
      <c r="CWN180" s="12"/>
      <c r="CWW180" s="11"/>
      <c r="CWX180" s="12"/>
      <c r="CXG180" s="11"/>
      <c r="CXH180" s="12"/>
      <c r="CXQ180" s="11"/>
      <c r="CXR180" s="12"/>
      <c r="CYA180" s="11"/>
      <c r="CYB180" s="12"/>
      <c r="CYK180" s="11"/>
      <c r="CYL180" s="12"/>
      <c r="CYU180" s="11"/>
      <c r="CYV180" s="12"/>
      <c r="CZE180" s="11"/>
      <c r="CZF180" s="12"/>
      <c r="CZO180" s="11"/>
      <c r="CZP180" s="12"/>
      <c r="CZY180" s="11"/>
      <c r="CZZ180" s="12"/>
      <c r="DAI180" s="11"/>
      <c r="DAJ180" s="12"/>
      <c r="DAS180" s="11"/>
      <c r="DAT180" s="12"/>
      <c r="DBC180" s="11"/>
      <c r="DBD180" s="12"/>
      <c r="DBM180" s="11"/>
      <c r="DBN180" s="12"/>
      <c r="DBW180" s="11"/>
      <c r="DBX180" s="12"/>
      <c r="DCG180" s="11"/>
      <c r="DCH180" s="12"/>
      <c r="DCQ180" s="11"/>
      <c r="DCR180" s="12"/>
      <c r="DDA180" s="11"/>
      <c r="DDB180" s="12"/>
      <c r="DDK180" s="11"/>
      <c r="DDL180" s="12"/>
      <c r="DDU180" s="11"/>
      <c r="DDV180" s="12"/>
      <c r="DEE180" s="11"/>
      <c r="DEF180" s="12"/>
      <c r="DEO180" s="11"/>
      <c r="DEP180" s="12"/>
      <c r="DEY180" s="11"/>
      <c r="DEZ180" s="12"/>
      <c r="DFI180" s="11"/>
      <c r="DFJ180" s="12"/>
      <c r="DFS180" s="11"/>
      <c r="DFT180" s="12"/>
      <c r="DGC180" s="11"/>
      <c r="DGD180" s="12"/>
      <c r="DGM180" s="11"/>
      <c r="DGN180" s="12"/>
      <c r="DGW180" s="11"/>
      <c r="DGX180" s="12"/>
      <c r="DHG180" s="11"/>
      <c r="DHH180" s="12"/>
      <c r="DHQ180" s="11"/>
      <c r="DHR180" s="12"/>
      <c r="DIA180" s="11"/>
      <c r="DIB180" s="12"/>
      <c r="DIK180" s="11"/>
      <c r="DIL180" s="12"/>
      <c r="DIU180" s="11"/>
      <c r="DIV180" s="12"/>
      <c r="DJE180" s="11"/>
      <c r="DJF180" s="12"/>
      <c r="DJO180" s="11"/>
      <c r="DJP180" s="12"/>
      <c r="DJY180" s="11"/>
      <c r="DJZ180" s="12"/>
      <c r="DKI180" s="11"/>
      <c r="DKJ180" s="12"/>
      <c r="DKS180" s="11"/>
      <c r="DKT180" s="12"/>
      <c r="DLC180" s="11"/>
      <c r="DLD180" s="12"/>
      <c r="DLM180" s="11"/>
      <c r="DLN180" s="12"/>
      <c r="DLW180" s="11"/>
      <c r="DLX180" s="12"/>
      <c r="DMG180" s="11"/>
      <c r="DMH180" s="12"/>
      <c r="DMQ180" s="11"/>
      <c r="DMR180" s="12"/>
      <c r="DNA180" s="11"/>
      <c r="DNB180" s="12"/>
      <c r="DNK180" s="11"/>
      <c r="DNL180" s="12"/>
      <c r="DNU180" s="11"/>
      <c r="DNV180" s="12"/>
      <c r="DOE180" s="11"/>
      <c r="DOF180" s="12"/>
      <c r="DOO180" s="11"/>
      <c r="DOP180" s="12"/>
      <c r="DOY180" s="11"/>
      <c r="DOZ180" s="12"/>
      <c r="DPI180" s="11"/>
      <c r="DPJ180" s="12"/>
      <c r="DPS180" s="11"/>
      <c r="DPT180" s="12"/>
      <c r="DQC180" s="11"/>
      <c r="DQD180" s="12"/>
      <c r="DQM180" s="11"/>
      <c r="DQN180" s="12"/>
      <c r="DQW180" s="11"/>
      <c r="DQX180" s="12"/>
      <c r="DRG180" s="11"/>
      <c r="DRH180" s="12"/>
      <c r="DRQ180" s="11"/>
      <c r="DRR180" s="12"/>
      <c r="DSA180" s="11"/>
      <c r="DSB180" s="12"/>
      <c r="DSK180" s="11"/>
      <c r="DSL180" s="12"/>
      <c r="DSU180" s="11"/>
      <c r="DSV180" s="12"/>
      <c r="DTE180" s="11"/>
      <c r="DTF180" s="12"/>
      <c r="DTO180" s="11"/>
      <c r="DTP180" s="12"/>
      <c r="DTY180" s="11"/>
      <c r="DTZ180" s="12"/>
      <c r="DUI180" s="11"/>
      <c r="DUJ180" s="12"/>
      <c r="DUS180" s="11"/>
      <c r="DUT180" s="12"/>
      <c r="DVC180" s="11"/>
      <c r="DVD180" s="12"/>
      <c r="DVM180" s="11"/>
      <c r="DVN180" s="12"/>
      <c r="DVW180" s="11"/>
      <c r="DVX180" s="12"/>
      <c r="DWG180" s="11"/>
      <c r="DWH180" s="12"/>
      <c r="DWQ180" s="11"/>
      <c r="DWR180" s="12"/>
      <c r="DXA180" s="11"/>
      <c r="DXB180" s="12"/>
      <c r="DXK180" s="11"/>
      <c r="DXL180" s="12"/>
      <c r="DXU180" s="11"/>
      <c r="DXV180" s="12"/>
      <c r="DYE180" s="11"/>
      <c r="DYF180" s="12"/>
      <c r="DYO180" s="11"/>
      <c r="DYP180" s="12"/>
      <c r="DYY180" s="11"/>
      <c r="DYZ180" s="12"/>
      <c r="DZI180" s="11"/>
      <c r="DZJ180" s="12"/>
      <c r="DZS180" s="11"/>
      <c r="DZT180" s="12"/>
      <c r="EAC180" s="11"/>
      <c r="EAD180" s="12"/>
      <c r="EAM180" s="11"/>
      <c r="EAN180" s="12"/>
      <c r="EAW180" s="11"/>
      <c r="EAX180" s="12"/>
      <c r="EBG180" s="11"/>
      <c r="EBH180" s="12"/>
      <c r="EBQ180" s="11"/>
      <c r="EBR180" s="12"/>
      <c r="ECA180" s="11"/>
      <c r="ECB180" s="12"/>
      <c r="ECK180" s="11"/>
      <c r="ECL180" s="12"/>
      <c r="ECU180" s="11"/>
      <c r="ECV180" s="12"/>
      <c r="EDE180" s="11"/>
      <c r="EDF180" s="12"/>
      <c r="EDO180" s="11"/>
      <c r="EDP180" s="12"/>
      <c r="EDY180" s="11"/>
      <c r="EDZ180" s="12"/>
      <c r="EEI180" s="11"/>
      <c r="EEJ180" s="12"/>
      <c r="EES180" s="11"/>
      <c r="EET180" s="12"/>
      <c r="EFC180" s="11"/>
      <c r="EFD180" s="12"/>
      <c r="EFM180" s="11"/>
      <c r="EFN180" s="12"/>
      <c r="EFW180" s="11"/>
      <c r="EFX180" s="12"/>
      <c r="EGG180" s="11"/>
      <c r="EGH180" s="12"/>
      <c r="EGQ180" s="11"/>
      <c r="EGR180" s="12"/>
      <c r="EHA180" s="11"/>
      <c r="EHB180" s="12"/>
      <c r="EHK180" s="11"/>
      <c r="EHL180" s="12"/>
      <c r="EHU180" s="11"/>
      <c r="EHV180" s="12"/>
      <c r="EIE180" s="11"/>
      <c r="EIF180" s="12"/>
      <c r="EIO180" s="11"/>
      <c r="EIP180" s="12"/>
      <c r="EIY180" s="11"/>
      <c r="EIZ180" s="12"/>
      <c r="EJI180" s="11"/>
      <c r="EJJ180" s="12"/>
      <c r="EJS180" s="11"/>
      <c r="EJT180" s="12"/>
      <c r="EKC180" s="11"/>
      <c r="EKD180" s="12"/>
      <c r="EKM180" s="11"/>
      <c r="EKN180" s="12"/>
      <c r="EKW180" s="11"/>
      <c r="EKX180" s="12"/>
      <c r="ELG180" s="11"/>
      <c r="ELH180" s="12"/>
      <c r="ELQ180" s="11"/>
      <c r="ELR180" s="12"/>
      <c r="EMA180" s="11"/>
      <c r="EMB180" s="12"/>
      <c r="EMK180" s="11"/>
      <c r="EML180" s="12"/>
      <c r="EMU180" s="11"/>
      <c r="EMV180" s="12"/>
      <c r="ENE180" s="11"/>
      <c r="ENF180" s="12"/>
      <c r="ENO180" s="11"/>
      <c r="ENP180" s="12"/>
      <c r="ENY180" s="11"/>
      <c r="ENZ180" s="12"/>
      <c r="EOI180" s="11"/>
      <c r="EOJ180" s="12"/>
      <c r="EOS180" s="11"/>
      <c r="EOT180" s="12"/>
      <c r="EPC180" s="11"/>
      <c r="EPD180" s="12"/>
      <c r="EPM180" s="11"/>
      <c r="EPN180" s="12"/>
      <c r="EPW180" s="11"/>
      <c r="EPX180" s="12"/>
      <c r="EQG180" s="11"/>
      <c r="EQH180" s="12"/>
      <c r="EQQ180" s="11"/>
      <c r="EQR180" s="12"/>
      <c r="ERA180" s="11"/>
      <c r="ERB180" s="12"/>
      <c r="ERK180" s="11"/>
      <c r="ERL180" s="12"/>
      <c r="ERU180" s="11"/>
      <c r="ERV180" s="12"/>
      <c r="ESE180" s="11"/>
      <c r="ESF180" s="12"/>
      <c r="ESO180" s="11"/>
      <c r="ESP180" s="12"/>
      <c r="ESY180" s="11"/>
      <c r="ESZ180" s="12"/>
      <c r="ETI180" s="11"/>
      <c r="ETJ180" s="12"/>
      <c r="ETS180" s="11"/>
      <c r="ETT180" s="12"/>
      <c r="EUC180" s="11"/>
      <c r="EUD180" s="12"/>
      <c r="EUM180" s="11"/>
      <c r="EUN180" s="12"/>
      <c r="EUW180" s="11"/>
      <c r="EUX180" s="12"/>
      <c r="EVG180" s="11"/>
      <c r="EVH180" s="12"/>
      <c r="EVQ180" s="11"/>
      <c r="EVR180" s="12"/>
      <c r="EWA180" s="11"/>
      <c r="EWB180" s="12"/>
      <c r="EWK180" s="11"/>
      <c r="EWL180" s="12"/>
      <c r="EWU180" s="11"/>
      <c r="EWV180" s="12"/>
      <c r="EXE180" s="11"/>
      <c r="EXF180" s="12"/>
      <c r="EXO180" s="11"/>
      <c r="EXP180" s="12"/>
      <c r="EXY180" s="11"/>
      <c r="EXZ180" s="12"/>
      <c r="EYI180" s="11"/>
      <c r="EYJ180" s="12"/>
      <c r="EYS180" s="11"/>
      <c r="EYT180" s="12"/>
      <c r="EZC180" s="11"/>
      <c r="EZD180" s="12"/>
      <c r="EZM180" s="11"/>
      <c r="EZN180" s="12"/>
      <c r="EZW180" s="11"/>
      <c r="EZX180" s="12"/>
      <c r="FAG180" s="11"/>
      <c r="FAH180" s="12"/>
      <c r="FAQ180" s="11"/>
      <c r="FAR180" s="12"/>
      <c r="FBA180" s="11"/>
      <c r="FBB180" s="12"/>
      <c r="FBK180" s="11"/>
      <c r="FBL180" s="12"/>
      <c r="FBU180" s="11"/>
      <c r="FBV180" s="12"/>
      <c r="FCE180" s="11"/>
      <c r="FCF180" s="12"/>
      <c r="FCO180" s="11"/>
      <c r="FCP180" s="12"/>
      <c r="FCY180" s="11"/>
      <c r="FCZ180" s="12"/>
      <c r="FDI180" s="11"/>
      <c r="FDJ180" s="12"/>
      <c r="FDS180" s="11"/>
      <c r="FDT180" s="12"/>
      <c r="FEC180" s="11"/>
      <c r="FED180" s="12"/>
      <c r="FEM180" s="11"/>
      <c r="FEN180" s="12"/>
      <c r="FEW180" s="11"/>
      <c r="FEX180" s="12"/>
      <c r="FFG180" s="11"/>
      <c r="FFH180" s="12"/>
      <c r="FFQ180" s="11"/>
      <c r="FFR180" s="12"/>
      <c r="FGA180" s="11"/>
      <c r="FGB180" s="12"/>
      <c r="FGK180" s="11"/>
      <c r="FGL180" s="12"/>
      <c r="FGU180" s="11"/>
      <c r="FGV180" s="12"/>
      <c r="FHE180" s="11"/>
      <c r="FHF180" s="12"/>
      <c r="FHO180" s="11"/>
      <c r="FHP180" s="12"/>
      <c r="FHY180" s="11"/>
      <c r="FHZ180" s="12"/>
      <c r="FII180" s="11"/>
      <c r="FIJ180" s="12"/>
      <c r="FIS180" s="11"/>
      <c r="FIT180" s="12"/>
      <c r="FJC180" s="11"/>
      <c r="FJD180" s="12"/>
      <c r="FJM180" s="11"/>
      <c r="FJN180" s="12"/>
      <c r="FJW180" s="11"/>
      <c r="FJX180" s="12"/>
      <c r="FKG180" s="11"/>
      <c r="FKH180" s="12"/>
      <c r="FKQ180" s="11"/>
      <c r="FKR180" s="12"/>
      <c r="FLA180" s="11"/>
      <c r="FLB180" s="12"/>
      <c r="FLK180" s="11"/>
      <c r="FLL180" s="12"/>
      <c r="FLU180" s="11"/>
      <c r="FLV180" s="12"/>
      <c r="FME180" s="11"/>
      <c r="FMF180" s="12"/>
      <c r="FMO180" s="11"/>
      <c r="FMP180" s="12"/>
      <c r="FMY180" s="11"/>
      <c r="FMZ180" s="12"/>
      <c r="FNI180" s="11"/>
      <c r="FNJ180" s="12"/>
      <c r="FNS180" s="11"/>
      <c r="FNT180" s="12"/>
      <c r="FOC180" s="11"/>
      <c r="FOD180" s="12"/>
      <c r="FOM180" s="11"/>
      <c r="FON180" s="12"/>
      <c r="FOW180" s="11"/>
      <c r="FOX180" s="12"/>
      <c r="FPG180" s="11"/>
      <c r="FPH180" s="12"/>
      <c r="FPQ180" s="11"/>
      <c r="FPR180" s="12"/>
      <c r="FQA180" s="11"/>
      <c r="FQB180" s="12"/>
      <c r="FQK180" s="11"/>
      <c r="FQL180" s="12"/>
      <c r="FQU180" s="11"/>
      <c r="FQV180" s="12"/>
      <c r="FRE180" s="11"/>
      <c r="FRF180" s="12"/>
      <c r="FRO180" s="11"/>
      <c r="FRP180" s="12"/>
      <c r="FRY180" s="11"/>
      <c r="FRZ180" s="12"/>
      <c r="FSI180" s="11"/>
      <c r="FSJ180" s="12"/>
      <c r="FSS180" s="11"/>
      <c r="FST180" s="12"/>
      <c r="FTC180" s="11"/>
      <c r="FTD180" s="12"/>
      <c r="FTM180" s="11"/>
      <c r="FTN180" s="12"/>
      <c r="FTW180" s="11"/>
      <c r="FTX180" s="12"/>
      <c r="FUG180" s="11"/>
      <c r="FUH180" s="12"/>
      <c r="FUQ180" s="11"/>
      <c r="FUR180" s="12"/>
      <c r="FVA180" s="11"/>
      <c r="FVB180" s="12"/>
      <c r="FVK180" s="11"/>
      <c r="FVL180" s="12"/>
      <c r="FVU180" s="11"/>
      <c r="FVV180" s="12"/>
      <c r="FWE180" s="11"/>
      <c r="FWF180" s="12"/>
      <c r="FWO180" s="11"/>
      <c r="FWP180" s="12"/>
      <c r="FWY180" s="11"/>
      <c r="FWZ180" s="12"/>
      <c r="FXI180" s="11"/>
      <c r="FXJ180" s="12"/>
      <c r="FXS180" s="11"/>
      <c r="FXT180" s="12"/>
      <c r="FYC180" s="11"/>
      <c r="FYD180" s="12"/>
      <c r="FYM180" s="11"/>
      <c r="FYN180" s="12"/>
      <c r="FYW180" s="11"/>
      <c r="FYX180" s="12"/>
      <c r="FZG180" s="11"/>
      <c r="FZH180" s="12"/>
      <c r="FZQ180" s="11"/>
      <c r="FZR180" s="12"/>
      <c r="GAA180" s="11"/>
      <c r="GAB180" s="12"/>
      <c r="GAK180" s="11"/>
      <c r="GAL180" s="12"/>
      <c r="GAU180" s="11"/>
      <c r="GAV180" s="12"/>
      <c r="GBE180" s="11"/>
      <c r="GBF180" s="12"/>
      <c r="GBO180" s="11"/>
      <c r="GBP180" s="12"/>
      <c r="GBY180" s="11"/>
      <c r="GBZ180" s="12"/>
      <c r="GCI180" s="11"/>
      <c r="GCJ180" s="12"/>
      <c r="GCS180" s="11"/>
      <c r="GCT180" s="12"/>
      <c r="GDC180" s="11"/>
      <c r="GDD180" s="12"/>
      <c r="GDM180" s="11"/>
      <c r="GDN180" s="12"/>
      <c r="GDW180" s="11"/>
      <c r="GDX180" s="12"/>
      <c r="GEG180" s="11"/>
      <c r="GEH180" s="12"/>
      <c r="GEQ180" s="11"/>
      <c r="GER180" s="12"/>
      <c r="GFA180" s="11"/>
      <c r="GFB180" s="12"/>
      <c r="GFK180" s="11"/>
      <c r="GFL180" s="12"/>
      <c r="GFU180" s="11"/>
      <c r="GFV180" s="12"/>
      <c r="GGE180" s="11"/>
      <c r="GGF180" s="12"/>
      <c r="GGO180" s="11"/>
      <c r="GGP180" s="12"/>
      <c r="GGY180" s="11"/>
      <c r="GGZ180" s="12"/>
      <c r="GHI180" s="11"/>
      <c r="GHJ180" s="12"/>
      <c r="GHS180" s="11"/>
      <c r="GHT180" s="12"/>
      <c r="GIC180" s="11"/>
      <c r="GID180" s="12"/>
      <c r="GIM180" s="11"/>
      <c r="GIN180" s="12"/>
      <c r="GIW180" s="11"/>
      <c r="GIX180" s="12"/>
      <c r="GJG180" s="11"/>
      <c r="GJH180" s="12"/>
      <c r="GJQ180" s="11"/>
      <c r="GJR180" s="12"/>
      <c r="GKA180" s="11"/>
      <c r="GKB180" s="12"/>
      <c r="GKK180" s="11"/>
      <c r="GKL180" s="12"/>
      <c r="GKU180" s="11"/>
      <c r="GKV180" s="12"/>
      <c r="GLE180" s="11"/>
      <c r="GLF180" s="12"/>
      <c r="GLO180" s="11"/>
      <c r="GLP180" s="12"/>
      <c r="GLY180" s="11"/>
      <c r="GLZ180" s="12"/>
      <c r="GMI180" s="11"/>
      <c r="GMJ180" s="12"/>
      <c r="GMS180" s="11"/>
      <c r="GMT180" s="12"/>
      <c r="GNC180" s="11"/>
      <c r="GND180" s="12"/>
      <c r="GNM180" s="11"/>
      <c r="GNN180" s="12"/>
      <c r="GNW180" s="11"/>
      <c r="GNX180" s="12"/>
      <c r="GOG180" s="11"/>
      <c r="GOH180" s="12"/>
      <c r="GOQ180" s="11"/>
      <c r="GOR180" s="12"/>
      <c r="GPA180" s="11"/>
      <c r="GPB180" s="12"/>
      <c r="GPK180" s="11"/>
      <c r="GPL180" s="12"/>
      <c r="GPU180" s="11"/>
      <c r="GPV180" s="12"/>
      <c r="GQE180" s="11"/>
      <c r="GQF180" s="12"/>
      <c r="GQO180" s="11"/>
      <c r="GQP180" s="12"/>
      <c r="GQY180" s="11"/>
      <c r="GQZ180" s="12"/>
      <c r="GRI180" s="11"/>
      <c r="GRJ180" s="12"/>
      <c r="GRS180" s="11"/>
      <c r="GRT180" s="12"/>
      <c r="GSC180" s="11"/>
      <c r="GSD180" s="12"/>
      <c r="GSM180" s="11"/>
      <c r="GSN180" s="12"/>
      <c r="GSW180" s="11"/>
      <c r="GSX180" s="12"/>
      <c r="GTG180" s="11"/>
      <c r="GTH180" s="12"/>
      <c r="GTQ180" s="11"/>
      <c r="GTR180" s="12"/>
      <c r="GUA180" s="11"/>
      <c r="GUB180" s="12"/>
      <c r="GUK180" s="11"/>
      <c r="GUL180" s="12"/>
      <c r="GUU180" s="11"/>
      <c r="GUV180" s="12"/>
      <c r="GVE180" s="11"/>
      <c r="GVF180" s="12"/>
      <c r="GVO180" s="11"/>
      <c r="GVP180" s="12"/>
      <c r="GVY180" s="11"/>
      <c r="GVZ180" s="12"/>
      <c r="GWI180" s="11"/>
      <c r="GWJ180" s="12"/>
      <c r="GWS180" s="11"/>
      <c r="GWT180" s="12"/>
      <c r="GXC180" s="11"/>
      <c r="GXD180" s="12"/>
      <c r="GXM180" s="11"/>
      <c r="GXN180" s="12"/>
      <c r="GXW180" s="11"/>
      <c r="GXX180" s="12"/>
      <c r="GYG180" s="11"/>
      <c r="GYH180" s="12"/>
      <c r="GYQ180" s="11"/>
      <c r="GYR180" s="12"/>
      <c r="GZA180" s="11"/>
      <c r="GZB180" s="12"/>
      <c r="GZK180" s="11"/>
      <c r="GZL180" s="12"/>
      <c r="GZU180" s="11"/>
      <c r="GZV180" s="12"/>
      <c r="HAE180" s="11"/>
      <c r="HAF180" s="12"/>
      <c r="HAO180" s="11"/>
      <c r="HAP180" s="12"/>
      <c r="HAY180" s="11"/>
      <c r="HAZ180" s="12"/>
      <c r="HBI180" s="11"/>
      <c r="HBJ180" s="12"/>
      <c r="HBS180" s="11"/>
      <c r="HBT180" s="12"/>
      <c r="HCC180" s="11"/>
      <c r="HCD180" s="12"/>
      <c r="HCM180" s="11"/>
      <c r="HCN180" s="12"/>
      <c r="HCW180" s="11"/>
      <c r="HCX180" s="12"/>
      <c r="HDG180" s="11"/>
      <c r="HDH180" s="12"/>
      <c r="HDQ180" s="11"/>
      <c r="HDR180" s="12"/>
      <c r="HEA180" s="11"/>
      <c r="HEB180" s="12"/>
      <c r="HEK180" s="11"/>
      <c r="HEL180" s="12"/>
      <c r="HEU180" s="11"/>
      <c r="HEV180" s="12"/>
      <c r="HFE180" s="11"/>
      <c r="HFF180" s="12"/>
      <c r="HFO180" s="11"/>
      <c r="HFP180" s="12"/>
      <c r="HFY180" s="11"/>
      <c r="HFZ180" s="12"/>
      <c r="HGI180" s="11"/>
      <c r="HGJ180" s="12"/>
      <c r="HGS180" s="11"/>
      <c r="HGT180" s="12"/>
      <c r="HHC180" s="11"/>
      <c r="HHD180" s="12"/>
      <c r="HHM180" s="11"/>
      <c r="HHN180" s="12"/>
      <c r="HHW180" s="11"/>
      <c r="HHX180" s="12"/>
      <c r="HIG180" s="11"/>
      <c r="HIH180" s="12"/>
      <c r="HIQ180" s="11"/>
      <c r="HIR180" s="12"/>
      <c r="HJA180" s="11"/>
      <c r="HJB180" s="12"/>
      <c r="HJK180" s="11"/>
      <c r="HJL180" s="12"/>
      <c r="HJU180" s="11"/>
      <c r="HJV180" s="12"/>
      <c r="HKE180" s="11"/>
      <c r="HKF180" s="12"/>
      <c r="HKO180" s="11"/>
      <c r="HKP180" s="12"/>
      <c r="HKY180" s="11"/>
      <c r="HKZ180" s="12"/>
      <c r="HLI180" s="11"/>
      <c r="HLJ180" s="12"/>
      <c r="HLS180" s="11"/>
      <c r="HLT180" s="12"/>
      <c r="HMC180" s="11"/>
      <c r="HMD180" s="12"/>
      <c r="HMM180" s="11"/>
      <c r="HMN180" s="12"/>
      <c r="HMW180" s="11"/>
      <c r="HMX180" s="12"/>
      <c r="HNG180" s="11"/>
      <c r="HNH180" s="12"/>
      <c r="HNQ180" s="11"/>
      <c r="HNR180" s="12"/>
      <c r="HOA180" s="11"/>
      <c r="HOB180" s="12"/>
      <c r="HOK180" s="11"/>
      <c r="HOL180" s="12"/>
      <c r="HOU180" s="11"/>
      <c r="HOV180" s="12"/>
      <c r="HPE180" s="11"/>
      <c r="HPF180" s="12"/>
      <c r="HPO180" s="11"/>
      <c r="HPP180" s="12"/>
      <c r="HPY180" s="11"/>
      <c r="HPZ180" s="12"/>
      <c r="HQI180" s="11"/>
      <c r="HQJ180" s="12"/>
      <c r="HQS180" s="11"/>
      <c r="HQT180" s="12"/>
      <c r="HRC180" s="11"/>
      <c r="HRD180" s="12"/>
      <c r="HRM180" s="11"/>
      <c r="HRN180" s="12"/>
      <c r="HRW180" s="11"/>
      <c r="HRX180" s="12"/>
      <c r="HSG180" s="11"/>
      <c r="HSH180" s="12"/>
      <c r="HSQ180" s="11"/>
      <c r="HSR180" s="12"/>
      <c r="HTA180" s="11"/>
      <c r="HTB180" s="12"/>
      <c r="HTK180" s="11"/>
      <c r="HTL180" s="12"/>
      <c r="HTU180" s="11"/>
      <c r="HTV180" s="12"/>
      <c r="HUE180" s="11"/>
      <c r="HUF180" s="12"/>
      <c r="HUO180" s="11"/>
      <c r="HUP180" s="12"/>
      <c r="HUY180" s="11"/>
      <c r="HUZ180" s="12"/>
      <c r="HVI180" s="11"/>
      <c r="HVJ180" s="12"/>
      <c r="HVS180" s="11"/>
      <c r="HVT180" s="12"/>
      <c r="HWC180" s="11"/>
      <c r="HWD180" s="12"/>
      <c r="HWM180" s="11"/>
      <c r="HWN180" s="12"/>
      <c r="HWW180" s="11"/>
      <c r="HWX180" s="12"/>
      <c r="HXG180" s="11"/>
      <c r="HXH180" s="12"/>
      <c r="HXQ180" s="11"/>
      <c r="HXR180" s="12"/>
      <c r="HYA180" s="11"/>
      <c r="HYB180" s="12"/>
      <c r="HYK180" s="11"/>
      <c r="HYL180" s="12"/>
      <c r="HYU180" s="11"/>
      <c r="HYV180" s="12"/>
      <c r="HZE180" s="11"/>
      <c r="HZF180" s="12"/>
      <c r="HZO180" s="11"/>
      <c r="HZP180" s="12"/>
      <c r="HZY180" s="11"/>
      <c r="HZZ180" s="12"/>
      <c r="IAI180" s="11"/>
      <c r="IAJ180" s="12"/>
      <c r="IAS180" s="11"/>
      <c r="IAT180" s="12"/>
      <c r="IBC180" s="11"/>
      <c r="IBD180" s="12"/>
      <c r="IBM180" s="11"/>
      <c r="IBN180" s="12"/>
      <c r="IBW180" s="11"/>
      <c r="IBX180" s="12"/>
      <c r="ICG180" s="11"/>
      <c r="ICH180" s="12"/>
      <c r="ICQ180" s="11"/>
      <c r="ICR180" s="12"/>
      <c r="IDA180" s="11"/>
      <c r="IDB180" s="12"/>
      <c r="IDK180" s="11"/>
      <c r="IDL180" s="12"/>
      <c r="IDU180" s="11"/>
      <c r="IDV180" s="12"/>
      <c r="IEE180" s="11"/>
      <c r="IEF180" s="12"/>
      <c r="IEO180" s="11"/>
      <c r="IEP180" s="12"/>
      <c r="IEY180" s="11"/>
      <c r="IEZ180" s="12"/>
      <c r="IFI180" s="11"/>
      <c r="IFJ180" s="12"/>
      <c r="IFS180" s="11"/>
      <c r="IFT180" s="12"/>
      <c r="IGC180" s="11"/>
      <c r="IGD180" s="12"/>
      <c r="IGM180" s="11"/>
      <c r="IGN180" s="12"/>
      <c r="IGW180" s="11"/>
      <c r="IGX180" s="12"/>
      <c r="IHG180" s="11"/>
      <c r="IHH180" s="12"/>
      <c r="IHQ180" s="11"/>
      <c r="IHR180" s="12"/>
      <c r="IIA180" s="11"/>
      <c r="IIB180" s="12"/>
      <c r="IIK180" s="11"/>
      <c r="IIL180" s="12"/>
      <c r="IIU180" s="11"/>
      <c r="IIV180" s="12"/>
      <c r="IJE180" s="11"/>
      <c r="IJF180" s="12"/>
      <c r="IJO180" s="11"/>
      <c r="IJP180" s="12"/>
      <c r="IJY180" s="11"/>
      <c r="IJZ180" s="12"/>
      <c r="IKI180" s="11"/>
      <c r="IKJ180" s="12"/>
      <c r="IKS180" s="11"/>
      <c r="IKT180" s="12"/>
      <c r="ILC180" s="11"/>
      <c r="ILD180" s="12"/>
      <c r="ILM180" s="11"/>
      <c r="ILN180" s="12"/>
      <c r="ILW180" s="11"/>
      <c r="ILX180" s="12"/>
      <c r="IMG180" s="11"/>
      <c r="IMH180" s="12"/>
      <c r="IMQ180" s="11"/>
      <c r="IMR180" s="12"/>
      <c r="INA180" s="11"/>
      <c r="INB180" s="12"/>
      <c r="INK180" s="11"/>
      <c r="INL180" s="12"/>
      <c r="INU180" s="11"/>
      <c r="INV180" s="12"/>
      <c r="IOE180" s="11"/>
      <c r="IOF180" s="12"/>
      <c r="IOO180" s="11"/>
      <c r="IOP180" s="12"/>
      <c r="IOY180" s="11"/>
      <c r="IOZ180" s="12"/>
      <c r="IPI180" s="11"/>
      <c r="IPJ180" s="12"/>
      <c r="IPS180" s="11"/>
      <c r="IPT180" s="12"/>
      <c r="IQC180" s="11"/>
      <c r="IQD180" s="12"/>
      <c r="IQM180" s="11"/>
      <c r="IQN180" s="12"/>
      <c r="IQW180" s="11"/>
      <c r="IQX180" s="12"/>
      <c r="IRG180" s="11"/>
      <c r="IRH180" s="12"/>
      <c r="IRQ180" s="11"/>
      <c r="IRR180" s="12"/>
      <c r="ISA180" s="11"/>
      <c r="ISB180" s="12"/>
      <c r="ISK180" s="11"/>
      <c r="ISL180" s="12"/>
      <c r="ISU180" s="11"/>
      <c r="ISV180" s="12"/>
      <c r="ITE180" s="11"/>
      <c r="ITF180" s="12"/>
      <c r="ITO180" s="11"/>
      <c r="ITP180" s="12"/>
      <c r="ITY180" s="11"/>
      <c r="ITZ180" s="12"/>
      <c r="IUI180" s="11"/>
      <c r="IUJ180" s="12"/>
      <c r="IUS180" s="11"/>
      <c r="IUT180" s="12"/>
      <c r="IVC180" s="11"/>
      <c r="IVD180" s="12"/>
      <c r="IVM180" s="11"/>
      <c r="IVN180" s="12"/>
      <c r="IVW180" s="11"/>
      <c r="IVX180" s="12"/>
      <c r="IWG180" s="11"/>
      <c r="IWH180" s="12"/>
      <c r="IWQ180" s="11"/>
      <c r="IWR180" s="12"/>
      <c r="IXA180" s="11"/>
      <c r="IXB180" s="12"/>
      <c r="IXK180" s="11"/>
      <c r="IXL180" s="12"/>
      <c r="IXU180" s="11"/>
      <c r="IXV180" s="12"/>
      <c r="IYE180" s="11"/>
      <c r="IYF180" s="12"/>
      <c r="IYO180" s="11"/>
      <c r="IYP180" s="12"/>
      <c r="IYY180" s="11"/>
      <c r="IYZ180" s="12"/>
      <c r="IZI180" s="11"/>
      <c r="IZJ180" s="12"/>
      <c r="IZS180" s="11"/>
      <c r="IZT180" s="12"/>
      <c r="JAC180" s="11"/>
      <c r="JAD180" s="12"/>
      <c r="JAM180" s="11"/>
      <c r="JAN180" s="12"/>
      <c r="JAW180" s="11"/>
      <c r="JAX180" s="12"/>
      <c r="JBG180" s="11"/>
      <c r="JBH180" s="12"/>
      <c r="JBQ180" s="11"/>
      <c r="JBR180" s="12"/>
      <c r="JCA180" s="11"/>
      <c r="JCB180" s="12"/>
      <c r="JCK180" s="11"/>
      <c r="JCL180" s="12"/>
      <c r="JCU180" s="11"/>
      <c r="JCV180" s="12"/>
      <c r="JDE180" s="11"/>
      <c r="JDF180" s="12"/>
      <c r="JDO180" s="11"/>
      <c r="JDP180" s="12"/>
      <c r="JDY180" s="11"/>
      <c r="JDZ180" s="12"/>
      <c r="JEI180" s="11"/>
      <c r="JEJ180" s="12"/>
      <c r="JES180" s="11"/>
      <c r="JET180" s="12"/>
      <c r="JFC180" s="11"/>
      <c r="JFD180" s="12"/>
      <c r="JFM180" s="11"/>
      <c r="JFN180" s="12"/>
      <c r="JFW180" s="11"/>
      <c r="JFX180" s="12"/>
      <c r="JGG180" s="11"/>
      <c r="JGH180" s="12"/>
      <c r="JGQ180" s="11"/>
      <c r="JGR180" s="12"/>
      <c r="JHA180" s="11"/>
      <c r="JHB180" s="12"/>
      <c r="JHK180" s="11"/>
      <c r="JHL180" s="12"/>
      <c r="JHU180" s="11"/>
      <c r="JHV180" s="12"/>
      <c r="JIE180" s="11"/>
      <c r="JIF180" s="12"/>
      <c r="JIO180" s="11"/>
      <c r="JIP180" s="12"/>
      <c r="JIY180" s="11"/>
      <c r="JIZ180" s="12"/>
      <c r="JJI180" s="11"/>
      <c r="JJJ180" s="12"/>
      <c r="JJS180" s="11"/>
      <c r="JJT180" s="12"/>
      <c r="JKC180" s="11"/>
      <c r="JKD180" s="12"/>
      <c r="JKM180" s="11"/>
      <c r="JKN180" s="12"/>
      <c r="JKW180" s="11"/>
      <c r="JKX180" s="12"/>
      <c r="JLG180" s="11"/>
      <c r="JLH180" s="12"/>
      <c r="JLQ180" s="11"/>
      <c r="JLR180" s="12"/>
      <c r="JMA180" s="11"/>
      <c r="JMB180" s="12"/>
      <c r="JMK180" s="11"/>
      <c r="JML180" s="12"/>
      <c r="JMU180" s="11"/>
      <c r="JMV180" s="12"/>
      <c r="JNE180" s="11"/>
      <c r="JNF180" s="12"/>
      <c r="JNO180" s="11"/>
      <c r="JNP180" s="12"/>
      <c r="JNY180" s="11"/>
      <c r="JNZ180" s="12"/>
      <c r="JOI180" s="11"/>
      <c r="JOJ180" s="12"/>
      <c r="JOS180" s="11"/>
      <c r="JOT180" s="12"/>
      <c r="JPC180" s="11"/>
      <c r="JPD180" s="12"/>
      <c r="JPM180" s="11"/>
      <c r="JPN180" s="12"/>
      <c r="JPW180" s="11"/>
      <c r="JPX180" s="12"/>
      <c r="JQG180" s="11"/>
      <c r="JQH180" s="12"/>
      <c r="JQQ180" s="11"/>
      <c r="JQR180" s="12"/>
      <c r="JRA180" s="11"/>
      <c r="JRB180" s="12"/>
      <c r="JRK180" s="11"/>
      <c r="JRL180" s="12"/>
      <c r="JRU180" s="11"/>
      <c r="JRV180" s="12"/>
      <c r="JSE180" s="11"/>
      <c r="JSF180" s="12"/>
      <c r="JSO180" s="11"/>
      <c r="JSP180" s="12"/>
      <c r="JSY180" s="11"/>
      <c r="JSZ180" s="12"/>
      <c r="JTI180" s="11"/>
      <c r="JTJ180" s="12"/>
      <c r="JTS180" s="11"/>
      <c r="JTT180" s="12"/>
      <c r="JUC180" s="11"/>
      <c r="JUD180" s="12"/>
      <c r="JUM180" s="11"/>
      <c r="JUN180" s="12"/>
      <c r="JUW180" s="11"/>
      <c r="JUX180" s="12"/>
      <c r="JVG180" s="11"/>
      <c r="JVH180" s="12"/>
      <c r="JVQ180" s="11"/>
      <c r="JVR180" s="12"/>
      <c r="JWA180" s="11"/>
      <c r="JWB180" s="12"/>
      <c r="JWK180" s="11"/>
      <c r="JWL180" s="12"/>
      <c r="JWU180" s="11"/>
      <c r="JWV180" s="12"/>
      <c r="JXE180" s="11"/>
      <c r="JXF180" s="12"/>
      <c r="JXO180" s="11"/>
      <c r="JXP180" s="12"/>
      <c r="JXY180" s="11"/>
      <c r="JXZ180" s="12"/>
      <c r="JYI180" s="11"/>
      <c r="JYJ180" s="12"/>
      <c r="JYS180" s="11"/>
      <c r="JYT180" s="12"/>
      <c r="JZC180" s="11"/>
      <c r="JZD180" s="12"/>
      <c r="JZM180" s="11"/>
      <c r="JZN180" s="12"/>
      <c r="JZW180" s="11"/>
      <c r="JZX180" s="12"/>
      <c r="KAG180" s="11"/>
      <c r="KAH180" s="12"/>
      <c r="KAQ180" s="11"/>
      <c r="KAR180" s="12"/>
      <c r="KBA180" s="11"/>
      <c r="KBB180" s="12"/>
      <c r="KBK180" s="11"/>
      <c r="KBL180" s="12"/>
      <c r="KBU180" s="11"/>
      <c r="KBV180" s="12"/>
      <c r="KCE180" s="11"/>
      <c r="KCF180" s="12"/>
      <c r="KCO180" s="11"/>
      <c r="KCP180" s="12"/>
      <c r="KCY180" s="11"/>
      <c r="KCZ180" s="12"/>
      <c r="KDI180" s="11"/>
      <c r="KDJ180" s="12"/>
      <c r="KDS180" s="11"/>
      <c r="KDT180" s="12"/>
      <c r="KEC180" s="11"/>
      <c r="KED180" s="12"/>
      <c r="KEM180" s="11"/>
      <c r="KEN180" s="12"/>
      <c r="KEW180" s="11"/>
      <c r="KEX180" s="12"/>
      <c r="KFG180" s="11"/>
      <c r="KFH180" s="12"/>
      <c r="KFQ180" s="11"/>
      <c r="KFR180" s="12"/>
      <c r="KGA180" s="11"/>
      <c r="KGB180" s="12"/>
      <c r="KGK180" s="11"/>
      <c r="KGL180" s="12"/>
      <c r="KGU180" s="11"/>
      <c r="KGV180" s="12"/>
      <c r="KHE180" s="11"/>
      <c r="KHF180" s="12"/>
      <c r="KHO180" s="11"/>
      <c r="KHP180" s="12"/>
      <c r="KHY180" s="11"/>
      <c r="KHZ180" s="12"/>
      <c r="KII180" s="11"/>
      <c r="KIJ180" s="12"/>
      <c r="KIS180" s="11"/>
      <c r="KIT180" s="12"/>
      <c r="KJC180" s="11"/>
      <c r="KJD180" s="12"/>
      <c r="KJM180" s="11"/>
      <c r="KJN180" s="12"/>
      <c r="KJW180" s="11"/>
      <c r="KJX180" s="12"/>
      <c r="KKG180" s="11"/>
      <c r="KKH180" s="12"/>
      <c r="KKQ180" s="11"/>
      <c r="KKR180" s="12"/>
      <c r="KLA180" s="11"/>
      <c r="KLB180" s="12"/>
      <c r="KLK180" s="11"/>
      <c r="KLL180" s="12"/>
      <c r="KLU180" s="11"/>
      <c r="KLV180" s="12"/>
      <c r="KME180" s="11"/>
      <c r="KMF180" s="12"/>
      <c r="KMO180" s="11"/>
      <c r="KMP180" s="12"/>
      <c r="KMY180" s="11"/>
      <c r="KMZ180" s="12"/>
      <c r="KNI180" s="11"/>
      <c r="KNJ180" s="12"/>
      <c r="KNS180" s="11"/>
      <c r="KNT180" s="12"/>
      <c r="KOC180" s="11"/>
      <c r="KOD180" s="12"/>
      <c r="KOM180" s="11"/>
      <c r="KON180" s="12"/>
      <c r="KOW180" s="11"/>
      <c r="KOX180" s="12"/>
      <c r="KPG180" s="11"/>
      <c r="KPH180" s="12"/>
      <c r="KPQ180" s="11"/>
      <c r="KPR180" s="12"/>
      <c r="KQA180" s="11"/>
      <c r="KQB180" s="12"/>
      <c r="KQK180" s="11"/>
      <c r="KQL180" s="12"/>
      <c r="KQU180" s="11"/>
      <c r="KQV180" s="12"/>
      <c r="KRE180" s="11"/>
      <c r="KRF180" s="12"/>
      <c r="KRO180" s="11"/>
      <c r="KRP180" s="12"/>
      <c r="KRY180" s="11"/>
      <c r="KRZ180" s="12"/>
      <c r="KSI180" s="11"/>
      <c r="KSJ180" s="12"/>
      <c r="KSS180" s="11"/>
      <c r="KST180" s="12"/>
      <c r="KTC180" s="11"/>
      <c r="KTD180" s="12"/>
      <c r="KTM180" s="11"/>
      <c r="KTN180" s="12"/>
      <c r="KTW180" s="11"/>
      <c r="KTX180" s="12"/>
      <c r="KUG180" s="11"/>
      <c r="KUH180" s="12"/>
      <c r="KUQ180" s="11"/>
      <c r="KUR180" s="12"/>
      <c r="KVA180" s="11"/>
      <c r="KVB180" s="12"/>
      <c r="KVK180" s="11"/>
      <c r="KVL180" s="12"/>
      <c r="KVU180" s="11"/>
      <c r="KVV180" s="12"/>
      <c r="KWE180" s="11"/>
      <c r="KWF180" s="12"/>
      <c r="KWO180" s="11"/>
      <c r="KWP180" s="12"/>
      <c r="KWY180" s="11"/>
      <c r="KWZ180" s="12"/>
      <c r="KXI180" s="11"/>
      <c r="KXJ180" s="12"/>
      <c r="KXS180" s="11"/>
      <c r="KXT180" s="12"/>
      <c r="KYC180" s="11"/>
      <c r="KYD180" s="12"/>
      <c r="KYM180" s="11"/>
      <c r="KYN180" s="12"/>
      <c r="KYW180" s="11"/>
      <c r="KYX180" s="12"/>
      <c r="KZG180" s="11"/>
      <c r="KZH180" s="12"/>
      <c r="KZQ180" s="11"/>
      <c r="KZR180" s="12"/>
      <c r="LAA180" s="11"/>
      <c r="LAB180" s="12"/>
      <c r="LAK180" s="11"/>
      <c r="LAL180" s="12"/>
      <c r="LAU180" s="11"/>
      <c r="LAV180" s="12"/>
      <c r="LBE180" s="11"/>
      <c r="LBF180" s="12"/>
      <c r="LBO180" s="11"/>
      <c r="LBP180" s="12"/>
      <c r="LBY180" s="11"/>
      <c r="LBZ180" s="12"/>
      <c r="LCI180" s="11"/>
      <c r="LCJ180" s="12"/>
      <c r="LCS180" s="11"/>
      <c r="LCT180" s="12"/>
      <c r="LDC180" s="11"/>
      <c r="LDD180" s="12"/>
      <c r="LDM180" s="11"/>
      <c r="LDN180" s="12"/>
      <c r="LDW180" s="11"/>
      <c r="LDX180" s="12"/>
      <c r="LEG180" s="11"/>
      <c r="LEH180" s="12"/>
      <c r="LEQ180" s="11"/>
      <c r="LER180" s="12"/>
      <c r="LFA180" s="11"/>
      <c r="LFB180" s="12"/>
      <c r="LFK180" s="11"/>
      <c r="LFL180" s="12"/>
      <c r="LFU180" s="11"/>
      <c r="LFV180" s="12"/>
      <c r="LGE180" s="11"/>
      <c r="LGF180" s="12"/>
      <c r="LGO180" s="11"/>
      <c r="LGP180" s="12"/>
      <c r="LGY180" s="11"/>
      <c r="LGZ180" s="12"/>
      <c r="LHI180" s="11"/>
      <c r="LHJ180" s="12"/>
      <c r="LHS180" s="11"/>
      <c r="LHT180" s="12"/>
      <c r="LIC180" s="11"/>
      <c r="LID180" s="12"/>
      <c r="LIM180" s="11"/>
      <c r="LIN180" s="12"/>
      <c r="LIW180" s="11"/>
      <c r="LIX180" s="12"/>
      <c r="LJG180" s="11"/>
      <c r="LJH180" s="12"/>
      <c r="LJQ180" s="11"/>
      <c r="LJR180" s="12"/>
      <c r="LKA180" s="11"/>
      <c r="LKB180" s="12"/>
      <c r="LKK180" s="11"/>
      <c r="LKL180" s="12"/>
      <c r="LKU180" s="11"/>
      <c r="LKV180" s="12"/>
      <c r="LLE180" s="11"/>
      <c r="LLF180" s="12"/>
      <c r="LLO180" s="11"/>
      <c r="LLP180" s="12"/>
      <c r="LLY180" s="11"/>
      <c r="LLZ180" s="12"/>
      <c r="LMI180" s="11"/>
      <c r="LMJ180" s="12"/>
      <c r="LMS180" s="11"/>
      <c r="LMT180" s="12"/>
      <c r="LNC180" s="11"/>
      <c r="LND180" s="12"/>
      <c r="LNM180" s="11"/>
      <c r="LNN180" s="12"/>
      <c r="LNW180" s="11"/>
      <c r="LNX180" s="12"/>
      <c r="LOG180" s="11"/>
      <c r="LOH180" s="12"/>
      <c r="LOQ180" s="11"/>
      <c r="LOR180" s="12"/>
      <c r="LPA180" s="11"/>
      <c r="LPB180" s="12"/>
      <c r="LPK180" s="11"/>
      <c r="LPL180" s="12"/>
      <c r="LPU180" s="11"/>
      <c r="LPV180" s="12"/>
      <c r="LQE180" s="11"/>
      <c r="LQF180" s="12"/>
      <c r="LQO180" s="11"/>
      <c r="LQP180" s="12"/>
      <c r="LQY180" s="11"/>
      <c r="LQZ180" s="12"/>
      <c r="LRI180" s="11"/>
      <c r="LRJ180" s="12"/>
      <c r="LRS180" s="11"/>
      <c r="LRT180" s="12"/>
      <c r="LSC180" s="11"/>
      <c r="LSD180" s="12"/>
      <c r="LSM180" s="11"/>
      <c r="LSN180" s="12"/>
      <c r="LSW180" s="11"/>
      <c r="LSX180" s="12"/>
      <c r="LTG180" s="11"/>
      <c r="LTH180" s="12"/>
      <c r="LTQ180" s="11"/>
      <c r="LTR180" s="12"/>
      <c r="LUA180" s="11"/>
      <c r="LUB180" s="12"/>
      <c r="LUK180" s="11"/>
      <c r="LUL180" s="12"/>
      <c r="LUU180" s="11"/>
      <c r="LUV180" s="12"/>
      <c r="LVE180" s="11"/>
      <c r="LVF180" s="12"/>
      <c r="LVO180" s="11"/>
      <c r="LVP180" s="12"/>
      <c r="LVY180" s="11"/>
      <c r="LVZ180" s="12"/>
      <c r="LWI180" s="11"/>
      <c r="LWJ180" s="12"/>
      <c r="LWS180" s="11"/>
      <c r="LWT180" s="12"/>
      <c r="LXC180" s="11"/>
      <c r="LXD180" s="12"/>
      <c r="LXM180" s="11"/>
      <c r="LXN180" s="12"/>
      <c r="LXW180" s="11"/>
      <c r="LXX180" s="12"/>
      <c r="LYG180" s="11"/>
      <c r="LYH180" s="12"/>
      <c r="LYQ180" s="11"/>
      <c r="LYR180" s="12"/>
      <c r="LZA180" s="11"/>
      <c r="LZB180" s="12"/>
      <c r="LZK180" s="11"/>
      <c r="LZL180" s="12"/>
      <c r="LZU180" s="11"/>
      <c r="LZV180" s="12"/>
      <c r="MAE180" s="11"/>
      <c r="MAF180" s="12"/>
      <c r="MAO180" s="11"/>
      <c r="MAP180" s="12"/>
      <c r="MAY180" s="11"/>
      <c r="MAZ180" s="12"/>
      <c r="MBI180" s="11"/>
      <c r="MBJ180" s="12"/>
      <c r="MBS180" s="11"/>
      <c r="MBT180" s="12"/>
      <c r="MCC180" s="11"/>
      <c r="MCD180" s="12"/>
      <c r="MCM180" s="11"/>
      <c r="MCN180" s="12"/>
      <c r="MCW180" s="11"/>
      <c r="MCX180" s="12"/>
      <c r="MDG180" s="11"/>
      <c r="MDH180" s="12"/>
      <c r="MDQ180" s="11"/>
      <c r="MDR180" s="12"/>
      <c r="MEA180" s="11"/>
      <c r="MEB180" s="12"/>
      <c r="MEK180" s="11"/>
      <c r="MEL180" s="12"/>
      <c r="MEU180" s="11"/>
      <c r="MEV180" s="12"/>
      <c r="MFE180" s="11"/>
      <c r="MFF180" s="12"/>
      <c r="MFO180" s="11"/>
      <c r="MFP180" s="12"/>
      <c r="MFY180" s="11"/>
      <c r="MFZ180" s="12"/>
      <c r="MGI180" s="11"/>
      <c r="MGJ180" s="12"/>
      <c r="MGS180" s="11"/>
      <c r="MGT180" s="12"/>
      <c r="MHC180" s="11"/>
      <c r="MHD180" s="12"/>
      <c r="MHM180" s="11"/>
      <c r="MHN180" s="12"/>
      <c r="MHW180" s="11"/>
      <c r="MHX180" s="12"/>
      <c r="MIG180" s="11"/>
      <c r="MIH180" s="12"/>
      <c r="MIQ180" s="11"/>
      <c r="MIR180" s="12"/>
      <c r="MJA180" s="11"/>
      <c r="MJB180" s="12"/>
      <c r="MJK180" s="11"/>
      <c r="MJL180" s="12"/>
      <c r="MJU180" s="11"/>
      <c r="MJV180" s="12"/>
      <c r="MKE180" s="11"/>
      <c r="MKF180" s="12"/>
      <c r="MKO180" s="11"/>
      <c r="MKP180" s="12"/>
      <c r="MKY180" s="11"/>
      <c r="MKZ180" s="12"/>
      <c r="MLI180" s="11"/>
      <c r="MLJ180" s="12"/>
      <c r="MLS180" s="11"/>
      <c r="MLT180" s="12"/>
      <c r="MMC180" s="11"/>
      <c r="MMD180" s="12"/>
      <c r="MMM180" s="11"/>
      <c r="MMN180" s="12"/>
      <c r="MMW180" s="11"/>
      <c r="MMX180" s="12"/>
      <c r="MNG180" s="11"/>
      <c r="MNH180" s="12"/>
      <c r="MNQ180" s="11"/>
      <c r="MNR180" s="12"/>
      <c r="MOA180" s="11"/>
      <c r="MOB180" s="12"/>
      <c r="MOK180" s="11"/>
      <c r="MOL180" s="12"/>
      <c r="MOU180" s="11"/>
      <c r="MOV180" s="12"/>
      <c r="MPE180" s="11"/>
      <c r="MPF180" s="12"/>
      <c r="MPO180" s="11"/>
      <c r="MPP180" s="12"/>
      <c r="MPY180" s="11"/>
      <c r="MPZ180" s="12"/>
      <c r="MQI180" s="11"/>
      <c r="MQJ180" s="12"/>
      <c r="MQS180" s="11"/>
      <c r="MQT180" s="12"/>
      <c r="MRC180" s="11"/>
      <c r="MRD180" s="12"/>
      <c r="MRM180" s="11"/>
      <c r="MRN180" s="12"/>
      <c r="MRW180" s="11"/>
      <c r="MRX180" s="12"/>
      <c r="MSG180" s="11"/>
      <c r="MSH180" s="12"/>
      <c r="MSQ180" s="11"/>
      <c r="MSR180" s="12"/>
      <c r="MTA180" s="11"/>
      <c r="MTB180" s="12"/>
      <c r="MTK180" s="11"/>
      <c r="MTL180" s="12"/>
      <c r="MTU180" s="11"/>
      <c r="MTV180" s="12"/>
      <c r="MUE180" s="11"/>
      <c r="MUF180" s="12"/>
      <c r="MUO180" s="11"/>
      <c r="MUP180" s="12"/>
      <c r="MUY180" s="11"/>
      <c r="MUZ180" s="12"/>
      <c r="MVI180" s="11"/>
      <c r="MVJ180" s="12"/>
      <c r="MVS180" s="11"/>
      <c r="MVT180" s="12"/>
      <c r="MWC180" s="11"/>
      <c r="MWD180" s="12"/>
      <c r="MWM180" s="11"/>
      <c r="MWN180" s="12"/>
      <c r="MWW180" s="11"/>
      <c r="MWX180" s="12"/>
      <c r="MXG180" s="11"/>
      <c r="MXH180" s="12"/>
      <c r="MXQ180" s="11"/>
      <c r="MXR180" s="12"/>
      <c r="MYA180" s="11"/>
      <c r="MYB180" s="12"/>
      <c r="MYK180" s="11"/>
      <c r="MYL180" s="12"/>
      <c r="MYU180" s="11"/>
      <c r="MYV180" s="12"/>
      <c r="MZE180" s="11"/>
      <c r="MZF180" s="12"/>
      <c r="MZO180" s="11"/>
      <c r="MZP180" s="12"/>
      <c r="MZY180" s="11"/>
      <c r="MZZ180" s="12"/>
      <c r="NAI180" s="11"/>
      <c r="NAJ180" s="12"/>
      <c r="NAS180" s="11"/>
      <c r="NAT180" s="12"/>
      <c r="NBC180" s="11"/>
      <c r="NBD180" s="12"/>
      <c r="NBM180" s="11"/>
      <c r="NBN180" s="12"/>
      <c r="NBW180" s="11"/>
      <c r="NBX180" s="12"/>
      <c r="NCG180" s="11"/>
      <c r="NCH180" s="12"/>
      <c r="NCQ180" s="11"/>
      <c r="NCR180" s="12"/>
      <c r="NDA180" s="11"/>
      <c r="NDB180" s="12"/>
      <c r="NDK180" s="11"/>
      <c r="NDL180" s="12"/>
      <c r="NDU180" s="11"/>
      <c r="NDV180" s="12"/>
      <c r="NEE180" s="11"/>
      <c r="NEF180" s="12"/>
      <c r="NEO180" s="11"/>
      <c r="NEP180" s="12"/>
      <c r="NEY180" s="11"/>
      <c r="NEZ180" s="12"/>
      <c r="NFI180" s="11"/>
      <c r="NFJ180" s="12"/>
      <c r="NFS180" s="11"/>
      <c r="NFT180" s="12"/>
      <c r="NGC180" s="11"/>
      <c r="NGD180" s="12"/>
      <c r="NGM180" s="11"/>
      <c r="NGN180" s="12"/>
      <c r="NGW180" s="11"/>
      <c r="NGX180" s="12"/>
      <c r="NHG180" s="11"/>
      <c r="NHH180" s="12"/>
      <c r="NHQ180" s="11"/>
      <c r="NHR180" s="12"/>
      <c r="NIA180" s="11"/>
      <c r="NIB180" s="12"/>
      <c r="NIK180" s="11"/>
      <c r="NIL180" s="12"/>
      <c r="NIU180" s="11"/>
      <c r="NIV180" s="12"/>
      <c r="NJE180" s="11"/>
      <c r="NJF180" s="12"/>
      <c r="NJO180" s="11"/>
      <c r="NJP180" s="12"/>
      <c r="NJY180" s="11"/>
      <c r="NJZ180" s="12"/>
      <c r="NKI180" s="11"/>
      <c r="NKJ180" s="12"/>
      <c r="NKS180" s="11"/>
      <c r="NKT180" s="12"/>
      <c r="NLC180" s="11"/>
      <c r="NLD180" s="12"/>
      <c r="NLM180" s="11"/>
      <c r="NLN180" s="12"/>
      <c r="NLW180" s="11"/>
      <c r="NLX180" s="12"/>
      <c r="NMG180" s="11"/>
      <c r="NMH180" s="12"/>
      <c r="NMQ180" s="11"/>
      <c r="NMR180" s="12"/>
      <c r="NNA180" s="11"/>
      <c r="NNB180" s="12"/>
      <c r="NNK180" s="11"/>
      <c r="NNL180" s="12"/>
      <c r="NNU180" s="11"/>
      <c r="NNV180" s="12"/>
      <c r="NOE180" s="11"/>
      <c r="NOF180" s="12"/>
      <c r="NOO180" s="11"/>
      <c r="NOP180" s="12"/>
      <c r="NOY180" s="11"/>
      <c r="NOZ180" s="12"/>
      <c r="NPI180" s="11"/>
      <c r="NPJ180" s="12"/>
      <c r="NPS180" s="11"/>
      <c r="NPT180" s="12"/>
      <c r="NQC180" s="11"/>
      <c r="NQD180" s="12"/>
      <c r="NQM180" s="11"/>
      <c r="NQN180" s="12"/>
      <c r="NQW180" s="11"/>
      <c r="NQX180" s="12"/>
      <c r="NRG180" s="11"/>
      <c r="NRH180" s="12"/>
      <c r="NRQ180" s="11"/>
      <c r="NRR180" s="12"/>
      <c r="NSA180" s="11"/>
      <c r="NSB180" s="12"/>
      <c r="NSK180" s="11"/>
      <c r="NSL180" s="12"/>
      <c r="NSU180" s="11"/>
      <c r="NSV180" s="12"/>
      <c r="NTE180" s="11"/>
      <c r="NTF180" s="12"/>
      <c r="NTO180" s="11"/>
      <c r="NTP180" s="12"/>
      <c r="NTY180" s="11"/>
      <c r="NTZ180" s="12"/>
      <c r="NUI180" s="11"/>
      <c r="NUJ180" s="12"/>
      <c r="NUS180" s="11"/>
      <c r="NUT180" s="12"/>
      <c r="NVC180" s="11"/>
      <c r="NVD180" s="12"/>
      <c r="NVM180" s="11"/>
      <c r="NVN180" s="12"/>
      <c r="NVW180" s="11"/>
      <c r="NVX180" s="12"/>
      <c r="NWG180" s="11"/>
      <c r="NWH180" s="12"/>
      <c r="NWQ180" s="11"/>
      <c r="NWR180" s="12"/>
      <c r="NXA180" s="11"/>
      <c r="NXB180" s="12"/>
      <c r="NXK180" s="11"/>
      <c r="NXL180" s="12"/>
      <c r="NXU180" s="11"/>
      <c r="NXV180" s="12"/>
      <c r="NYE180" s="11"/>
      <c r="NYF180" s="12"/>
      <c r="NYO180" s="11"/>
      <c r="NYP180" s="12"/>
      <c r="NYY180" s="11"/>
      <c r="NYZ180" s="12"/>
      <c r="NZI180" s="11"/>
      <c r="NZJ180" s="12"/>
      <c r="NZS180" s="11"/>
      <c r="NZT180" s="12"/>
      <c r="OAC180" s="11"/>
      <c r="OAD180" s="12"/>
      <c r="OAM180" s="11"/>
      <c r="OAN180" s="12"/>
      <c r="OAW180" s="11"/>
      <c r="OAX180" s="12"/>
      <c r="OBG180" s="11"/>
      <c r="OBH180" s="12"/>
      <c r="OBQ180" s="11"/>
      <c r="OBR180" s="12"/>
      <c r="OCA180" s="11"/>
      <c r="OCB180" s="12"/>
      <c r="OCK180" s="11"/>
      <c r="OCL180" s="12"/>
      <c r="OCU180" s="11"/>
      <c r="OCV180" s="12"/>
      <c r="ODE180" s="11"/>
      <c r="ODF180" s="12"/>
      <c r="ODO180" s="11"/>
      <c r="ODP180" s="12"/>
      <c r="ODY180" s="11"/>
      <c r="ODZ180" s="12"/>
      <c r="OEI180" s="11"/>
      <c r="OEJ180" s="12"/>
      <c r="OES180" s="11"/>
      <c r="OET180" s="12"/>
      <c r="OFC180" s="11"/>
      <c r="OFD180" s="12"/>
      <c r="OFM180" s="11"/>
      <c r="OFN180" s="12"/>
      <c r="OFW180" s="11"/>
      <c r="OFX180" s="12"/>
      <c r="OGG180" s="11"/>
      <c r="OGH180" s="12"/>
      <c r="OGQ180" s="11"/>
      <c r="OGR180" s="12"/>
      <c r="OHA180" s="11"/>
      <c r="OHB180" s="12"/>
      <c r="OHK180" s="11"/>
      <c r="OHL180" s="12"/>
      <c r="OHU180" s="11"/>
      <c r="OHV180" s="12"/>
      <c r="OIE180" s="11"/>
      <c r="OIF180" s="12"/>
      <c r="OIO180" s="11"/>
      <c r="OIP180" s="12"/>
      <c r="OIY180" s="11"/>
      <c r="OIZ180" s="12"/>
      <c r="OJI180" s="11"/>
      <c r="OJJ180" s="12"/>
      <c r="OJS180" s="11"/>
      <c r="OJT180" s="12"/>
      <c r="OKC180" s="11"/>
      <c r="OKD180" s="12"/>
      <c r="OKM180" s="11"/>
      <c r="OKN180" s="12"/>
      <c r="OKW180" s="11"/>
      <c r="OKX180" s="12"/>
      <c r="OLG180" s="11"/>
      <c r="OLH180" s="12"/>
      <c r="OLQ180" s="11"/>
      <c r="OLR180" s="12"/>
      <c r="OMA180" s="11"/>
      <c r="OMB180" s="12"/>
      <c r="OMK180" s="11"/>
      <c r="OML180" s="12"/>
      <c r="OMU180" s="11"/>
      <c r="OMV180" s="12"/>
      <c r="ONE180" s="11"/>
      <c r="ONF180" s="12"/>
      <c r="ONO180" s="11"/>
      <c r="ONP180" s="12"/>
      <c r="ONY180" s="11"/>
      <c r="ONZ180" s="12"/>
      <c r="OOI180" s="11"/>
      <c r="OOJ180" s="12"/>
      <c r="OOS180" s="11"/>
      <c r="OOT180" s="12"/>
      <c r="OPC180" s="11"/>
      <c r="OPD180" s="12"/>
      <c r="OPM180" s="11"/>
      <c r="OPN180" s="12"/>
      <c r="OPW180" s="11"/>
      <c r="OPX180" s="12"/>
      <c r="OQG180" s="11"/>
      <c r="OQH180" s="12"/>
      <c r="OQQ180" s="11"/>
      <c r="OQR180" s="12"/>
      <c r="ORA180" s="11"/>
      <c r="ORB180" s="12"/>
      <c r="ORK180" s="11"/>
      <c r="ORL180" s="12"/>
      <c r="ORU180" s="11"/>
      <c r="ORV180" s="12"/>
      <c r="OSE180" s="11"/>
      <c r="OSF180" s="12"/>
      <c r="OSO180" s="11"/>
      <c r="OSP180" s="12"/>
      <c r="OSY180" s="11"/>
      <c r="OSZ180" s="12"/>
      <c r="OTI180" s="11"/>
      <c r="OTJ180" s="12"/>
      <c r="OTS180" s="11"/>
      <c r="OTT180" s="12"/>
      <c r="OUC180" s="11"/>
      <c r="OUD180" s="12"/>
      <c r="OUM180" s="11"/>
      <c r="OUN180" s="12"/>
      <c r="OUW180" s="11"/>
      <c r="OUX180" s="12"/>
      <c r="OVG180" s="11"/>
      <c r="OVH180" s="12"/>
      <c r="OVQ180" s="11"/>
      <c r="OVR180" s="12"/>
      <c r="OWA180" s="11"/>
      <c r="OWB180" s="12"/>
      <c r="OWK180" s="11"/>
      <c r="OWL180" s="12"/>
      <c r="OWU180" s="11"/>
      <c r="OWV180" s="12"/>
      <c r="OXE180" s="11"/>
      <c r="OXF180" s="12"/>
      <c r="OXO180" s="11"/>
      <c r="OXP180" s="12"/>
      <c r="OXY180" s="11"/>
      <c r="OXZ180" s="12"/>
      <c r="OYI180" s="11"/>
      <c r="OYJ180" s="12"/>
      <c r="OYS180" s="11"/>
      <c r="OYT180" s="12"/>
      <c r="OZC180" s="11"/>
      <c r="OZD180" s="12"/>
      <c r="OZM180" s="11"/>
      <c r="OZN180" s="12"/>
      <c r="OZW180" s="11"/>
      <c r="OZX180" s="12"/>
      <c r="PAG180" s="11"/>
      <c r="PAH180" s="12"/>
      <c r="PAQ180" s="11"/>
      <c r="PAR180" s="12"/>
      <c r="PBA180" s="11"/>
      <c r="PBB180" s="12"/>
      <c r="PBK180" s="11"/>
      <c r="PBL180" s="12"/>
      <c r="PBU180" s="11"/>
      <c r="PBV180" s="12"/>
      <c r="PCE180" s="11"/>
      <c r="PCF180" s="12"/>
      <c r="PCO180" s="11"/>
      <c r="PCP180" s="12"/>
      <c r="PCY180" s="11"/>
      <c r="PCZ180" s="12"/>
      <c r="PDI180" s="11"/>
      <c r="PDJ180" s="12"/>
      <c r="PDS180" s="11"/>
      <c r="PDT180" s="12"/>
      <c r="PEC180" s="11"/>
      <c r="PED180" s="12"/>
      <c r="PEM180" s="11"/>
      <c r="PEN180" s="12"/>
      <c r="PEW180" s="11"/>
      <c r="PEX180" s="12"/>
      <c r="PFG180" s="11"/>
      <c r="PFH180" s="12"/>
      <c r="PFQ180" s="11"/>
      <c r="PFR180" s="12"/>
      <c r="PGA180" s="11"/>
      <c r="PGB180" s="12"/>
      <c r="PGK180" s="11"/>
      <c r="PGL180" s="12"/>
      <c r="PGU180" s="11"/>
      <c r="PGV180" s="12"/>
      <c r="PHE180" s="11"/>
      <c r="PHF180" s="12"/>
      <c r="PHO180" s="11"/>
      <c r="PHP180" s="12"/>
      <c r="PHY180" s="11"/>
      <c r="PHZ180" s="12"/>
      <c r="PII180" s="11"/>
      <c r="PIJ180" s="12"/>
      <c r="PIS180" s="11"/>
      <c r="PIT180" s="12"/>
      <c r="PJC180" s="11"/>
      <c r="PJD180" s="12"/>
      <c r="PJM180" s="11"/>
      <c r="PJN180" s="12"/>
      <c r="PJW180" s="11"/>
      <c r="PJX180" s="12"/>
      <c r="PKG180" s="11"/>
      <c r="PKH180" s="12"/>
      <c r="PKQ180" s="11"/>
      <c r="PKR180" s="12"/>
      <c r="PLA180" s="11"/>
      <c r="PLB180" s="12"/>
      <c r="PLK180" s="11"/>
      <c r="PLL180" s="12"/>
      <c r="PLU180" s="11"/>
      <c r="PLV180" s="12"/>
      <c r="PME180" s="11"/>
      <c r="PMF180" s="12"/>
      <c r="PMO180" s="11"/>
      <c r="PMP180" s="12"/>
      <c r="PMY180" s="11"/>
      <c r="PMZ180" s="12"/>
      <c r="PNI180" s="11"/>
      <c r="PNJ180" s="12"/>
      <c r="PNS180" s="11"/>
      <c r="PNT180" s="12"/>
      <c r="POC180" s="11"/>
      <c r="POD180" s="12"/>
      <c r="POM180" s="11"/>
      <c r="PON180" s="12"/>
      <c r="POW180" s="11"/>
      <c r="POX180" s="12"/>
      <c r="PPG180" s="11"/>
      <c r="PPH180" s="12"/>
      <c r="PPQ180" s="11"/>
      <c r="PPR180" s="12"/>
      <c r="PQA180" s="11"/>
      <c r="PQB180" s="12"/>
      <c r="PQK180" s="11"/>
      <c r="PQL180" s="12"/>
      <c r="PQU180" s="11"/>
      <c r="PQV180" s="12"/>
      <c r="PRE180" s="11"/>
      <c r="PRF180" s="12"/>
      <c r="PRO180" s="11"/>
      <c r="PRP180" s="12"/>
      <c r="PRY180" s="11"/>
      <c r="PRZ180" s="12"/>
      <c r="PSI180" s="11"/>
      <c r="PSJ180" s="12"/>
      <c r="PSS180" s="11"/>
      <c r="PST180" s="12"/>
      <c r="PTC180" s="11"/>
      <c r="PTD180" s="12"/>
      <c r="PTM180" s="11"/>
      <c r="PTN180" s="12"/>
      <c r="PTW180" s="11"/>
      <c r="PTX180" s="12"/>
      <c r="PUG180" s="11"/>
      <c r="PUH180" s="12"/>
      <c r="PUQ180" s="11"/>
      <c r="PUR180" s="12"/>
      <c r="PVA180" s="11"/>
      <c r="PVB180" s="12"/>
      <c r="PVK180" s="11"/>
      <c r="PVL180" s="12"/>
      <c r="PVU180" s="11"/>
      <c r="PVV180" s="12"/>
      <c r="PWE180" s="11"/>
      <c r="PWF180" s="12"/>
      <c r="PWO180" s="11"/>
      <c r="PWP180" s="12"/>
      <c r="PWY180" s="11"/>
      <c r="PWZ180" s="12"/>
      <c r="PXI180" s="11"/>
      <c r="PXJ180" s="12"/>
      <c r="PXS180" s="11"/>
      <c r="PXT180" s="12"/>
      <c r="PYC180" s="11"/>
      <c r="PYD180" s="12"/>
      <c r="PYM180" s="11"/>
      <c r="PYN180" s="12"/>
      <c r="PYW180" s="11"/>
      <c r="PYX180" s="12"/>
      <c r="PZG180" s="11"/>
      <c r="PZH180" s="12"/>
      <c r="PZQ180" s="11"/>
      <c r="PZR180" s="12"/>
      <c r="QAA180" s="11"/>
      <c r="QAB180" s="12"/>
      <c r="QAK180" s="11"/>
      <c r="QAL180" s="12"/>
      <c r="QAU180" s="11"/>
      <c r="QAV180" s="12"/>
      <c r="QBE180" s="11"/>
      <c r="QBF180" s="12"/>
      <c r="QBO180" s="11"/>
      <c r="QBP180" s="12"/>
      <c r="QBY180" s="11"/>
      <c r="QBZ180" s="12"/>
      <c r="QCI180" s="11"/>
      <c r="QCJ180" s="12"/>
      <c r="QCS180" s="11"/>
      <c r="QCT180" s="12"/>
      <c r="QDC180" s="11"/>
      <c r="QDD180" s="12"/>
      <c r="QDM180" s="11"/>
      <c r="QDN180" s="12"/>
      <c r="QDW180" s="11"/>
      <c r="QDX180" s="12"/>
      <c r="QEG180" s="11"/>
      <c r="QEH180" s="12"/>
      <c r="QEQ180" s="11"/>
      <c r="QER180" s="12"/>
      <c r="QFA180" s="11"/>
      <c r="QFB180" s="12"/>
      <c r="QFK180" s="11"/>
      <c r="QFL180" s="12"/>
      <c r="QFU180" s="11"/>
      <c r="QFV180" s="12"/>
      <c r="QGE180" s="11"/>
      <c r="QGF180" s="12"/>
      <c r="QGO180" s="11"/>
      <c r="QGP180" s="12"/>
      <c r="QGY180" s="11"/>
      <c r="QGZ180" s="12"/>
      <c r="QHI180" s="11"/>
      <c r="QHJ180" s="12"/>
      <c r="QHS180" s="11"/>
      <c r="QHT180" s="12"/>
      <c r="QIC180" s="11"/>
      <c r="QID180" s="12"/>
      <c r="QIM180" s="11"/>
      <c r="QIN180" s="12"/>
      <c r="QIW180" s="11"/>
      <c r="QIX180" s="12"/>
      <c r="QJG180" s="11"/>
      <c r="QJH180" s="12"/>
      <c r="QJQ180" s="11"/>
      <c r="QJR180" s="12"/>
      <c r="QKA180" s="11"/>
      <c r="QKB180" s="12"/>
      <c r="QKK180" s="11"/>
      <c r="QKL180" s="12"/>
      <c r="QKU180" s="11"/>
      <c r="QKV180" s="12"/>
      <c r="QLE180" s="11"/>
      <c r="QLF180" s="12"/>
      <c r="QLO180" s="11"/>
      <c r="QLP180" s="12"/>
      <c r="QLY180" s="11"/>
      <c r="QLZ180" s="12"/>
      <c r="QMI180" s="11"/>
      <c r="QMJ180" s="12"/>
      <c r="QMS180" s="11"/>
      <c r="QMT180" s="12"/>
      <c r="QNC180" s="11"/>
      <c r="QND180" s="12"/>
      <c r="QNM180" s="11"/>
      <c r="QNN180" s="12"/>
      <c r="QNW180" s="11"/>
      <c r="QNX180" s="12"/>
      <c r="QOG180" s="11"/>
      <c r="QOH180" s="12"/>
      <c r="QOQ180" s="11"/>
      <c r="QOR180" s="12"/>
      <c r="QPA180" s="11"/>
      <c r="QPB180" s="12"/>
      <c r="QPK180" s="11"/>
      <c r="QPL180" s="12"/>
      <c r="QPU180" s="11"/>
      <c r="QPV180" s="12"/>
      <c r="QQE180" s="11"/>
      <c r="QQF180" s="12"/>
      <c r="QQO180" s="11"/>
      <c r="QQP180" s="12"/>
      <c r="QQY180" s="11"/>
      <c r="QQZ180" s="12"/>
      <c r="QRI180" s="11"/>
      <c r="QRJ180" s="12"/>
      <c r="QRS180" s="11"/>
      <c r="QRT180" s="12"/>
      <c r="QSC180" s="11"/>
      <c r="QSD180" s="12"/>
      <c r="QSM180" s="11"/>
      <c r="QSN180" s="12"/>
      <c r="QSW180" s="11"/>
      <c r="QSX180" s="12"/>
      <c r="QTG180" s="11"/>
      <c r="QTH180" s="12"/>
      <c r="QTQ180" s="11"/>
      <c r="QTR180" s="12"/>
      <c r="QUA180" s="11"/>
      <c r="QUB180" s="12"/>
      <c r="QUK180" s="11"/>
      <c r="QUL180" s="12"/>
      <c r="QUU180" s="11"/>
      <c r="QUV180" s="12"/>
      <c r="QVE180" s="11"/>
      <c r="QVF180" s="12"/>
      <c r="QVO180" s="11"/>
      <c r="QVP180" s="12"/>
      <c r="QVY180" s="11"/>
      <c r="QVZ180" s="12"/>
      <c r="QWI180" s="11"/>
      <c r="QWJ180" s="12"/>
      <c r="QWS180" s="11"/>
      <c r="QWT180" s="12"/>
      <c r="QXC180" s="11"/>
      <c r="QXD180" s="12"/>
      <c r="QXM180" s="11"/>
      <c r="QXN180" s="12"/>
      <c r="QXW180" s="11"/>
      <c r="QXX180" s="12"/>
      <c r="QYG180" s="11"/>
      <c r="QYH180" s="12"/>
      <c r="QYQ180" s="11"/>
      <c r="QYR180" s="12"/>
      <c r="QZA180" s="11"/>
      <c r="QZB180" s="12"/>
      <c r="QZK180" s="11"/>
      <c r="QZL180" s="12"/>
      <c r="QZU180" s="11"/>
      <c r="QZV180" s="12"/>
      <c r="RAE180" s="11"/>
      <c r="RAF180" s="12"/>
      <c r="RAO180" s="11"/>
      <c r="RAP180" s="12"/>
      <c r="RAY180" s="11"/>
      <c r="RAZ180" s="12"/>
      <c r="RBI180" s="11"/>
      <c r="RBJ180" s="12"/>
      <c r="RBS180" s="11"/>
      <c r="RBT180" s="12"/>
      <c r="RCC180" s="11"/>
      <c r="RCD180" s="12"/>
      <c r="RCM180" s="11"/>
      <c r="RCN180" s="12"/>
      <c r="RCW180" s="11"/>
      <c r="RCX180" s="12"/>
      <c r="RDG180" s="11"/>
      <c r="RDH180" s="12"/>
      <c r="RDQ180" s="11"/>
      <c r="RDR180" s="12"/>
      <c r="REA180" s="11"/>
      <c r="REB180" s="12"/>
      <c r="REK180" s="11"/>
      <c r="REL180" s="12"/>
      <c r="REU180" s="11"/>
      <c r="REV180" s="12"/>
      <c r="RFE180" s="11"/>
      <c r="RFF180" s="12"/>
      <c r="RFO180" s="11"/>
      <c r="RFP180" s="12"/>
      <c r="RFY180" s="11"/>
      <c r="RFZ180" s="12"/>
      <c r="RGI180" s="11"/>
      <c r="RGJ180" s="12"/>
      <c r="RGS180" s="11"/>
      <c r="RGT180" s="12"/>
      <c r="RHC180" s="11"/>
      <c r="RHD180" s="12"/>
      <c r="RHM180" s="11"/>
      <c r="RHN180" s="12"/>
      <c r="RHW180" s="11"/>
      <c r="RHX180" s="12"/>
      <c r="RIG180" s="11"/>
      <c r="RIH180" s="12"/>
      <c r="RIQ180" s="11"/>
      <c r="RIR180" s="12"/>
      <c r="RJA180" s="11"/>
      <c r="RJB180" s="12"/>
      <c r="RJK180" s="11"/>
      <c r="RJL180" s="12"/>
      <c r="RJU180" s="11"/>
      <c r="RJV180" s="12"/>
      <c r="RKE180" s="11"/>
      <c r="RKF180" s="12"/>
      <c r="RKO180" s="11"/>
      <c r="RKP180" s="12"/>
      <c r="RKY180" s="11"/>
      <c r="RKZ180" s="12"/>
      <c r="RLI180" s="11"/>
      <c r="RLJ180" s="12"/>
      <c r="RLS180" s="11"/>
      <c r="RLT180" s="12"/>
      <c r="RMC180" s="11"/>
      <c r="RMD180" s="12"/>
      <c r="RMM180" s="11"/>
      <c r="RMN180" s="12"/>
      <c r="RMW180" s="11"/>
      <c r="RMX180" s="12"/>
      <c r="RNG180" s="11"/>
      <c r="RNH180" s="12"/>
      <c r="RNQ180" s="11"/>
      <c r="RNR180" s="12"/>
      <c r="ROA180" s="11"/>
      <c r="ROB180" s="12"/>
      <c r="ROK180" s="11"/>
      <c r="ROL180" s="12"/>
      <c r="ROU180" s="11"/>
      <c r="ROV180" s="12"/>
      <c r="RPE180" s="11"/>
      <c r="RPF180" s="12"/>
      <c r="RPO180" s="11"/>
      <c r="RPP180" s="12"/>
      <c r="RPY180" s="11"/>
      <c r="RPZ180" s="12"/>
      <c r="RQI180" s="11"/>
      <c r="RQJ180" s="12"/>
      <c r="RQS180" s="11"/>
      <c r="RQT180" s="12"/>
      <c r="RRC180" s="11"/>
      <c r="RRD180" s="12"/>
      <c r="RRM180" s="11"/>
      <c r="RRN180" s="12"/>
      <c r="RRW180" s="11"/>
      <c r="RRX180" s="12"/>
      <c r="RSG180" s="11"/>
      <c r="RSH180" s="12"/>
      <c r="RSQ180" s="11"/>
      <c r="RSR180" s="12"/>
      <c r="RTA180" s="11"/>
      <c r="RTB180" s="12"/>
      <c r="RTK180" s="11"/>
      <c r="RTL180" s="12"/>
      <c r="RTU180" s="11"/>
      <c r="RTV180" s="12"/>
      <c r="RUE180" s="11"/>
      <c r="RUF180" s="12"/>
      <c r="RUO180" s="11"/>
      <c r="RUP180" s="12"/>
      <c r="RUY180" s="11"/>
      <c r="RUZ180" s="12"/>
      <c r="RVI180" s="11"/>
      <c r="RVJ180" s="12"/>
      <c r="RVS180" s="11"/>
      <c r="RVT180" s="12"/>
      <c r="RWC180" s="11"/>
      <c r="RWD180" s="12"/>
      <c r="RWM180" s="11"/>
      <c r="RWN180" s="12"/>
      <c r="RWW180" s="11"/>
      <c r="RWX180" s="12"/>
      <c r="RXG180" s="11"/>
      <c r="RXH180" s="12"/>
      <c r="RXQ180" s="11"/>
      <c r="RXR180" s="12"/>
      <c r="RYA180" s="11"/>
      <c r="RYB180" s="12"/>
      <c r="RYK180" s="11"/>
      <c r="RYL180" s="12"/>
      <c r="RYU180" s="11"/>
      <c r="RYV180" s="12"/>
      <c r="RZE180" s="11"/>
      <c r="RZF180" s="12"/>
      <c r="RZO180" s="11"/>
      <c r="RZP180" s="12"/>
      <c r="RZY180" s="11"/>
      <c r="RZZ180" s="12"/>
      <c r="SAI180" s="11"/>
      <c r="SAJ180" s="12"/>
      <c r="SAS180" s="11"/>
      <c r="SAT180" s="12"/>
      <c r="SBC180" s="11"/>
      <c r="SBD180" s="12"/>
      <c r="SBM180" s="11"/>
      <c r="SBN180" s="12"/>
      <c r="SBW180" s="11"/>
      <c r="SBX180" s="12"/>
      <c r="SCG180" s="11"/>
      <c r="SCH180" s="12"/>
      <c r="SCQ180" s="11"/>
      <c r="SCR180" s="12"/>
      <c r="SDA180" s="11"/>
      <c r="SDB180" s="12"/>
      <c r="SDK180" s="11"/>
      <c r="SDL180" s="12"/>
      <c r="SDU180" s="11"/>
      <c r="SDV180" s="12"/>
      <c r="SEE180" s="11"/>
      <c r="SEF180" s="12"/>
      <c r="SEO180" s="11"/>
      <c r="SEP180" s="12"/>
      <c r="SEY180" s="11"/>
      <c r="SEZ180" s="12"/>
      <c r="SFI180" s="11"/>
      <c r="SFJ180" s="12"/>
      <c r="SFS180" s="11"/>
      <c r="SFT180" s="12"/>
      <c r="SGC180" s="11"/>
      <c r="SGD180" s="12"/>
      <c r="SGM180" s="11"/>
      <c r="SGN180" s="12"/>
      <c r="SGW180" s="11"/>
      <c r="SGX180" s="12"/>
      <c r="SHG180" s="11"/>
      <c r="SHH180" s="12"/>
      <c r="SHQ180" s="11"/>
      <c r="SHR180" s="12"/>
      <c r="SIA180" s="11"/>
      <c r="SIB180" s="12"/>
      <c r="SIK180" s="11"/>
      <c r="SIL180" s="12"/>
      <c r="SIU180" s="11"/>
      <c r="SIV180" s="12"/>
      <c r="SJE180" s="11"/>
      <c r="SJF180" s="12"/>
      <c r="SJO180" s="11"/>
      <c r="SJP180" s="12"/>
      <c r="SJY180" s="11"/>
      <c r="SJZ180" s="12"/>
      <c r="SKI180" s="11"/>
      <c r="SKJ180" s="12"/>
      <c r="SKS180" s="11"/>
      <c r="SKT180" s="12"/>
      <c r="SLC180" s="11"/>
      <c r="SLD180" s="12"/>
      <c r="SLM180" s="11"/>
      <c r="SLN180" s="12"/>
      <c r="SLW180" s="11"/>
      <c r="SLX180" s="12"/>
      <c r="SMG180" s="11"/>
      <c r="SMH180" s="12"/>
      <c r="SMQ180" s="11"/>
      <c r="SMR180" s="12"/>
      <c r="SNA180" s="11"/>
      <c r="SNB180" s="12"/>
      <c r="SNK180" s="11"/>
      <c r="SNL180" s="12"/>
      <c r="SNU180" s="11"/>
      <c r="SNV180" s="12"/>
      <c r="SOE180" s="11"/>
      <c r="SOF180" s="12"/>
      <c r="SOO180" s="11"/>
      <c r="SOP180" s="12"/>
      <c r="SOY180" s="11"/>
      <c r="SOZ180" s="12"/>
      <c r="SPI180" s="11"/>
      <c r="SPJ180" s="12"/>
      <c r="SPS180" s="11"/>
      <c r="SPT180" s="12"/>
      <c r="SQC180" s="11"/>
      <c r="SQD180" s="12"/>
      <c r="SQM180" s="11"/>
      <c r="SQN180" s="12"/>
      <c r="SQW180" s="11"/>
      <c r="SQX180" s="12"/>
      <c r="SRG180" s="11"/>
      <c r="SRH180" s="12"/>
      <c r="SRQ180" s="11"/>
      <c r="SRR180" s="12"/>
      <c r="SSA180" s="11"/>
      <c r="SSB180" s="12"/>
      <c r="SSK180" s="11"/>
      <c r="SSL180" s="12"/>
      <c r="SSU180" s="11"/>
      <c r="SSV180" s="12"/>
      <c r="STE180" s="11"/>
      <c r="STF180" s="12"/>
      <c r="STO180" s="11"/>
      <c r="STP180" s="12"/>
      <c r="STY180" s="11"/>
      <c r="STZ180" s="12"/>
      <c r="SUI180" s="11"/>
      <c r="SUJ180" s="12"/>
      <c r="SUS180" s="11"/>
      <c r="SUT180" s="12"/>
      <c r="SVC180" s="11"/>
      <c r="SVD180" s="12"/>
      <c r="SVM180" s="11"/>
      <c r="SVN180" s="12"/>
      <c r="SVW180" s="11"/>
      <c r="SVX180" s="12"/>
      <c r="SWG180" s="11"/>
      <c r="SWH180" s="12"/>
      <c r="SWQ180" s="11"/>
      <c r="SWR180" s="12"/>
      <c r="SXA180" s="11"/>
      <c r="SXB180" s="12"/>
      <c r="SXK180" s="11"/>
      <c r="SXL180" s="12"/>
      <c r="SXU180" s="11"/>
      <c r="SXV180" s="12"/>
      <c r="SYE180" s="11"/>
      <c r="SYF180" s="12"/>
      <c r="SYO180" s="11"/>
      <c r="SYP180" s="12"/>
      <c r="SYY180" s="11"/>
      <c r="SYZ180" s="12"/>
      <c r="SZI180" s="11"/>
      <c r="SZJ180" s="12"/>
      <c r="SZS180" s="11"/>
      <c r="SZT180" s="12"/>
      <c r="TAC180" s="11"/>
      <c r="TAD180" s="12"/>
      <c r="TAM180" s="11"/>
      <c r="TAN180" s="12"/>
      <c r="TAW180" s="11"/>
      <c r="TAX180" s="12"/>
      <c r="TBG180" s="11"/>
      <c r="TBH180" s="12"/>
      <c r="TBQ180" s="11"/>
      <c r="TBR180" s="12"/>
      <c r="TCA180" s="11"/>
      <c r="TCB180" s="12"/>
      <c r="TCK180" s="11"/>
      <c r="TCL180" s="12"/>
      <c r="TCU180" s="11"/>
      <c r="TCV180" s="12"/>
      <c r="TDE180" s="11"/>
      <c r="TDF180" s="12"/>
      <c r="TDO180" s="11"/>
      <c r="TDP180" s="12"/>
      <c r="TDY180" s="11"/>
      <c r="TDZ180" s="12"/>
      <c r="TEI180" s="11"/>
      <c r="TEJ180" s="12"/>
      <c r="TES180" s="11"/>
      <c r="TET180" s="12"/>
      <c r="TFC180" s="11"/>
      <c r="TFD180" s="12"/>
      <c r="TFM180" s="11"/>
      <c r="TFN180" s="12"/>
      <c r="TFW180" s="11"/>
      <c r="TFX180" s="12"/>
      <c r="TGG180" s="11"/>
      <c r="TGH180" s="12"/>
      <c r="TGQ180" s="11"/>
      <c r="TGR180" s="12"/>
      <c r="THA180" s="11"/>
      <c r="THB180" s="12"/>
      <c r="THK180" s="11"/>
      <c r="THL180" s="12"/>
      <c r="THU180" s="11"/>
      <c r="THV180" s="12"/>
      <c r="TIE180" s="11"/>
      <c r="TIF180" s="12"/>
      <c r="TIO180" s="11"/>
      <c r="TIP180" s="12"/>
      <c r="TIY180" s="11"/>
      <c r="TIZ180" s="12"/>
      <c r="TJI180" s="11"/>
      <c r="TJJ180" s="12"/>
      <c r="TJS180" s="11"/>
      <c r="TJT180" s="12"/>
      <c r="TKC180" s="11"/>
      <c r="TKD180" s="12"/>
      <c r="TKM180" s="11"/>
      <c r="TKN180" s="12"/>
      <c r="TKW180" s="11"/>
      <c r="TKX180" s="12"/>
      <c r="TLG180" s="11"/>
      <c r="TLH180" s="12"/>
      <c r="TLQ180" s="11"/>
      <c r="TLR180" s="12"/>
      <c r="TMA180" s="11"/>
      <c r="TMB180" s="12"/>
      <c r="TMK180" s="11"/>
      <c r="TML180" s="12"/>
      <c r="TMU180" s="11"/>
      <c r="TMV180" s="12"/>
      <c r="TNE180" s="11"/>
      <c r="TNF180" s="12"/>
      <c r="TNO180" s="11"/>
      <c r="TNP180" s="12"/>
      <c r="TNY180" s="11"/>
      <c r="TNZ180" s="12"/>
      <c r="TOI180" s="11"/>
      <c r="TOJ180" s="12"/>
      <c r="TOS180" s="11"/>
      <c r="TOT180" s="12"/>
      <c r="TPC180" s="11"/>
      <c r="TPD180" s="12"/>
      <c r="TPM180" s="11"/>
      <c r="TPN180" s="12"/>
      <c r="TPW180" s="11"/>
      <c r="TPX180" s="12"/>
      <c r="TQG180" s="11"/>
      <c r="TQH180" s="12"/>
      <c r="TQQ180" s="11"/>
      <c r="TQR180" s="12"/>
      <c r="TRA180" s="11"/>
      <c r="TRB180" s="12"/>
      <c r="TRK180" s="11"/>
      <c r="TRL180" s="12"/>
      <c r="TRU180" s="11"/>
      <c r="TRV180" s="12"/>
      <c r="TSE180" s="11"/>
      <c r="TSF180" s="12"/>
      <c r="TSO180" s="11"/>
      <c r="TSP180" s="12"/>
      <c r="TSY180" s="11"/>
      <c r="TSZ180" s="12"/>
      <c r="TTI180" s="11"/>
      <c r="TTJ180" s="12"/>
      <c r="TTS180" s="11"/>
      <c r="TTT180" s="12"/>
      <c r="TUC180" s="11"/>
      <c r="TUD180" s="12"/>
      <c r="TUM180" s="11"/>
      <c r="TUN180" s="12"/>
      <c r="TUW180" s="11"/>
      <c r="TUX180" s="12"/>
      <c r="TVG180" s="11"/>
      <c r="TVH180" s="12"/>
      <c r="TVQ180" s="11"/>
      <c r="TVR180" s="12"/>
      <c r="TWA180" s="11"/>
      <c r="TWB180" s="12"/>
      <c r="TWK180" s="11"/>
      <c r="TWL180" s="12"/>
      <c r="TWU180" s="11"/>
      <c r="TWV180" s="12"/>
      <c r="TXE180" s="11"/>
      <c r="TXF180" s="12"/>
      <c r="TXO180" s="11"/>
      <c r="TXP180" s="12"/>
      <c r="TXY180" s="11"/>
      <c r="TXZ180" s="12"/>
      <c r="TYI180" s="11"/>
      <c r="TYJ180" s="12"/>
      <c r="TYS180" s="11"/>
      <c r="TYT180" s="12"/>
      <c r="TZC180" s="11"/>
      <c r="TZD180" s="12"/>
      <c r="TZM180" s="11"/>
      <c r="TZN180" s="12"/>
      <c r="TZW180" s="11"/>
      <c r="TZX180" s="12"/>
      <c r="UAG180" s="11"/>
      <c r="UAH180" s="12"/>
      <c r="UAQ180" s="11"/>
      <c r="UAR180" s="12"/>
      <c r="UBA180" s="11"/>
      <c r="UBB180" s="12"/>
      <c r="UBK180" s="11"/>
      <c r="UBL180" s="12"/>
      <c r="UBU180" s="11"/>
      <c r="UBV180" s="12"/>
      <c r="UCE180" s="11"/>
      <c r="UCF180" s="12"/>
      <c r="UCO180" s="11"/>
      <c r="UCP180" s="12"/>
      <c r="UCY180" s="11"/>
      <c r="UCZ180" s="12"/>
      <c r="UDI180" s="11"/>
      <c r="UDJ180" s="12"/>
      <c r="UDS180" s="11"/>
      <c r="UDT180" s="12"/>
      <c r="UEC180" s="11"/>
      <c r="UED180" s="12"/>
      <c r="UEM180" s="11"/>
      <c r="UEN180" s="12"/>
      <c r="UEW180" s="11"/>
      <c r="UEX180" s="12"/>
      <c r="UFG180" s="11"/>
      <c r="UFH180" s="12"/>
      <c r="UFQ180" s="11"/>
      <c r="UFR180" s="12"/>
      <c r="UGA180" s="11"/>
      <c r="UGB180" s="12"/>
      <c r="UGK180" s="11"/>
      <c r="UGL180" s="12"/>
      <c r="UGU180" s="11"/>
      <c r="UGV180" s="12"/>
      <c r="UHE180" s="11"/>
      <c r="UHF180" s="12"/>
      <c r="UHO180" s="11"/>
      <c r="UHP180" s="12"/>
      <c r="UHY180" s="11"/>
      <c r="UHZ180" s="12"/>
      <c r="UII180" s="11"/>
      <c r="UIJ180" s="12"/>
      <c r="UIS180" s="11"/>
      <c r="UIT180" s="12"/>
      <c r="UJC180" s="11"/>
      <c r="UJD180" s="12"/>
      <c r="UJM180" s="11"/>
      <c r="UJN180" s="12"/>
      <c r="UJW180" s="11"/>
      <c r="UJX180" s="12"/>
      <c r="UKG180" s="11"/>
      <c r="UKH180" s="12"/>
      <c r="UKQ180" s="11"/>
      <c r="UKR180" s="12"/>
      <c r="ULA180" s="11"/>
      <c r="ULB180" s="12"/>
      <c r="ULK180" s="11"/>
      <c r="ULL180" s="12"/>
      <c r="ULU180" s="11"/>
      <c r="ULV180" s="12"/>
      <c r="UME180" s="11"/>
      <c r="UMF180" s="12"/>
      <c r="UMO180" s="11"/>
      <c r="UMP180" s="12"/>
      <c r="UMY180" s="11"/>
      <c r="UMZ180" s="12"/>
      <c r="UNI180" s="11"/>
      <c r="UNJ180" s="12"/>
      <c r="UNS180" s="11"/>
      <c r="UNT180" s="12"/>
      <c r="UOC180" s="11"/>
      <c r="UOD180" s="12"/>
      <c r="UOM180" s="11"/>
      <c r="UON180" s="12"/>
      <c r="UOW180" s="11"/>
      <c r="UOX180" s="12"/>
      <c r="UPG180" s="11"/>
      <c r="UPH180" s="12"/>
      <c r="UPQ180" s="11"/>
      <c r="UPR180" s="12"/>
      <c r="UQA180" s="11"/>
      <c r="UQB180" s="12"/>
      <c r="UQK180" s="11"/>
      <c r="UQL180" s="12"/>
      <c r="UQU180" s="11"/>
      <c r="UQV180" s="12"/>
      <c r="URE180" s="11"/>
      <c r="URF180" s="12"/>
      <c r="URO180" s="11"/>
      <c r="URP180" s="12"/>
      <c r="URY180" s="11"/>
      <c r="URZ180" s="12"/>
      <c r="USI180" s="11"/>
      <c r="USJ180" s="12"/>
      <c r="USS180" s="11"/>
      <c r="UST180" s="12"/>
      <c r="UTC180" s="11"/>
      <c r="UTD180" s="12"/>
      <c r="UTM180" s="11"/>
      <c r="UTN180" s="12"/>
      <c r="UTW180" s="11"/>
      <c r="UTX180" s="12"/>
      <c r="UUG180" s="11"/>
      <c r="UUH180" s="12"/>
      <c r="UUQ180" s="11"/>
      <c r="UUR180" s="12"/>
      <c r="UVA180" s="11"/>
      <c r="UVB180" s="12"/>
      <c r="UVK180" s="11"/>
      <c r="UVL180" s="12"/>
      <c r="UVU180" s="11"/>
      <c r="UVV180" s="12"/>
      <c r="UWE180" s="11"/>
      <c r="UWF180" s="12"/>
      <c r="UWO180" s="11"/>
      <c r="UWP180" s="12"/>
      <c r="UWY180" s="11"/>
      <c r="UWZ180" s="12"/>
      <c r="UXI180" s="11"/>
      <c r="UXJ180" s="12"/>
      <c r="UXS180" s="11"/>
      <c r="UXT180" s="12"/>
      <c r="UYC180" s="11"/>
      <c r="UYD180" s="12"/>
      <c r="UYM180" s="11"/>
      <c r="UYN180" s="12"/>
      <c r="UYW180" s="11"/>
      <c r="UYX180" s="12"/>
      <c r="UZG180" s="11"/>
      <c r="UZH180" s="12"/>
      <c r="UZQ180" s="11"/>
      <c r="UZR180" s="12"/>
      <c r="VAA180" s="11"/>
      <c r="VAB180" s="12"/>
      <c r="VAK180" s="11"/>
      <c r="VAL180" s="12"/>
      <c r="VAU180" s="11"/>
      <c r="VAV180" s="12"/>
      <c r="VBE180" s="11"/>
      <c r="VBF180" s="12"/>
      <c r="VBO180" s="11"/>
      <c r="VBP180" s="12"/>
      <c r="VBY180" s="11"/>
      <c r="VBZ180" s="12"/>
      <c r="VCI180" s="11"/>
      <c r="VCJ180" s="12"/>
      <c r="VCS180" s="11"/>
      <c r="VCT180" s="12"/>
      <c r="VDC180" s="11"/>
      <c r="VDD180" s="12"/>
      <c r="VDM180" s="11"/>
      <c r="VDN180" s="12"/>
      <c r="VDW180" s="11"/>
      <c r="VDX180" s="12"/>
      <c r="VEG180" s="11"/>
      <c r="VEH180" s="12"/>
      <c r="VEQ180" s="11"/>
      <c r="VER180" s="12"/>
      <c r="VFA180" s="11"/>
      <c r="VFB180" s="12"/>
      <c r="VFK180" s="11"/>
      <c r="VFL180" s="12"/>
      <c r="VFU180" s="11"/>
      <c r="VFV180" s="12"/>
      <c r="VGE180" s="11"/>
      <c r="VGF180" s="12"/>
      <c r="VGO180" s="11"/>
      <c r="VGP180" s="12"/>
      <c r="VGY180" s="11"/>
      <c r="VGZ180" s="12"/>
      <c r="VHI180" s="11"/>
      <c r="VHJ180" s="12"/>
      <c r="VHS180" s="11"/>
      <c r="VHT180" s="12"/>
      <c r="VIC180" s="11"/>
      <c r="VID180" s="12"/>
      <c r="VIM180" s="11"/>
      <c r="VIN180" s="12"/>
      <c r="VIW180" s="11"/>
      <c r="VIX180" s="12"/>
      <c r="VJG180" s="11"/>
      <c r="VJH180" s="12"/>
      <c r="VJQ180" s="11"/>
      <c r="VJR180" s="12"/>
      <c r="VKA180" s="11"/>
      <c r="VKB180" s="12"/>
      <c r="VKK180" s="11"/>
      <c r="VKL180" s="12"/>
      <c r="VKU180" s="11"/>
      <c r="VKV180" s="12"/>
      <c r="VLE180" s="11"/>
      <c r="VLF180" s="12"/>
      <c r="VLO180" s="11"/>
      <c r="VLP180" s="12"/>
      <c r="VLY180" s="11"/>
      <c r="VLZ180" s="12"/>
      <c r="VMI180" s="11"/>
      <c r="VMJ180" s="12"/>
      <c r="VMS180" s="11"/>
      <c r="VMT180" s="12"/>
      <c r="VNC180" s="11"/>
      <c r="VND180" s="12"/>
      <c r="VNM180" s="11"/>
      <c r="VNN180" s="12"/>
      <c r="VNW180" s="11"/>
      <c r="VNX180" s="12"/>
      <c r="VOG180" s="11"/>
      <c r="VOH180" s="12"/>
      <c r="VOQ180" s="11"/>
      <c r="VOR180" s="12"/>
      <c r="VPA180" s="11"/>
      <c r="VPB180" s="12"/>
      <c r="VPK180" s="11"/>
      <c r="VPL180" s="12"/>
      <c r="VPU180" s="11"/>
      <c r="VPV180" s="12"/>
      <c r="VQE180" s="11"/>
      <c r="VQF180" s="12"/>
      <c r="VQO180" s="11"/>
      <c r="VQP180" s="12"/>
      <c r="VQY180" s="11"/>
      <c r="VQZ180" s="12"/>
      <c r="VRI180" s="11"/>
      <c r="VRJ180" s="12"/>
      <c r="VRS180" s="11"/>
      <c r="VRT180" s="12"/>
      <c r="VSC180" s="11"/>
      <c r="VSD180" s="12"/>
      <c r="VSM180" s="11"/>
      <c r="VSN180" s="12"/>
      <c r="VSW180" s="11"/>
      <c r="VSX180" s="12"/>
      <c r="VTG180" s="11"/>
      <c r="VTH180" s="12"/>
      <c r="VTQ180" s="11"/>
      <c r="VTR180" s="12"/>
      <c r="VUA180" s="11"/>
      <c r="VUB180" s="12"/>
      <c r="VUK180" s="11"/>
      <c r="VUL180" s="12"/>
      <c r="VUU180" s="11"/>
      <c r="VUV180" s="12"/>
      <c r="VVE180" s="11"/>
      <c r="VVF180" s="12"/>
      <c r="VVO180" s="11"/>
      <c r="VVP180" s="12"/>
      <c r="VVY180" s="11"/>
      <c r="VVZ180" s="12"/>
      <c r="VWI180" s="11"/>
      <c r="VWJ180" s="12"/>
      <c r="VWS180" s="11"/>
      <c r="VWT180" s="12"/>
      <c r="VXC180" s="11"/>
      <c r="VXD180" s="12"/>
      <c r="VXM180" s="11"/>
      <c r="VXN180" s="12"/>
      <c r="VXW180" s="11"/>
      <c r="VXX180" s="12"/>
      <c r="VYG180" s="11"/>
      <c r="VYH180" s="12"/>
      <c r="VYQ180" s="11"/>
      <c r="VYR180" s="12"/>
      <c r="VZA180" s="11"/>
      <c r="VZB180" s="12"/>
      <c r="VZK180" s="11"/>
      <c r="VZL180" s="12"/>
      <c r="VZU180" s="11"/>
      <c r="VZV180" s="12"/>
      <c r="WAE180" s="11"/>
      <c r="WAF180" s="12"/>
      <c r="WAO180" s="11"/>
      <c r="WAP180" s="12"/>
      <c r="WAY180" s="11"/>
      <c r="WAZ180" s="12"/>
      <c r="WBI180" s="11"/>
      <c r="WBJ180" s="12"/>
      <c r="WBS180" s="11"/>
      <c r="WBT180" s="12"/>
      <c r="WCC180" s="11"/>
      <c r="WCD180" s="12"/>
      <c r="WCM180" s="11"/>
      <c r="WCN180" s="12"/>
      <c r="WCW180" s="11"/>
      <c r="WCX180" s="12"/>
      <c r="WDG180" s="11"/>
      <c r="WDH180" s="12"/>
      <c r="WDQ180" s="11"/>
      <c r="WDR180" s="12"/>
      <c r="WEA180" s="11"/>
      <c r="WEB180" s="12"/>
      <c r="WEK180" s="11"/>
      <c r="WEL180" s="12"/>
      <c r="WEU180" s="11"/>
      <c r="WEV180" s="12"/>
      <c r="WFE180" s="11"/>
      <c r="WFF180" s="12"/>
      <c r="WFO180" s="11"/>
      <c r="WFP180" s="12"/>
      <c r="WFY180" s="11"/>
      <c r="WFZ180" s="12"/>
      <c r="WGI180" s="11"/>
      <c r="WGJ180" s="12"/>
      <c r="WGS180" s="11"/>
      <c r="WGT180" s="12"/>
      <c r="WHC180" s="11"/>
      <c r="WHD180" s="12"/>
      <c r="WHM180" s="11"/>
      <c r="WHN180" s="12"/>
      <c r="WHW180" s="11"/>
      <c r="WHX180" s="12"/>
      <c r="WIG180" s="11"/>
      <c r="WIH180" s="12"/>
      <c r="WIQ180" s="11"/>
      <c r="WIR180" s="12"/>
      <c r="WJA180" s="11"/>
      <c r="WJB180" s="12"/>
      <c r="WJK180" s="11"/>
      <c r="WJL180" s="12"/>
      <c r="WJU180" s="11"/>
      <c r="WJV180" s="12"/>
      <c r="WKE180" s="11"/>
      <c r="WKF180" s="12"/>
      <c r="WKO180" s="11"/>
      <c r="WKP180" s="12"/>
      <c r="WKY180" s="11"/>
      <c r="WKZ180" s="12"/>
      <c r="WLI180" s="11"/>
      <c r="WLJ180" s="12"/>
      <c r="WLS180" s="11"/>
      <c r="WLT180" s="12"/>
      <c r="WMC180" s="11"/>
      <c r="WMD180" s="12"/>
      <c r="WMM180" s="11"/>
      <c r="WMN180" s="12"/>
      <c r="WMW180" s="11"/>
      <c r="WMX180" s="12"/>
      <c r="WNG180" s="11"/>
      <c r="WNH180" s="12"/>
      <c r="WNQ180" s="11"/>
      <c r="WNR180" s="12"/>
      <c r="WOA180" s="11"/>
      <c r="WOB180" s="12"/>
      <c r="WOK180" s="11"/>
      <c r="WOL180" s="12"/>
      <c r="WOU180" s="11"/>
      <c r="WOV180" s="12"/>
      <c r="WPE180" s="11"/>
      <c r="WPF180" s="12"/>
      <c r="WPO180" s="11"/>
      <c r="WPP180" s="12"/>
      <c r="WPY180" s="11"/>
      <c r="WPZ180" s="12"/>
      <c r="WQI180" s="11"/>
      <c r="WQJ180" s="12"/>
      <c r="WQS180" s="11"/>
      <c r="WQT180" s="12"/>
      <c r="WRC180" s="11"/>
      <c r="WRD180" s="12"/>
      <c r="WRM180" s="11"/>
      <c r="WRN180" s="12"/>
      <c r="WRW180" s="11"/>
      <c r="WRX180" s="12"/>
      <c r="WSG180" s="11"/>
      <c r="WSH180" s="12"/>
      <c r="WSQ180" s="11"/>
      <c r="WSR180" s="12"/>
      <c r="WTA180" s="11"/>
      <c r="WTB180" s="12"/>
      <c r="WTK180" s="11"/>
      <c r="WTL180" s="12"/>
      <c r="WTU180" s="11"/>
      <c r="WTV180" s="12"/>
      <c r="WUE180" s="11"/>
      <c r="WUF180" s="12"/>
      <c r="WUO180" s="11"/>
      <c r="WUP180" s="12"/>
      <c r="WUY180" s="11"/>
      <c r="WUZ180" s="12"/>
      <c r="WVI180" s="11"/>
      <c r="WVJ180" s="12"/>
      <c r="WVS180" s="11"/>
      <c r="WVT180" s="12"/>
      <c r="WWC180" s="11"/>
      <c r="WWD180" s="12"/>
      <c r="WWM180" s="11"/>
      <c r="WWN180" s="12"/>
      <c r="WWW180" s="11"/>
      <c r="WWX180" s="12"/>
      <c r="WXG180" s="11"/>
      <c r="WXH180" s="12"/>
      <c r="WXQ180" s="11"/>
      <c r="WXR180" s="12"/>
      <c r="WYA180" s="11"/>
      <c r="WYB180" s="12"/>
      <c r="WYK180" s="11"/>
      <c r="WYL180" s="12"/>
      <c r="WYU180" s="11"/>
      <c r="WYV180" s="12"/>
      <c r="WZE180" s="11"/>
      <c r="WZF180" s="12"/>
      <c r="WZO180" s="11"/>
      <c r="WZP180" s="12"/>
      <c r="WZY180" s="11"/>
      <c r="WZZ180" s="12"/>
      <c r="XAI180" s="11"/>
      <c r="XAJ180" s="12"/>
      <c r="XAS180" s="11"/>
      <c r="XAT180" s="12"/>
      <c r="XBC180" s="11"/>
      <c r="XBD180" s="12"/>
      <c r="XBM180" s="11"/>
      <c r="XBN180" s="12"/>
      <c r="XBW180" s="11"/>
      <c r="XBX180" s="12"/>
      <c r="XCG180" s="11"/>
      <c r="XCH180" s="12"/>
      <c r="XCQ180" s="11"/>
      <c r="XCR180" s="12"/>
      <c r="XDA180" s="11"/>
      <c r="XDB180" s="12"/>
      <c r="XDK180" s="11"/>
      <c r="XDL180" s="12"/>
      <c r="XDU180" s="11"/>
      <c r="XDV180" s="12"/>
      <c r="XEE180" s="11"/>
      <c r="XEF180" s="12"/>
      <c r="XEO180" s="11"/>
      <c r="XEP180" s="12"/>
      <c r="XEY180" s="11"/>
      <c r="XEZ180" s="12"/>
    </row>
    <row r="181" spans="1:1020 1029:2040 2049:3070 3079:4090 4099:5120 5129:6140 6149:7160 7169:8190 8199:9210 9219:10240 10249:11260 11269:12280 12289:13310 13319:14330 14339:15360 15369:16380" s="10" customFormat="1" ht="27.6" x14ac:dyDescent="0.3">
      <c r="A181"/>
      <c r="B181"/>
      <c r="C181"/>
      <c r="D181"/>
      <c r="E181"/>
      <c r="F181"/>
      <c r="G181"/>
      <c r="H181" s="32" t="s">
        <v>9</v>
      </c>
      <c r="I181" s="33" t="s">
        <v>10</v>
      </c>
      <c r="J181" s="34" t="s">
        <v>440</v>
      </c>
      <c r="K181" s="35" t="s">
        <v>0</v>
      </c>
      <c r="L181" s="33"/>
      <c r="M181" s="33"/>
      <c r="N181" s="36"/>
      <c r="O181" s="33">
        <v>3</v>
      </c>
      <c r="P181" s="33">
        <f>IF(Tabela1[[#This Row],[Status]]="✔️",Tabela1[[#This Row],[Peso]],IF(Tabela1[[#This Row],[Status]]="✔️✔️",Tabela1[[#This Row],[Peso]]/2,0))</f>
        <v>3</v>
      </c>
      <c r="Q18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1" s="33" t="s">
        <v>264</v>
      </c>
      <c r="S181" s="37" t="s">
        <v>263</v>
      </c>
      <c r="T181" s="12"/>
      <c r="AC181" s="11"/>
      <c r="AD181" s="12"/>
      <c r="AM181" s="11"/>
      <c r="AN181" s="12"/>
      <c r="AW181" s="11"/>
      <c r="AX181" s="12"/>
      <c r="BG181" s="11"/>
      <c r="BH181" s="12"/>
      <c r="BQ181" s="11"/>
      <c r="BR181" s="12"/>
      <c r="CA181" s="11"/>
      <c r="CB181" s="12"/>
      <c r="CK181" s="11"/>
      <c r="CL181" s="12"/>
      <c r="CU181" s="11"/>
      <c r="CV181" s="12"/>
      <c r="DE181" s="11"/>
      <c r="DF181" s="12"/>
      <c r="DO181" s="11"/>
      <c r="DP181" s="12"/>
      <c r="DY181" s="11"/>
      <c r="DZ181" s="12"/>
      <c r="EI181" s="11"/>
      <c r="EJ181" s="12"/>
      <c r="ES181" s="11"/>
      <c r="ET181" s="12"/>
      <c r="FC181" s="11"/>
      <c r="FD181" s="12"/>
      <c r="FM181" s="11"/>
      <c r="FN181" s="12"/>
      <c r="FW181" s="11"/>
      <c r="FX181" s="12"/>
      <c r="GG181" s="11"/>
      <c r="GH181" s="12"/>
      <c r="GQ181" s="11"/>
      <c r="GR181" s="12"/>
      <c r="HA181" s="11"/>
      <c r="HB181" s="12"/>
      <c r="HK181" s="11"/>
      <c r="HL181" s="12"/>
      <c r="HU181" s="11"/>
      <c r="HV181" s="12"/>
      <c r="IE181" s="11"/>
      <c r="IF181" s="12"/>
      <c r="IO181" s="11"/>
      <c r="IP181" s="12"/>
      <c r="IY181" s="11"/>
      <c r="IZ181" s="12"/>
      <c r="JI181" s="11"/>
      <c r="JJ181" s="12"/>
      <c r="JS181" s="11"/>
      <c r="JT181" s="12"/>
      <c r="KC181" s="11"/>
      <c r="KD181" s="12"/>
      <c r="KM181" s="11"/>
      <c r="KN181" s="12"/>
      <c r="KW181" s="11"/>
      <c r="KX181" s="12"/>
      <c r="LG181" s="11"/>
      <c r="LH181" s="12"/>
      <c r="LQ181" s="11"/>
      <c r="LR181" s="12"/>
      <c r="MA181" s="11"/>
      <c r="MB181" s="12"/>
      <c r="MK181" s="11"/>
      <c r="ML181" s="12"/>
      <c r="MU181" s="11"/>
      <c r="MV181" s="12"/>
      <c r="NE181" s="11"/>
      <c r="NF181" s="12"/>
      <c r="NO181" s="11"/>
      <c r="NP181" s="12"/>
      <c r="NY181" s="11"/>
      <c r="NZ181" s="12"/>
      <c r="OI181" s="11"/>
      <c r="OJ181" s="12"/>
      <c r="OS181" s="11"/>
      <c r="OT181" s="12"/>
      <c r="PC181" s="11"/>
      <c r="PD181" s="12"/>
      <c r="PM181" s="11"/>
      <c r="PN181" s="12"/>
      <c r="PW181" s="11"/>
      <c r="PX181" s="12"/>
      <c r="QG181" s="11"/>
      <c r="QH181" s="12"/>
      <c r="QQ181" s="11"/>
      <c r="QR181" s="12"/>
      <c r="RA181" s="11"/>
      <c r="RB181" s="12"/>
      <c r="RK181" s="11"/>
      <c r="RL181" s="12"/>
      <c r="RU181" s="11"/>
      <c r="RV181" s="12"/>
      <c r="SE181" s="11"/>
      <c r="SF181" s="12"/>
      <c r="SO181" s="11"/>
      <c r="SP181" s="12"/>
      <c r="SY181" s="11"/>
      <c r="SZ181" s="12"/>
      <c r="TI181" s="11"/>
      <c r="TJ181" s="12"/>
      <c r="TS181" s="11"/>
      <c r="TT181" s="12"/>
      <c r="UC181" s="11"/>
      <c r="UD181" s="12"/>
      <c r="UM181" s="11"/>
      <c r="UN181" s="12"/>
      <c r="UW181" s="11"/>
      <c r="UX181" s="12"/>
      <c r="VG181" s="11"/>
      <c r="VH181" s="12"/>
      <c r="VQ181" s="11"/>
      <c r="VR181" s="12"/>
      <c r="WA181" s="11"/>
      <c r="WB181" s="12"/>
      <c r="WK181" s="11"/>
      <c r="WL181" s="12"/>
      <c r="WU181" s="11"/>
      <c r="WV181" s="12"/>
      <c r="XE181" s="11"/>
      <c r="XF181" s="12"/>
      <c r="XO181" s="11"/>
      <c r="XP181" s="12"/>
      <c r="XY181" s="11"/>
      <c r="XZ181" s="12"/>
      <c r="YI181" s="11"/>
      <c r="YJ181" s="12"/>
      <c r="YS181" s="11"/>
      <c r="YT181" s="12"/>
      <c r="ZC181" s="11"/>
      <c r="ZD181" s="12"/>
      <c r="ZM181" s="11"/>
      <c r="ZN181" s="12"/>
      <c r="ZW181" s="11"/>
      <c r="ZX181" s="12"/>
      <c r="AAG181" s="11"/>
      <c r="AAH181" s="12"/>
      <c r="AAQ181" s="11"/>
      <c r="AAR181" s="12"/>
      <c r="ABA181" s="11"/>
      <c r="ABB181" s="12"/>
      <c r="ABK181" s="11"/>
      <c r="ABL181" s="12"/>
      <c r="ABU181" s="11"/>
      <c r="ABV181" s="12"/>
      <c r="ACE181" s="11"/>
      <c r="ACF181" s="12"/>
      <c r="ACO181" s="11"/>
      <c r="ACP181" s="12"/>
      <c r="ACY181" s="11"/>
      <c r="ACZ181" s="12"/>
      <c r="ADI181" s="11"/>
      <c r="ADJ181" s="12"/>
      <c r="ADS181" s="11"/>
      <c r="ADT181" s="12"/>
      <c r="AEC181" s="11"/>
      <c r="AED181" s="12"/>
      <c r="AEM181" s="11"/>
      <c r="AEN181" s="12"/>
      <c r="AEW181" s="11"/>
      <c r="AEX181" s="12"/>
      <c r="AFG181" s="11"/>
      <c r="AFH181" s="12"/>
      <c r="AFQ181" s="11"/>
      <c r="AFR181" s="12"/>
      <c r="AGA181" s="11"/>
      <c r="AGB181" s="12"/>
      <c r="AGK181" s="11"/>
      <c r="AGL181" s="12"/>
      <c r="AGU181" s="11"/>
      <c r="AGV181" s="12"/>
      <c r="AHE181" s="11"/>
      <c r="AHF181" s="12"/>
      <c r="AHO181" s="11"/>
      <c r="AHP181" s="12"/>
      <c r="AHY181" s="11"/>
      <c r="AHZ181" s="12"/>
      <c r="AII181" s="11"/>
      <c r="AIJ181" s="12"/>
      <c r="AIS181" s="11"/>
      <c r="AIT181" s="12"/>
      <c r="AJC181" s="11"/>
      <c r="AJD181" s="12"/>
      <c r="AJM181" s="11"/>
      <c r="AJN181" s="12"/>
      <c r="AJW181" s="11"/>
      <c r="AJX181" s="12"/>
      <c r="AKG181" s="11"/>
      <c r="AKH181" s="12"/>
      <c r="AKQ181" s="11"/>
      <c r="AKR181" s="12"/>
      <c r="ALA181" s="11"/>
      <c r="ALB181" s="12"/>
      <c r="ALK181" s="11"/>
      <c r="ALL181" s="12"/>
      <c r="ALU181" s="11"/>
      <c r="ALV181" s="12"/>
      <c r="AME181" s="11"/>
      <c r="AMF181" s="12"/>
      <c r="AMO181" s="11"/>
      <c r="AMP181" s="12"/>
      <c r="AMY181" s="11"/>
      <c r="AMZ181" s="12"/>
      <c r="ANI181" s="11"/>
      <c r="ANJ181" s="12"/>
      <c r="ANS181" s="11"/>
      <c r="ANT181" s="12"/>
      <c r="AOC181" s="11"/>
      <c r="AOD181" s="12"/>
      <c r="AOM181" s="11"/>
      <c r="AON181" s="12"/>
      <c r="AOW181" s="11"/>
      <c r="AOX181" s="12"/>
      <c r="APG181" s="11"/>
      <c r="APH181" s="12"/>
      <c r="APQ181" s="11"/>
      <c r="APR181" s="12"/>
      <c r="AQA181" s="11"/>
      <c r="AQB181" s="12"/>
      <c r="AQK181" s="11"/>
      <c r="AQL181" s="12"/>
      <c r="AQU181" s="11"/>
      <c r="AQV181" s="12"/>
      <c r="ARE181" s="11"/>
      <c r="ARF181" s="12"/>
      <c r="ARO181" s="11"/>
      <c r="ARP181" s="12"/>
      <c r="ARY181" s="11"/>
      <c r="ARZ181" s="12"/>
      <c r="ASI181" s="11"/>
      <c r="ASJ181" s="12"/>
      <c r="ASS181" s="11"/>
      <c r="AST181" s="12"/>
      <c r="ATC181" s="11"/>
      <c r="ATD181" s="12"/>
      <c r="ATM181" s="11"/>
      <c r="ATN181" s="12"/>
      <c r="ATW181" s="11"/>
      <c r="ATX181" s="12"/>
      <c r="AUG181" s="11"/>
      <c r="AUH181" s="12"/>
      <c r="AUQ181" s="11"/>
      <c r="AUR181" s="12"/>
      <c r="AVA181" s="11"/>
      <c r="AVB181" s="12"/>
      <c r="AVK181" s="11"/>
      <c r="AVL181" s="12"/>
      <c r="AVU181" s="11"/>
      <c r="AVV181" s="12"/>
      <c r="AWE181" s="11"/>
      <c r="AWF181" s="12"/>
      <c r="AWO181" s="11"/>
      <c r="AWP181" s="12"/>
      <c r="AWY181" s="11"/>
      <c r="AWZ181" s="12"/>
      <c r="AXI181" s="11"/>
      <c r="AXJ181" s="12"/>
      <c r="AXS181" s="11"/>
      <c r="AXT181" s="12"/>
      <c r="AYC181" s="11"/>
      <c r="AYD181" s="12"/>
      <c r="AYM181" s="11"/>
      <c r="AYN181" s="12"/>
      <c r="AYW181" s="11"/>
      <c r="AYX181" s="12"/>
      <c r="AZG181" s="11"/>
      <c r="AZH181" s="12"/>
      <c r="AZQ181" s="11"/>
      <c r="AZR181" s="12"/>
      <c r="BAA181" s="11"/>
      <c r="BAB181" s="12"/>
      <c r="BAK181" s="11"/>
      <c r="BAL181" s="12"/>
      <c r="BAU181" s="11"/>
      <c r="BAV181" s="12"/>
      <c r="BBE181" s="11"/>
      <c r="BBF181" s="12"/>
      <c r="BBO181" s="11"/>
      <c r="BBP181" s="12"/>
      <c r="BBY181" s="11"/>
      <c r="BBZ181" s="12"/>
      <c r="BCI181" s="11"/>
      <c r="BCJ181" s="12"/>
      <c r="BCS181" s="11"/>
      <c r="BCT181" s="12"/>
      <c r="BDC181" s="11"/>
      <c r="BDD181" s="12"/>
      <c r="BDM181" s="11"/>
      <c r="BDN181" s="12"/>
      <c r="BDW181" s="11"/>
      <c r="BDX181" s="12"/>
      <c r="BEG181" s="11"/>
      <c r="BEH181" s="12"/>
      <c r="BEQ181" s="11"/>
      <c r="BER181" s="12"/>
      <c r="BFA181" s="11"/>
      <c r="BFB181" s="12"/>
      <c r="BFK181" s="11"/>
      <c r="BFL181" s="12"/>
      <c r="BFU181" s="11"/>
      <c r="BFV181" s="12"/>
      <c r="BGE181" s="11"/>
      <c r="BGF181" s="12"/>
      <c r="BGO181" s="11"/>
      <c r="BGP181" s="12"/>
      <c r="BGY181" s="11"/>
      <c r="BGZ181" s="12"/>
      <c r="BHI181" s="11"/>
      <c r="BHJ181" s="12"/>
      <c r="BHS181" s="11"/>
      <c r="BHT181" s="12"/>
      <c r="BIC181" s="11"/>
      <c r="BID181" s="12"/>
      <c r="BIM181" s="11"/>
      <c r="BIN181" s="12"/>
      <c r="BIW181" s="11"/>
      <c r="BIX181" s="12"/>
      <c r="BJG181" s="11"/>
      <c r="BJH181" s="12"/>
      <c r="BJQ181" s="11"/>
      <c r="BJR181" s="12"/>
      <c r="BKA181" s="11"/>
      <c r="BKB181" s="12"/>
      <c r="BKK181" s="11"/>
      <c r="BKL181" s="12"/>
      <c r="BKU181" s="11"/>
      <c r="BKV181" s="12"/>
      <c r="BLE181" s="11"/>
      <c r="BLF181" s="12"/>
      <c r="BLO181" s="11"/>
      <c r="BLP181" s="12"/>
      <c r="BLY181" s="11"/>
      <c r="BLZ181" s="12"/>
      <c r="BMI181" s="11"/>
      <c r="BMJ181" s="12"/>
      <c r="BMS181" s="11"/>
      <c r="BMT181" s="12"/>
      <c r="BNC181" s="11"/>
      <c r="BND181" s="12"/>
      <c r="BNM181" s="11"/>
      <c r="BNN181" s="12"/>
      <c r="BNW181" s="11"/>
      <c r="BNX181" s="12"/>
      <c r="BOG181" s="11"/>
      <c r="BOH181" s="12"/>
      <c r="BOQ181" s="11"/>
      <c r="BOR181" s="12"/>
      <c r="BPA181" s="11"/>
      <c r="BPB181" s="12"/>
      <c r="BPK181" s="11"/>
      <c r="BPL181" s="12"/>
      <c r="BPU181" s="11"/>
      <c r="BPV181" s="12"/>
      <c r="BQE181" s="11"/>
      <c r="BQF181" s="12"/>
      <c r="BQO181" s="11"/>
      <c r="BQP181" s="12"/>
      <c r="BQY181" s="11"/>
      <c r="BQZ181" s="12"/>
      <c r="BRI181" s="11"/>
      <c r="BRJ181" s="12"/>
      <c r="BRS181" s="11"/>
      <c r="BRT181" s="12"/>
      <c r="BSC181" s="11"/>
      <c r="BSD181" s="12"/>
      <c r="BSM181" s="11"/>
      <c r="BSN181" s="12"/>
      <c r="BSW181" s="11"/>
      <c r="BSX181" s="12"/>
      <c r="BTG181" s="11"/>
      <c r="BTH181" s="12"/>
      <c r="BTQ181" s="11"/>
      <c r="BTR181" s="12"/>
      <c r="BUA181" s="11"/>
      <c r="BUB181" s="12"/>
      <c r="BUK181" s="11"/>
      <c r="BUL181" s="12"/>
      <c r="BUU181" s="11"/>
      <c r="BUV181" s="12"/>
      <c r="BVE181" s="11"/>
      <c r="BVF181" s="12"/>
      <c r="BVO181" s="11"/>
      <c r="BVP181" s="12"/>
      <c r="BVY181" s="11"/>
      <c r="BVZ181" s="12"/>
      <c r="BWI181" s="11"/>
      <c r="BWJ181" s="12"/>
      <c r="BWS181" s="11"/>
      <c r="BWT181" s="12"/>
      <c r="BXC181" s="11"/>
      <c r="BXD181" s="12"/>
      <c r="BXM181" s="11"/>
      <c r="BXN181" s="12"/>
      <c r="BXW181" s="11"/>
      <c r="BXX181" s="12"/>
      <c r="BYG181" s="11"/>
      <c r="BYH181" s="12"/>
      <c r="BYQ181" s="11"/>
      <c r="BYR181" s="12"/>
      <c r="BZA181" s="11"/>
      <c r="BZB181" s="12"/>
      <c r="BZK181" s="11"/>
      <c r="BZL181" s="12"/>
      <c r="BZU181" s="11"/>
      <c r="BZV181" s="12"/>
      <c r="CAE181" s="11"/>
      <c r="CAF181" s="12"/>
      <c r="CAO181" s="11"/>
      <c r="CAP181" s="12"/>
      <c r="CAY181" s="11"/>
      <c r="CAZ181" s="12"/>
      <c r="CBI181" s="11"/>
      <c r="CBJ181" s="12"/>
      <c r="CBS181" s="11"/>
      <c r="CBT181" s="12"/>
      <c r="CCC181" s="11"/>
      <c r="CCD181" s="12"/>
      <c r="CCM181" s="11"/>
      <c r="CCN181" s="12"/>
      <c r="CCW181" s="11"/>
      <c r="CCX181" s="12"/>
      <c r="CDG181" s="11"/>
      <c r="CDH181" s="12"/>
      <c r="CDQ181" s="11"/>
      <c r="CDR181" s="12"/>
      <c r="CEA181" s="11"/>
      <c r="CEB181" s="12"/>
      <c r="CEK181" s="11"/>
      <c r="CEL181" s="12"/>
      <c r="CEU181" s="11"/>
      <c r="CEV181" s="12"/>
      <c r="CFE181" s="11"/>
      <c r="CFF181" s="12"/>
      <c r="CFO181" s="11"/>
      <c r="CFP181" s="12"/>
      <c r="CFY181" s="11"/>
      <c r="CFZ181" s="12"/>
      <c r="CGI181" s="11"/>
      <c r="CGJ181" s="12"/>
      <c r="CGS181" s="11"/>
      <c r="CGT181" s="12"/>
      <c r="CHC181" s="11"/>
      <c r="CHD181" s="12"/>
      <c r="CHM181" s="11"/>
      <c r="CHN181" s="12"/>
      <c r="CHW181" s="11"/>
      <c r="CHX181" s="12"/>
      <c r="CIG181" s="11"/>
      <c r="CIH181" s="12"/>
      <c r="CIQ181" s="11"/>
      <c r="CIR181" s="12"/>
      <c r="CJA181" s="11"/>
      <c r="CJB181" s="12"/>
      <c r="CJK181" s="11"/>
      <c r="CJL181" s="12"/>
      <c r="CJU181" s="11"/>
      <c r="CJV181" s="12"/>
      <c r="CKE181" s="11"/>
      <c r="CKF181" s="12"/>
      <c r="CKO181" s="11"/>
      <c r="CKP181" s="12"/>
      <c r="CKY181" s="11"/>
      <c r="CKZ181" s="12"/>
      <c r="CLI181" s="11"/>
      <c r="CLJ181" s="12"/>
      <c r="CLS181" s="11"/>
      <c r="CLT181" s="12"/>
      <c r="CMC181" s="11"/>
      <c r="CMD181" s="12"/>
      <c r="CMM181" s="11"/>
      <c r="CMN181" s="12"/>
      <c r="CMW181" s="11"/>
      <c r="CMX181" s="12"/>
      <c r="CNG181" s="11"/>
      <c r="CNH181" s="12"/>
      <c r="CNQ181" s="11"/>
      <c r="CNR181" s="12"/>
      <c r="COA181" s="11"/>
      <c r="COB181" s="12"/>
      <c r="COK181" s="11"/>
      <c r="COL181" s="12"/>
      <c r="COU181" s="11"/>
      <c r="COV181" s="12"/>
      <c r="CPE181" s="11"/>
      <c r="CPF181" s="12"/>
      <c r="CPO181" s="11"/>
      <c r="CPP181" s="12"/>
      <c r="CPY181" s="11"/>
      <c r="CPZ181" s="12"/>
      <c r="CQI181" s="11"/>
      <c r="CQJ181" s="12"/>
      <c r="CQS181" s="11"/>
      <c r="CQT181" s="12"/>
      <c r="CRC181" s="11"/>
      <c r="CRD181" s="12"/>
      <c r="CRM181" s="11"/>
      <c r="CRN181" s="12"/>
      <c r="CRW181" s="11"/>
      <c r="CRX181" s="12"/>
      <c r="CSG181" s="11"/>
      <c r="CSH181" s="12"/>
      <c r="CSQ181" s="11"/>
      <c r="CSR181" s="12"/>
      <c r="CTA181" s="11"/>
      <c r="CTB181" s="12"/>
      <c r="CTK181" s="11"/>
      <c r="CTL181" s="12"/>
      <c r="CTU181" s="11"/>
      <c r="CTV181" s="12"/>
      <c r="CUE181" s="11"/>
      <c r="CUF181" s="12"/>
      <c r="CUO181" s="11"/>
      <c r="CUP181" s="12"/>
      <c r="CUY181" s="11"/>
      <c r="CUZ181" s="12"/>
      <c r="CVI181" s="11"/>
      <c r="CVJ181" s="12"/>
      <c r="CVS181" s="11"/>
      <c r="CVT181" s="12"/>
      <c r="CWC181" s="11"/>
      <c r="CWD181" s="12"/>
      <c r="CWM181" s="11"/>
      <c r="CWN181" s="12"/>
      <c r="CWW181" s="11"/>
      <c r="CWX181" s="12"/>
      <c r="CXG181" s="11"/>
      <c r="CXH181" s="12"/>
      <c r="CXQ181" s="11"/>
      <c r="CXR181" s="12"/>
      <c r="CYA181" s="11"/>
      <c r="CYB181" s="12"/>
      <c r="CYK181" s="11"/>
      <c r="CYL181" s="12"/>
      <c r="CYU181" s="11"/>
      <c r="CYV181" s="12"/>
      <c r="CZE181" s="11"/>
      <c r="CZF181" s="12"/>
      <c r="CZO181" s="11"/>
      <c r="CZP181" s="12"/>
      <c r="CZY181" s="11"/>
      <c r="CZZ181" s="12"/>
      <c r="DAI181" s="11"/>
      <c r="DAJ181" s="12"/>
      <c r="DAS181" s="11"/>
      <c r="DAT181" s="12"/>
      <c r="DBC181" s="11"/>
      <c r="DBD181" s="12"/>
      <c r="DBM181" s="11"/>
      <c r="DBN181" s="12"/>
      <c r="DBW181" s="11"/>
      <c r="DBX181" s="12"/>
      <c r="DCG181" s="11"/>
      <c r="DCH181" s="12"/>
      <c r="DCQ181" s="11"/>
      <c r="DCR181" s="12"/>
      <c r="DDA181" s="11"/>
      <c r="DDB181" s="12"/>
      <c r="DDK181" s="11"/>
      <c r="DDL181" s="12"/>
      <c r="DDU181" s="11"/>
      <c r="DDV181" s="12"/>
      <c r="DEE181" s="11"/>
      <c r="DEF181" s="12"/>
      <c r="DEO181" s="11"/>
      <c r="DEP181" s="12"/>
      <c r="DEY181" s="11"/>
      <c r="DEZ181" s="12"/>
      <c r="DFI181" s="11"/>
      <c r="DFJ181" s="12"/>
      <c r="DFS181" s="11"/>
      <c r="DFT181" s="12"/>
      <c r="DGC181" s="11"/>
      <c r="DGD181" s="12"/>
      <c r="DGM181" s="11"/>
      <c r="DGN181" s="12"/>
      <c r="DGW181" s="11"/>
      <c r="DGX181" s="12"/>
      <c r="DHG181" s="11"/>
      <c r="DHH181" s="12"/>
      <c r="DHQ181" s="11"/>
      <c r="DHR181" s="12"/>
      <c r="DIA181" s="11"/>
      <c r="DIB181" s="12"/>
      <c r="DIK181" s="11"/>
      <c r="DIL181" s="12"/>
      <c r="DIU181" s="11"/>
      <c r="DIV181" s="12"/>
      <c r="DJE181" s="11"/>
      <c r="DJF181" s="12"/>
      <c r="DJO181" s="11"/>
      <c r="DJP181" s="12"/>
      <c r="DJY181" s="11"/>
      <c r="DJZ181" s="12"/>
      <c r="DKI181" s="11"/>
      <c r="DKJ181" s="12"/>
      <c r="DKS181" s="11"/>
      <c r="DKT181" s="12"/>
      <c r="DLC181" s="11"/>
      <c r="DLD181" s="12"/>
      <c r="DLM181" s="11"/>
      <c r="DLN181" s="12"/>
      <c r="DLW181" s="11"/>
      <c r="DLX181" s="12"/>
      <c r="DMG181" s="11"/>
      <c r="DMH181" s="12"/>
      <c r="DMQ181" s="11"/>
      <c r="DMR181" s="12"/>
      <c r="DNA181" s="11"/>
      <c r="DNB181" s="12"/>
      <c r="DNK181" s="11"/>
      <c r="DNL181" s="12"/>
      <c r="DNU181" s="11"/>
      <c r="DNV181" s="12"/>
      <c r="DOE181" s="11"/>
      <c r="DOF181" s="12"/>
      <c r="DOO181" s="11"/>
      <c r="DOP181" s="12"/>
      <c r="DOY181" s="11"/>
      <c r="DOZ181" s="12"/>
      <c r="DPI181" s="11"/>
      <c r="DPJ181" s="12"/>
      <c r="DPS181" s="11"/>
      <c r="DPT181" s="12"/>
      <c r="DQC181" s="11"/>
      <c r="DQD181" s="12"/>
      <c r="DQM181" s="11"/>
      <c r="DQN181" s="12"/>
      <c r="DQW181" s="11"/>
      <c r="DQX181" s="12"/>
      <c r="DRG181" s="11"/>
      <c r="DRH181" s="12"/>
      <c r="DRQ181" s="11"/>
      <c r="DRR181" s="12"/>
      <c r="DSA181" s="11"/>
      <c r="DSB181" s="12"/>
      <c r="DSK181" s="11"/>
      <c r="DSL181" s="12"/>
      <c r="DSU181" s="11"/>
      <c r="DSV181" s="12"/>
      <c r="DTE181" s="11"/>
      <c r="DTF181" s="12"/>
      <c r="DTO181" s="11"/>
      <c r="DTP181" s="12"/>
      <c r="DTY181" s="11"/>
      <c r="DTZ181" s="12"/>
      <c r="DUI181" s="11"/>
      <c r="DUJ181" s="12"/>
      <c r="DUS181" s="11"/>
      <c r="DUT181" s="12"/>
      <c r="DVC181" s="11"/>
      <c r="DVD181" s="12"/>
      <c r="DVM181" s="11"/>
      <c r="DVN181" s="12"/>
      <c r="DVW181" s="11"/>
      <c r="DVX181" s="12"/>
      <c r="DWG181" s="11"/>
      <c r="DWH181" s="12"/>
      <c r="DWQ181" s="11"/>
      <c r="DWR181" s="12"/>
      <c r="DXA181" s="11"/>
      <c r="DXB181" s="12"/>
      <c r="DXK181" s="11"/>
      <c r="DXL181" s="12"/>
      <c r="DXU181" s="11"/>
      <c r="DXV181" s="12"/>
      <c r="DYE181" s="11"/>
      <c r="DYF181" s="12"/>
      <c r="DYO181" s="11"/>
      <c r="DYP181" s="12"/>
      <c r="DYY181" s="11"/>
      <c r="DYZ181" s="12"/>
      <c r="DZI181" s="11"/>
      <c r="DZJ181" s="12"/>
      <c r="DZS181" s="11"/>
      <c r="DZT181" s="12"/>
      <c r="EAC181" s="11"/>
      <c r="EAD181" s="12"/>
      <c r="EAM181" s="11"/>
      <c r="EAN181" s="12"/>
      <c r="EAW181" s="11"/>
      <c r="EAX181" s="12"/>
      <c r="EBG181" s="11"/>
      <c r="EBH181" s="12"/>
      <c r="EBQ181" s="11"/>
      <c r="EBR181" s="12"/>
      <c r="ECA181" s="11"/>
      <c r="ECB181" s="12"/>
      <c r="ECK181" s="11"/>
      <c r="ECL181" s="12"/>
      <c r="ECU181" s="11"/>
      <c r="ECV181" s="12"/>
      <c r="EDE181" s="11"/>
      <c r="EDF181" s="12"/>
      <c r="EDO181" s="11"/>
      <c r="EDP181" s="12"/>
      <c r="EDY181" s="11"/>
      <c r="EDZ181" s="12"/>
      <c r="EEI181" s="11"/>
      <c r="EEJ181" s="12"/>
      <c r="EES181" s="11"/>
      <c r="EET181" s="12"/>
      <c r="EFC181" s="11"/>
      <c r="EFD181" s="12"/>
      <c r="EFM181" s="11"/>
      <c r="EFN181" s="12"/>
      <c r="EFW181" s="11"/>
      <c r="EFX181" s="12"/>
      <c r="EGG181" s="11"/>
      <c r="EGH181" s="12"/>
      <c r="EGQ181" s="11"/>
      <c r="EGR181" s="12"/>
      <c r="EHA181" s="11"/>
      <c r="EHB181" s="12"/>
      <c r="EHK181" s="11"/>
      <c r="EHL181" s="12"/>
      <c r="EHU181" s="11"/>
      <c r="EHV181" s="12"/>
      <c r="EIE181" s="11"/>
      <c r="EIF181" s="12"/>
      <c r="EIO181" s="11"/>
      <c r="EIP181" s="12"/>
      <c r="EIY181" s="11"/>
      <c r="EIZ181" s="12"/>
      <c r="EJI181" s="11"/>
      <c r="EJJ181" s="12"/>
      <c r="EJS181" s="11"/>
      <c r="EJT181" s="12"/>
      <c r="EKC181" s="11"/>
      <c r="EKD181" s="12"/>
      <c r="EKM181" s="11"/>
      <c r="EKN181" s="12"/>
      <c r="EKW181" s="11"/>
      <c r="EKX181" s="12"/>
      <c r="ELG181" s="11"/>
      <c r="ELH181" s="12"/>
      <c r="ELQ181" s="11"/>
      <c r="ELR181" s="12"/>
      <c r="EMA181" s="11"/>
      <c r="EMB181" s="12"/>
      <c r="EMK181" s="11"/>
      <c r="EML181" s="12"/>
      <c r="EMU181" s="11"/>
      <c r="EMV181" s="12"/>
      <c r="ENE181" s="11"/>
      <c r="ENF181" s="12"/>
      <c r="ENO181" s="11"/>
      <c r="ENP181" s="12"/>
      <c r="ENY181" s="11"/>
      <c r="ENZ181" s="12"/>
      <c r="EOI181" s="11"/>
      <c r="EOJ181" s="12"/>
      <c r="EOS181" s="11"/>
      <c r="EOT181" s="12"/>
      <c r="EPC181" s="11"/>
      <c r="EPD181" s="12"/>
      <c r="EPM181" s="11"/>
      <c r="EPN181" s="12"/>
      <c r="EPW181" s="11"/>
      <c r="EPX181" s="12"/>
      <c r="EQG181" s="11"/>
      <c r="EQH181" s="12"/>
      <c r="EQQ181" s="11"/>
      <c r="EQR181" s="12"/>
      <c r="ERA181" s="11"/>
      <c r="ERB181" s="12"/>
      <c r="ERK181" s="11"/>
      <c r="ERL181" s="12"/>
      <c r="ERU181" s="11"/>
      <c r="ERV181" s="12"/>
      <c r="ESE181" s="11"/>
      <c r="ESF181" s="12"/>
      <c r="ESO181" s="11"/>
      <c r="ESP181" s="12"/>
      <c r="ESY181" s="11"/>
      <c r="ESZ181" s="12"/>
      <c r="ETI181" s="11"/>
      <c r="ETJ181" s="12"/>
      <c r="ETS181" s="11"/>
      <c r="ETT181" s="12"/>
      <c r="EUC181" s="11"/>
      <c r="EUD181" s="12"/>
      <c r="EUM181" s="11"/>
      <c r="EUN181" s="12"/>
      <c r="EUW181" s="11"/>
      <c r="EUX181" s="12"/>
      <c r="EVG181" s="11"/>
      <c r="EVH181" s="12"/>
      <c r="EVQ181" s="11"/>
      <c r="EVR181" s="12"/>
      <c r="EWA181" s="11"/>
      <c r="EWB181" s="12"/>
      <c r="EWK181" s="11"/>
      <c r="EWL181" s="12"/>
      <c r="EWU181" s="11"/>
      <c r="EWV181" s="12"/>
      <c r="EXE181" s="11"/>
      <c r="EXF181" s="12"/>
      <c r="EXO181" s="11"/>
      <c r="EXP181" s="12"/>
      <c r="EXY181" s="11"/>
      <c r="EXZ181" s="12"/>
      <c r="EYI181" s="11"/>
      <c r="EYJ181" s="12"/>
      <c r="EYS181" s="11"/>
      <c r="EYT181" s="12"/>
      <c r="EZC181" s="11"/>
      <c r="EZD181" s="12"/>
      <c r="EZM181" s="11"/>
      <c r="EZN181" s="12"/>
      <c r="EZW181" s="11"/>
      <c r="EZX181" s="12"/>
      <c r="FAG181" s="11"/>
      <c r="FAH181" s="12"/>
      <c r="FAQ181" s="11"/>
      <c r="FAR181" s="12"/>
      <c r="FBA181" s="11"/>
      <c r="FBB181" s="12"/>
      <c r="FBK181" s="11"/>
      <c r="FBL181" s="12"/>
      <c r="FBU181" s="11"/>
      <c r="FBV181" s="12"/>
      <c r="FCE181" s="11"/>
      <c r="FCF181" s="12"/>
      <c r="FCO181" s="11"/>
      <c r="FCP181" s="12"/>
      <c r="FCY181" s="11"/>
      <c r="FCZ181" s="12"/>
      <c r="FDI181" s="11"/>
      <c r="FDJ181" s="12"/>
      <c r="FDS181" s="11"/>
      <c r="FDT181" s="12"/>
      <c r="FEC181" s="11"/>
      <c r="FED181" s="12"/>
      <c r="FEM181" s="11"/>
      <c r="FEN181" s="12"/>
      <c r="FEW181" s="11"/>
      <c r="FEX181" s="12"/>
      <c r="FFG181" s="11"/>
      <c r="FFH181" s="12"/>
      <c r="FFQ181" s="11"/>
      <c r="FFR181" s="12"/>
      <c r="FGA181" s="11"/>
      <c r="FGB181" s="12"/>
      <c r="FGK181" s="11"/>
      <c r="FGL181" s="12"/>
      <c r="FGU181" s="11"/>
      <c r="FGV181" s="12"/>
      <c r="FHE181" s="11"/>
      <c r="FHF181" s="12"/>
      <c r="FHO181" s="11"/>
      <c r="FHP181" s="12"/>
      <c r="FHY181" s="11"/>
      <c r="FHZ181" s="12"/>
      <c r="FII181" s="11"/>
      <c r="FIJ181" s="12"/>
      <c r="FIS181" s="11"/>
      <c r="FIT181" s="12"/>
      <c r="FJC181" s="11"/>
      <c r="FJD181" s="12"/>
      <c r="FJM181" s="11"/>
      <c r="FJN181" s="12"/>
      <c r="FJW181" s="11"/>
      <c r="FJX181" s="12"/>
      <c r="FKG181" s="11"/>
      <c r="FKH181" s="12"/>
      <c r="FKQ181" s="11"/>
      <c r="FKR181" s="12"/>
      <c r="FLA181" s="11"/>
      <c r="FLB181" s="12"/>
      <c r="FLK181" s="11"/>
      <c r="FLL181" s="12"/>
      <c r="FLU181" s="11"/>
      <c r="FLV181" s="12"/>
      <c r="FME181" s="11"/>
      <c r="FMF181" s="12"/>
      <c r="FMO181" s="11"/>
      <c r="FMP181" s="12"/>
      <c r="FMY181" s="11"/>
      <c r="FMZ181" s="12"/>
      <c r="FNI181" s="11"/>
      <c r="FNJ181" s="12"/>
      <c r="FNS181" s="11"/>
      <c r="FNT181" s="12"/>
      <c r="FOC181" s="11"/>
      <c r="FOD181" s="12"/>
      <c r="FOM181" s="11"/>
      <c r="FON181" s="12"/>
      <c r="FOW181" s="11"/>
      <c r="FOX181" s="12"/>
      <c r="FPG181" s="11"/>
      <c r="FPH181" s="12"/>
      <c r="FPQ181" s="11"/>
      <c r="FPR181" s="12"/>
      <c r="FQA181" s="11"/>
      <c r="FQB181" s="12"/>
      <c r="FQK181" s="11"/>
      <c r="FQL181" s="12"/>
      <c r="FQU181" s="11"/>
      <c r="FQV181" s="12"/>
      <c r="FRE181" s="11"/>
      <c r="FRF181" s="12"/>
      <c r="FRO181" s="11"/>
      <c r="FRP181" s="12"/>
      <c r="FRY181" s="11"/>
      <c r="FRZ181" s="12"/>
      <c r="FSI181" s="11"/>
      <c r="FSJ181" s="12"/>
      <c r="FSS181" s="11"/>
      <c r="FST181" s="12"/>
      <c r="FTC181" s="11"/>
      <c r="FTD181" s="12"/>
      <c r="FTM181" s="11"/>
      <c r="FTN181" s="12"/>
      <c r="FTW181" s="11"/>
      <c r="FTX181" s="12"/>
      <c r="FUG181" s="11"/>
      <c r="FUH181" s="12"/>
      <c r="FUQ181" s="11"/>
      <c r="FUR181" s="12"/>
      <c r="FVA181" s="11"/>
      <c r="FVB181" s="12"/>
      <c r="FVK181" s="11"/>
      <c r="FVL181" s="12"/>
      <c r="FVU181" s="11"/>
      <c r="FVV181" s="12"/>
      <c r="FWE181" s="11"/>
      <c r="FWF181" s="12"/>
      <c r="FWO181" s="11"/>
      <c r="FWP181" s="12"/>
      <c r="FWY181" s="11"/>
      <c r="FWZ181" s="12"/>
      <c r="FXI181" s="11"/>
      <c r="FXJ181" s="12"/>
      <c r="FXS181" s="11"/>
      <c r="FXT181" s="12"/>
      <c r="FYC181" s="11"/>
      <c r="FYD181" s="12"/>
      <c r="FYM181" s="11"/>
      <c r="FYN181" s="12"/>
      <c r="FYW181" s="11"/>
      <c r="FYX181" s="12"/>
      <c r="FZG181" s="11"/>
      <c r="FZH181" s="12"/>
      <c r="FZQ181" s="11"/>
      <c r="FZR181" s="12"/>
      <c r="GAA181" s="11"/>
      <c r="GAB181" s="12"/>
      <c r="GAK181" s="11"/>
      <c r="GAL181" s="12"/>
      <c r="GAU181" s="11"/>
      <c r="GAV181" s="12"/>
      <c r="GBE181" s="11"/>
      <c r="GBF181" s="12"/>
      <c r="GBO181" s="11"/>
      <c r="GBP181" s="12"/>
      <c r="GBY181" s="11"/>
      <c r="GBZ181" s="12"/>
      <c r="GCI181" s="11"/>
      <c r="GCJ181" s="12"/>
      <c r="GCS181" s="11"/>
      <c r="GCT181" s="12"/>
      <c r="GDC181" s="11"/>
      <c r="GDD181" s="12"/>
      <c r="GDM181" s="11"/>
      <c r="GDN181" s="12"/>
      <c r="GDW181" s="11"/>
      <c r="GDX181" s="12"/>
      <c r="GEG181" s="11"/>
      <c r="GEH181" s="12"/>
      <c r="GEQ181" s="11"/>
      <c r="GER181" s="12"/>
      <c r="GFA181" s="11"/>
      <c r="GFB181" s="12"/>
      <c r="GFK181" s="11"/>
      <c r="GFL181" s="12"/>
      <c r="GFU181" s="11"/>
      <c r="GFV181" s="12"/>
      <c r="GGE181" s="11"/>
      <c r="GGF181" s="12"/>
      <c r="GGO181" s="11"/>
      <c r="GGP181" s="12"/>
      <c r="GGY181" s="11"/>
      <c r="GGZ181" s="12"/>
      <c r="GHI181" s="11"/>
      <c r="GHJ181" s="12"/>
      <c r="GHS181" s="11"/>
      <c r="GHT181" s="12"/>
      <c r="GIC181" s="11"/>
      <c r="GID181" s="12"/>
      <c r="GIM181" s="11"/>
      <c r="GIN181" s="12"/>
      <c r="GIW181" s="11"/>
      <c r="GIX181" s="12"/>
      <c r="GJG181" s="11"/>
      <c r="GJH181" s="12"/>
      <c r="GJQ181" s="11"/>
      <c r="GJR181" s="12"/>
      <c r="GKA181" s="11"/>
      <c r="GKB181" s="12"/>
      <c r="GKK181" s="11"/>
      <c r="GKL181" s="12"/>
      <c r="GKU181" s="11"/>
      <c r="GKV181" s="12"/>
      <c r="GLE181" s="11"/>
      <c r="GLF181" s="12"/>
      <c r="GLO181" s="11"/>
      <c r="GLP181" s="12"/>
      <c r="GLY181" s="11"/>
      <c r="GLZ181" s="12"/>
      <c r="GMI181" s="11"/>
      <c r="GMJ181" s="12"/>
      <c r="GMS181" s="11"/>
      <c r="GMT181" s="12"/>
      <c r="GNC181" s="11"/>
      <c r="GND181" s="12"/>
      <c r="GNM181" s="11"/>
      <c r="GNN181" s="12"/>
      <c r="GNW181" s="11"/>
      <c r="GNX181" s="12"/>
      <c r="GOG181" s="11"/>
      <c r="GOH181" s="12"/>
      <c r="GOQ181" s="11"/>
      <c r="GOR181" s="12"/>
      <c r="GPA181" s="11"/>
      <c r="GPB181" s="12"/>
      <c r="GPK181" s="11"/>
      <c r="GPL181" s="12"/>
      <c r="GPU181" s="11"/>
      <c r="GPV181" s="12"/>
      <c r="GQE181" s="11"/>
      <c r="GQF181" s="12"/>
      <c r="GQO181" s="11"/>
      <c r="GQP181" s="12"/>
      <c r="GQY181" s="11"/>
      <c r="GQZ181" s="12"/>
      <c r="GRI181" s="11"/>
      <c r="GRJ181" s="12"/>
      <c r="GRS181" s="11"/>
      <c r="GRT181" s="12"/>
      <c r="GSC181" s="11"/>
      <c r="GSD181" s="12"/>
      <c r="GSM181" s="11"/>
      <c r="GSN181" s="12"/>
      <c r="GSW181" s="11"/>
      <c r="GSX181" s="12"/>
      <c r="GTG181" s="11"/>
      <c r="GTH181" s="12"/>
      <c r="GTQ181" s="11"/>
      <c r="GTR181" s="12"/>
      <c r="GUA181" s="11"/>
      <c r="GUB181" s="12"/>
      <c r="GUK181" s="11"/>
      <c r="GUL181" s="12"/>
      <c r="GUU181" s="11"/>
      <c r="GUV181" s="12"/>
      <c r="GVE181" s="11"/>
      <c r="GVF181" s="12"/>
      <c r="GVO181" s="11"/>
      <c r="GVP181" s="12"/>
      <c r="GVY181" s="11"/>
      <c r="GVZ181" s="12"/>
      <c r="GWI181" s="11"/>
      <c r="GWJ181" s="12"/>
      <c r="GWS181" s="11"/>
      <c r="GWT181" s="12"/>
      <c r="GXC181" s="11"/>
      <c r="GXD181" s="12"/>
      <c r="GXM181" s="11"/>
      <c r="GXN181" s="12"/>
      <c r="GXW181" s="11"/>
      <c r="GXX181" s="12"/>
      <c r="GYG181" s="11"/>
      <c r="GYH181" s="12"/>
      <c r="GYQ181" s="11"/>
      <c r="GYR181" s="12"/>
      <c r="GZA181" s="11"/>
      <c r="GZB181" s="12"/>
      <c r="GZK181" s="11"/>
      <c r="GZL181" s="12"/>
      <c r="GZU181" s="11"/>
      <c r="GZV181" s="12"/>
      <c r="HAE181" s="11"/>
      <c r="HAF181" s="12"/>
      <c r="HAO181" s="11"/>
      <c r="HAP181" s="12"/>
      <c r="HAY181" s="11"/>
      <c r="HAZ181" s="12"/>
      <c r="HBI181" s="11"/>
      <c r="HBJ181" s="12"/>
      <c r="HBS181" s="11"/>
      <c r="HBT181" s="12"/>
      <c r="HCC181" s="11"/>
      <c r="HCD181" s="12"/>
      <c r="HCM181" s="11"/>
      <c r="HCN181" s="12"/>
      <c r="HCW181" s="11"/>
      <c r="HCX181" s="12"/>
      <c r="HDG181" s="11"/>
      <c r="HDH181" s="12"/>
      <c r="HDQ181" s="11"/>
      <c r="HDR181" s="12"/>
      <c r="HEA181" s="11"/>
      <c r="HEB181" s="12"/>
      <c r="HEK181" s="11"/>
      <c r="HEL181" s="12"/>
      <c r="HEU181" s="11"/>
      <c r="HEV181" s="12"/>
      <c r="HFE181" s="11"/>
      <c r="HFF181" s="12"/>
      <c r="HFO181" s="11"/>
      <c r="HFP181" s="12"/>
      <c r="HFY181" s="11"/>
      <c r="HFZ181" s="12"/>
      <c r="HGI181" s="11"/>
      <c r="HGJ181" s="12"/>
      <c r="HGS181" s="11"/>
      <c r="HGT181" s="12"/>
      <c r="HHC181" s="11"/>
      <c r="HHD181" s="12"/>
      <c r="HHM181" s="11"/>
      <c r="HHN181" s="12"/>
      <c r="HHW181" s="11"/>
      <c r="HHX181" s="12"/>
      <c r="HIG181" s="11"/>
      <c r="HIH181" s="12"/>
      <c r="HIQ181" s="11"/>
      <c r="HIR181" s="12"/>
      <c r="HJA181" s="11"/>
      <c r="HJB181" s="12"/>
      <c r="HJK181" s="11"/>
      <c r="HJL181" s="12"/>
      <c r="HJU181" s="11"/>
      <c r="HJV181" s="12"/>
      <c r="HKE181" s="11"/>
      <c r="HKF181" s="12"/>
      <c r="HKO181" s="11"/>
      <c r="HKP181" s="12"/>
      <c r="HKY181" s="11"/>
      <c r="HKZ181" s="12"/>
      <c r="HLI181" s="11"/>
      <c r="HLJ181" s="12"/>
      <c r="HLS181" s="11"/>
      <c r="HLT181" s="12"/>
      <c r="HMC181" s="11"/>
      <c r="HMD181" s="12"/>
      <c r="HMM181" s="11"/>
      <c r="HMN181" s="12"/>
      <c r="HMW181" s="11"/>
      <c r="HMX181" s="12"/>
      <c r="HNG181" s="11"/>
      <c r="HNH181" s="12"/>
      <c r="HNQ181" s="11"/>
      <c r="HNR181" s="12"/>
      <c r="HOA181" s="11"/>
      <c r="HOB181" s="12"/>
      <c r="HOK181" s="11"/>
      <c r="HOL181" s="12"/>
      <c r="HOU181" s="11"/>
      <c r="HOV181" s="12"/>
      <c r="HPE181" s="11"/>
      <c r="HPF181" s="12"/>
      <c r="HPO181" s="11"/>
      <c r="HPP181" s="12"/>
      <c r="HPY181" s="11"/>
      <c r="HPZ181" s="12"/>
      <c r="HQI181" s="11"/>
      <c r="HQJ181" s="12"/>
      <c r="HQS181" s="11"/>
      <c r="HQT181" s="12"/>
      <c r="HRC181" s="11"/>
      <c r="HRD181" s="12"/>
      <c r="HRM181" s="11"/>
      <c r="HRN181" s="12"/>
      <c r="HRW181" s="11"/>
      <c r="HRX181" s="12"/>
      <c r="HSG181" s="11"/>
      <c r="HSH181" s="12"/>
      <c r="HSQ181" s="11"/>
      <c r="HSR181" s="12"/>
      <c r="HTA181" s="11"/>
      <c r="HTB181" s="12"/>
      <c r="HTK181" s="11"/>
      <c r="HTL181" s="12"/>
      <c r="HTU181" s="11"/>
      <c r="HTV181" s="12"/>
      <c r="HUE181" s="11"/>
      <c r="HUF181" s="12"/>
      <c r="HUO181" s="11"/>
      <c r="HUP181" s="12"/>
      <c r="HUY181" s="11"/>
      <c r="HUZ181" s="12"/>
      <c r="HVI181" s="11"/>
      <c r="HVJ181" s="12"/>
      <c r="HVS181" s="11"/>
      <c r="HVT181" s="12"/>
      <c r="HWC181" s="11"/>
      <c r="HWD181" s="12"/>
      <c r="HWM181" s="11"/>
      <c r="HWN181" s="12"/>
      <c r="HWW181" s="11"/>
      <c r="HWX181" s="12"/>
      <c r="HXG181" s="11"/>
      <c r="HXH181" s="12"/>
      <c r="HXQ181" s="11"/>
      <c r="HXR181" s="12"/>
      <c r="HYA181" s="11"/>
      <c r="HYB181" s="12"/>
      <c r="HYK181" s="11"/>
      <c r="HYL181" s="12"/>
      <c r="HYU181" s="11"/>
      <c r="HYV181" s="12"/>
      <c r="HZE181" s="11"/>
      <c r="HZF181" s="12"/>
      <c r="HZO181" s="11"/>
      <c r="HZP181" s="12"/>
      <c r="HZY181" s="11"/>
      <c r="HZZ181" s="12"/>
      <c r="IAI181" s="11"/>
      <c r="IAJ181" s="12"/>
      <c r="IAS181" s="11"/>
      <c r="IAT181" s="12"/>
      <c r="IBC181" s="11"/>
      <c r="IBD181" s="12"/>
      <c r="IBM181" s="11"/>
      <c r="IBN181" s="12"/>
      <c r="IBW181" s="11"/>
      <c r="IBX181" s="12"/>
      <c r="ICG181" s="11"/>
      <c r="ICH181" s="12"/>
      <c r="ICQ181" s="11"/>
      <c r="ICR181" s="12"/>
      <c r="IDA181" s="11"/>
      <c r="IDB181" s="12"/>
      <c r="IDK181" s="11"/>
      <c r="IDL181" s="12"/>
      <c r="IDU181" s="11"/>
      <c r="IDV181" s="12"/>
      <c r="IEE181" s="11"/>
      <c r="IEF181" s="12"/>
      <c r="IEO181" s="11"/>
      <c r="IEP181" s="12"/>
      <c r="IEY181" s="11"/>
      <c r="IEZ181" s="12"/>
      <c r="IFI181" s="11"/>
      <c r="IFJ181" s="12"/>
      <c r="IFS181" s="11"/>
      <c r="IFT181" s="12"/>
      <c r="IGC181" s="11"/>
      <c r="IGD181" s="12"/>
      <c r="IGM181" s="11"/>
      <c r="IGN181" s="12"/>
      <c r="IGW181" s="11"/>
      <c r="IGX181" s="12"/>
      <c r="IHG181" s="11"/>
      <c r="IHH181" s="12"/>
      <c r="IHQ181" s="11"/>
      <c r="IHR181" s="12"/>
      <c r="IIA181" s="11"/>
      <c r="IIB181" s="12"/>
      <c r="IIK181" s="11"/>
      <c r="IIL181" s="12"/>
      <c r="IIU181" s="11"/>
      <c r="IIV181" s="12"/>
      <c r="IJE181" s="11"/>
      <c r="IJF181" s="12"/>
      <c r="IJO181" s="11"/>
      <c r="IJP181" s="12"/>
      <c r="IJY181" s="11"/>
      <c r="IJZ181" s="12"/>
      <c r="IKI181" s="11"/>
      <c r="IKJ181" s="12"/>
      <c r="IKS181" s="11"/>
      <c r="IKT181" s="12"/>
      <c r="ILC181" s="11"/>
      <c r="ILD181" s="12"/>
      <c r="ILM181" s="11"/>
      <c r="ILN181" s="12"/>
      <c r="ILW181" s="11"/>
      <c r="ILX181" s="12"/>
      <c r="IMG181" s="11"/>
      <c r="IMH181" s="12"/>
      <c r="IMQ181" s="11"/>
      <c r="IMR181" s="12"/>
      <c r="INA181" s="11"/>
      <c r="INB181" s="12"/>
      <c r="INK181" s="11"/>
      <c r="INL181" s="12"/>
      <c r="INU181" s="11"/>
      <c r="INV181" s="12"/>
      <c r="IOE181" s="11"/>
      <c r="IOF181" s="12"/>
      <c r="IOO181" s="11"/>
      <c r="IOP181" s="12"/>
      <c r="IOY181" s="11"/>
      <c r="IOZ181" s="12"/>
      <c r="IPI181" s="11"/>
      <c r="IPJ181" s="12"/>
      <c r="IPS181" s="11"/>
      <c r="IPT181" s="12"/>
      <c r="IQC181" s="11"/>
      <c r="IQD181" s="12"/>
      <c r="IQM181" s="11"/>
      <c r="IQN181" s="12"/>
      <c r="IQW181" s="11"/>
      <c r="IQX181" s="12"/>
      <c r="IRG181" s="11"/>
      <c r="IRH181" s="12"/>
      <c r="IRQ181" s="11"/>
      <c r="IRR181" s="12"/>
      <c r="ISA181" s="11"/>
      <c r="ISB181" s="12"/>
      <c r="ISK181" s="11"/>
      <c r="ISL181" s="12"/>
      <c r="ISU181" s="11"/>
      <c r="ISV181" s="12"/>
      <c r="ITE181" s="11"/>
      <c r="ITF181" s="12"/>
      <c r="ITO181" s="11"/>
      <c r="ITP181" s="12"/>
      <c r="ITY181" s="11"/>
      <c r="ITZ181" s="12"/>
      <c r="IUI181" s="11"/>
      <c r="IUJ181" s="12"/>
      <c r="IUS181" s="11"/>
      <c r="IUT181" s="12"/>
      <c r="IVC181" s="11"/>
      <c r="IVD181" s="12"/>
      <c r="IVM181" s="11"/>
      <c r="IVN181" s="12"/>
      <c r="IVW181" s="11"/>
      <c r="IVX181" s="12"/>
      <c r="IWG181" s="11"/>
      <c r="IWH181" s="12"/>
      <c r="IWQ181" s="11"/>
      <c r="IWR181" s="12"/>
      <c r="IXA181" s="11"/>
      <c r="IXB181" s="12"/>
      <c r="IXK181" s="11"/>
      <c r="IXL181" s="12"/>
      <c r="IXU181" s="11"/>
      <c r="IXV181" s="12"/>
      <c r="IYE181" s="11"/>
      <c r="IYF181" s="12"/>
      <c r="IYO181" s="11"/>
      <c r="IYP181" s="12"/>
      <c r="IYY181" s="11"/>
      <c r="IYZ181" s="12"/>
      <c r="IZI181" s="11"/>
      <c r="IZJ181" s="12"/>
      <c r="IZS181" s="11"/>
      <c r="IZT181" s="12"/>
      <c r="JAC181" s="11"/>
      <c r="JAD181" s="12"/>
      <c r="JAM181" s="11"/>
      <c r="JAN181" s="12"/>
      <c r="JAW181" s="11"/>
      <c r="JAX181" s="12"/>
      <c r="JBG181" s="11"/>
      <c r="JBH181" s="12"/>
      <c r="JBQ181" s="11"/>
      <c r="JBR181" s="12"/>
      <c r="JCA181" s="11"/>
      <c r="JCB181" s="12"/>
      <c r="JCK181" s="11"/>
      <c r="JCL181" s="12"/>
      <c r="JCU181" s="11"/>
      <c r="JCV181" s="12"/>
      <c r="JDE181" s="11"/>
      <c r="JDF181" s="12"/>
      <c r="JDO181" s="11"/>
      <c r="JDP181" s="12"/>
      <c r="JDY181" s="11"/>
      <c r="JDZ181" s="12"/>
      <c r="JEI181" s="11"/>
      <c r="JEJ181" s="12"/>
      <c r="JES181" s="11"/>
      <c r="JET181" s="12"/>
      <c r="JFC181" s="11"/>
      <c r="JFD181" s="12"/>
      <c r="JFM181" s="11"/>
      <c r="JFN181" s="12"/>
      <c r="JFW181" s="11"/>
      <c r="JFX181" s="12"/>
      <c r="JGG181" s="11"/>
      <c r="JGH181" s="12"/>
      <c r="JGQ181" s="11"/>
      <c r="JGR181" s="12"/>
      <c r="JHA181" s="11"/>
      <c r="JHB181" s="12"/>
      <c r="JHK181" s="11"/>
      <c r="JHL181" s="12"/>
      <c r="JHU181" s="11"/>
      <c r="JHV181" s="12"/>
      <c r="JIE181" s="11"/>
      <c r="JIF181" s="12"/>
      <c r="JIO181" s="11"/>
      <c r="JIP181" s="12"/>
      <c r="JIY181" s="11"/>
      <c r="JIZ181" s="12"/>
      <c r="JJI181" s="11"/>
      <c r="JJJ181" s="12"/>
      <c r="JJS181" s="11"/>
      <c r="JJT181" s="12"/>
      <c r="JKC181" s="11"/>
      <c r="JKD181" s="12"/>
      <c r="JKM181" s="11"/>
      <c r="JKN181" s="12"/>
      <c r="JKW181" s="11"/>
      <c r="JKX181" s="12"/>
      <c r="JLG181" s="11"/>
      <c r="JLH181" s="12"/>
      <c r="JLQ181" s="11"/>
      <c r="JLR181" s="12"/>
      <c r="JMA181" s="11"/>
      <c r="JMB181" s="12"/>
      <c r="JMK181" s="11"/>
      <c r="JML181" s="12"/>
      <c r="JMU181" s="11"/>
      <c r="JMV181" s="12"/>
      <c r="JNE181" s="11"/>
      <c r="JNF181" s="12"/>
      <c r="JNO181" s="11"/>
      <c r="JNP181" s="12"/>
      <c r="JNY181" s="11"/>
      <c r="JNZ181" s="12"/>
      <c r="JOI181" s="11"/>
      <c r="JOJ181" s="12"/>
      <c r="JOS181" s="11"/>
      <c r="JOT181" s="12"/>
      <c r="JPC181" s="11"/>
      <c r="JPD181" s="12"/>
      <c r="JPM181" s="11"/>
      <c r="JPN181" s="12"/>
      <c r="JPW181" s="11"/>
      <c r="JPX181" s="12"/>
      <c r="JQG181" s="11"/>
      <c r="JQH181" s="12"/>
      <c r="JQQ181" s="11"/>
      <c r="JQR181" s="12"/>
      <c r="JRA181" s="11"/>
      <c r="JRB181" s="12"/>
      <c r="JRK181" s="11"/>
      <c r="JRL181" s="12"/>
      <c r="JRU181" s="11"/>
      <c r="JRV181" s="12"/>
      <c r="JSE181" s="11"/>
      <c r="JSF181" s="12"/>
      <c r="JSO181" s="11"/>
      <c r="JSP181" s="12"/>
      <c r="JSY181" s="11"/>
      <c r="JSZ181" s="12"/>
      <c r="JTI181" s="11"/>
      <c r="JTJ181" s="12"/>
      <c r="JTS181" s="11"/>
      <c r="JTT181" s="12"/>
      <c r="JUC181" s="11"/>
      <c r="JUD181" s="12"/>
      <c r="JUM181" s="11"/>
      <c r="JUN181" s="12"/>
      <c r="JUW181" s="11"/>
      <c r="JUX181" s="12"/>
      <c r="JVG181" s="11"/>
      <c r="JVH181" s="12"/>
      <c r="JVQ181" s="11"/>
      <c r="JVR181" s="12"/>
      <c r="JWA181" s="11"/>
      <c r="JWB181" s="12"/>
      <c r="JWK181" s="11"/>
      <c r="JWL181" s="12"/>
      <c r="JWU181" s="11"/>
      <c r="JWV181" s="12"/>
      <c r="JXE181" s="11"/>
      <c r="JXF181" s="12"/>
      <c r="JXO181" s="11"/>
      <c r="JXP181" s="12"/>
      <c r="JXY181" s="11"/>
      <c r="JXZ181" s="12"/>
      <c r="JYI181" s="11"/>
      <c r="JYJ181" s="12"/>
      <c r="JYS181" s="11"/>
      <c r="JYT181" s="12"/>
      <c r="JZC181" s="11"/>
      <c r="JZD181" s="12"/>
      <c r="JZM181" s="11"/>
      <c r="JZN181" s="12"/>
      <c r="JZW181" s="11"/>
      <c r="JZX181" s="12"/>
      <c r="KAG181" s="11"/>
      <c r="KAH181" s="12"/>
      <c r="KAQ181" s="11"/>
      <c r="KAR181" s="12"/>
      <c r="KBA181" s="11"/>
      <c r="KBB181" s="12"/>
      <c r="KBK181" s="11"/>
      <c r="KBL181" s="12"/>
      <c r="KBU181" s="11"/>
      <c r="KBV181" s="12"/>
      <c r="KCE181" s="11"/>
      <c r="KCF181" s="12"/>
      <c r="KCO181" s="11"/>
      <c r="KCP181" s="12"/>
      <c r="KCY181" s="11"/>
      <c r="KCZ181" s="12"/>
      <c r="KDI181" s="11"/>
      <c r="KDJ181" s="12"/>
      <c r="KDS181" s="11"/>
      <c r="KDT181" s="12"/>
      <c r="KEC181" s="11"/>
      <c r="KED181" s="12"/>
      <c r="KEM181" s="11"/>
      <c r="KEN181" s="12"/>
      <c r="KEW181" s="11"/>
      <c r="KEX181" s="12"/>
      <c r="KFG181" s="11"/>
      <c r="KFH181" s="12"/>
      <c r="KFQ181" s="11"/>
      <c r="KFR181" s="12"/>
      <c r="KGA181" s="11"/>
      <c r="KGB181" s="12"/>
      <c r="KGK181" s="11"/>
      <c r="KGL181" s="12"/>
      <c r="KGU181" s="11"/>
      <c r="KGV181" s="12"/>
      <c r="KHE181" s="11"/>
      <c r="KHF181" s="12"/>
      <c r="KHO181" s="11"/>
      <c r="KHP181" s="12"/>
      <c r="KHY181" s="11"/>
      <c r="KHZ181" s="12"/>
      <c r="KII181" s="11"/>
      <c r="KIJ181" s="12"/>
      <c r="KIS181" s="11"/>
      <c r="KIT181" s="12"/>
      <c r="KJC181" s="11"/>
      <c r="KJD181" s="12"/>
      <c r="KJM181" s="11"/>
      <c r="KJN181" s="12"/>
      <c r="KJW181" s="11"/>
      <c r="KJX181" s="12"/>
      <c r="KKG181" s="11"/>
      <c r="KKH181" s="12"/>
      <c r="KKQ181" s="11"/>
      <c r="KKR181" s="12"/>
      <c r="KLA181" s="11"/>
      <c r="KLB181" s="12"/>
      <c r="KLK181" s="11"/>
      <c r="KLL181" s="12"/>
      <c r="KLU181" s="11"/>
      <c r="KLV181" s="12"/>
      <c r="KME181" s="11"/>
      <c r="KMF181" s="12"/>
      <c r="KMO181" s="11"/>
      <c r="KMP181" s="12"/>
      <c r="KMY181" s="11"/>
      <c r="KMZ181" s="12"/>
      <c r="KNI181" s="11"/>
      <c r="KNJ181" s="12"/>
      <c r="KNS181" s="11"/>
      <c r="KNT181" s="12"/>
      <c r="KOC181" s="11"/>
      <c r="KOD181" s="12"/>
      <c r="KOM181" s="11"/>
      <c r="KON181" s="12"/>
      <c r="KOW181" s="11"/>
      <c r="KOX181" s="12"/>
      <c r="KPG181" s="11"/>
      <c r="KPH181" s="12"/>
      <c r="KPQ181" s="11"/>
      <c r="KPR181" s="12"/>
      <c r="KQA181" s="11"/>
      <c r="KQB181" s="12"/>
      <c r="KQK181" s="11"/>
      <c r="KQL181" s="12"/>
      <c r="KQU181" s="11"/>
      <c r="KQV181" s="12"/>
      <c r="KRE181" s="11"/>
      <c r="KRF181" s="12"/>
      <c r="KRO181" s="11"/>
      <c r="KRP181" s="12"/>
      <c r="KRY181" s="11"/>
      <c r="KRZ181" s="12"/>
      <c r="KSI181" s="11"/>
      <c r="KSJ181" s="12"/>
      <c r="KSS181" s="11"/>
      <c r="KST181" s="12"/>
      <c r="KTC181" s="11"/>
      <c r="KTD181" s="12"/>
      <c r="KTM181" s="11"/>
      <c r="KTN181" s="12"/>
      <c r="KTW181" s="11"/>
      <c r="KTX181" s="12"/>
      <c r="KUG181" s="11"/>
      <c r="KUH181" s="12"/>
      <c r="KUQ181" s="11"/>
      <c r="KUR181" s="12"/>
      <c r="KVA181" s="11"/>
      <c r="KVB181" s="12"/>
      <c r="KVK181" s="11"/>
      <c r="KVL181" s="12"/>
      <c r="KVU181" s="11"/>
      <c r="KVV181" s="12"/>
      <c r="KWE181" s="11"/>
      <c r="KWF181" s="12"/>
      <c r="KWO181" s="11"/>
      <c r="KWP181" s="12"/>
      <c r="KWY181" s="11"/>
      <c r="KWZ181" s="12"/>
      <c r="KXI181" s="11"/>
      <c r="KXJ181" s="12"/>
      <c r="KXS181" s="11"/>
      <c r="KXT181" s="12"/>
      <c r="KYC181" s="11"/>
      <c r="KYD181" s="12"/>
      <c r="KYM181" s="11"/>
      <c r="KYN181" s="12"/>
      <c r="KYW181" s="11"/>
      <c r="KYX181" s="12"/>
      <c r="KZG181" s="11"/>
      <c r="KZH181" s="12"/>
      <c r="KZQ181" s="11"/>
      <c r="KZR181" s="12"/>
      <c r="LAA181" s="11"/>
      <c r="LAB181" s="12"/>
      <c r="LAK181" s="11"/>
      <c r="LAL181" s="12"/>
      <c r="LAU181" s="11"/>
      <c r="LAV181" s="12"/>
      <c r="LBE181" s="11"/>
      <c r="LBF181" s="12"/>
      <c r="LBO181" s="11"/>
      <c r="LBP181" s="12"/>
      <c r="LBY181" s="11"/>
      <c r="LBZ181" s="12"/>
      <c r="LCI181" s="11"/>
      <c r="LCJ181" s="12"/>
      <c r="LCS181" s="11"/>
      <c r="LCT181" s="12"/>
      <c r="LDC181" s="11"/>
      <c r="LDD181" s="12"/>
      <c r="LDM181" s="11"/>
      <c r="LDN181" s="12"/>
      <c r="LDW181" s="11"/>
      <c r="LDX181" s="12"/>
      <c r="LEG181" s="11"/>
      <c r="LEH181" s="12"/>
      <c r="LEQ181" s="11"/>
      <c r="LER181" s="12"/>
      <c r="LFA181" s="11"/>
      <c r="LFB181" s="12"/>
      <c r="LFK181" s="11"/>
      <c r="LFL181" s="12"/>
      <c r="LFU181" s="11"/>
      <c r="LFV181" s="12"/>
      <c r="LGE181" s="11"/>
      <c r="LGF181" s="12"/>
      <c r="LGO181" s="11"/>
      <c r="LGP181" s="12"/>
      <c r="LGY181" s="11"/>
      <c r="LGZ181" s="12"/>
      <c r="LHI181" s="11"/>
      <c r="LHJ181" s="12"/>
      <c r="LHS181" s="11"/>
      <c r="LHT181" s="12"/>
      <c r="LIC181" s="11"/>
      <c r="LID181" s="12"/>
      <c r="LIM181" s="11"/>
      <c r="LIN181" s="12"/>
      <c r="LIW181" s="11"/>
      <c r="LIX181" s="12"/>
      <c r="LJG181" s="11"/>
      <c r="LJH181" s="12"/>
      <c r="LJQ181" s="11"/>
      <c r="LJR181" s="12"/>
      <c r="LKA181" s="11"/>
      <c r="LKB181" s="12"/>
      <c r="LKK181" s="11"/>
      <c r="LKL181" s="12"/>
      <c r="LKU181" s="11"/>
      <c r="LKV181" s="12"/>
      <c r="LLE181" s="11"/>
      <c r="LLF181" s="12"/>
      <c r="LLO181" s="11"/>
      <c r="LLP181" s="12"/>
      <c r="LLY181" s="11"/>
      <c r="LLZ181" s="12"/>
      <c r="LMI181" s="11"/>
      <c r="LMJ181" s="12"/>
      <c r="LMS181" s="11"/>
      <c r="LMT181" s="12"/>
      <c r="LNC181" s="11"/>
      <c r="LND181" s="12"/>
      <c r="LNM181" s="11"/>
      <c r="LNN181" s="12"/>
      <c r="LNW181" s="11"/>
      <c r="LNX181" s="12"/>
      <c r="LOG181" s="11"/>
      <c r="LOH181" s="12"/>
      <c r="LOQ181" s="11"/>
      <c r="LOR181" s="12"/>
      <c r="LPA181" s="11"/>
      <c r="LPB181" s="12"/>
      <c r="LPK181" s="11"/>
      <c r="LPL181" s="12"/>
      <c r="LPU181" s="11"/>
      <c r="LPV181" s="12"/>
      <c r="LQE181" s="11"/>
      <c r="LQF181" s="12"/>
      <c r="LQO181" s="11"/>
      <c r="LQP181" s="12"/>
      <c r="LQY181" s="11"/>
      <c r="LQZ181" s="12"/>
      <c r="LRI181" s="11"/>
      <c r="LRJ181" s="12"/>
      <c r="LRS181" s="11"/>
      <c r="LRT181" s="12"/>
      <c r="LSC181" s="11"/>
      <c r="LSD181" s="12"/>
      <c r="LSM181" s="11"/>
      <c r="LSN181" s="12"/>
      <c r="LSW181" s="11"/>
      <c r="LSX181" s="12"/>
      <c r="LTG181" s="11"/>
      <c r="LTH181" s="12"/>
      <c r="LTQ181" s="11"/>
      <c r="LTR181" s="12"/>
      <c r="LUA181" s="11"/>
      <c r="LUB181" s="12"/>
      <c r="LUK181" s="11"/>
      <c r="LUL181" s="12"/>
      <c r="LUU181" s="11"/>
      <c r="LUV181" s="12"/>
      <c r="LVE181" s="11"/>
      <c r="LVF181" s="12"/>
      <c r="LVO181" s="11"/>
      <c r="LVP181" s="12"/>
      <c r="LVY181" s="11"/>
      <c r="LVZ181" s="12"/>
      <c r="LWI181" s="11"/>
      <c r="LWJ181" s="12"/>
      <c r="LWS181" s="11"/>
      <c r="LWT181" s="12"/>
      <c r="LXC181" s="11"/>
      <c r="LXD181" s="12"/>
      <c r="LXM181" s="11"/>
      <c r="LXN181" s="12"/>
      <c r="LXW181" s="11"/>
      <c r="LXX181" s="12"/>
      <c r="LYG181" s="11"/>
      <c r="LYH181" s="12"/>
      <c r="LYQ181" s="11"/>
      <c r="LYR181" s="12"/>
      <c r="LZA181" s="11"/>
      <c r="LZB181" s="12"/>
      <c r="LZK181" s="11"/>
      <c r="LZL181" s="12"/>
      <c r="LZU181" s="11"/>
      <c r="LZV181" s="12"/>
      <c r="MAE181" s="11"/>
      <c r="MAF181" s="12"/>
      <c r="MAO181" s="11"/>
      <c r="MAP181" s="12"/>
      <c r="MAY181" s="11"/>
      <c r="MAZ181" s="12"/>
      <c r="MBI181" s="11"/>
      <c r="MBJ181" s="12"/>
      <c r="MBS181" s="11"/>
      <c r="MBT181" s="12"/>
      <c r="MCC181" s="11"/>
      <c r="MCD181" s="12"/>
      <c r="MCM181" s="11"/>
      <c r="MCN181" s="12"/>
      <c r="MCW181" s="11"/>
      <c r="MCX181" s="12"/>
      <c r="MDG181" s="11"/>
      <c r="MDH181" s="12"/>
      <c r="MDQ181" s="11"/>
      <c r="MDR181" s="12"/>
      <c r="MEA181" s="11"/>
      <c r="MEB181" s="12"/>
      <c r="MEK181" s="11"/>
      <c r="MEL181" s="12"/>
      <c r="MEU181" s="11"/>
      <c r="MEV181" s="12"/>
      <c r="MFE181" s="11"/>
      <c r="MFF181" s="12"/>
      <c r="MFO181" s="11"/>
      <c r="MFP181" s="12"/>
      <c r="MFY181" s="11"/>
      <c r="MFZ181" s="12"/>
      <c r="MGI181" s="11"/>
      <c r="MGJ181" s="12"/>
      <c r="MGS181" s="11"/>
      <c r="MGT181" s="12"/>
      <c r="MHC181" s="11"/>
      <c r="MHD181" s="12"/>
      <c r="MHM181" s="11"/>
      <c r="MHN181" s="12"/>
      <c r="MHW181" s="11"/>
      <c r="MHX181" s="12"/>
      <c r="MIG181" s="11"/>
      <c r="MIH181" s="12"/>
      <c r="MIQ181" s="11"/>
      <c r="MIR181" s="12"/>
      <c r="MJA181" s="11"/>
      <c r="MJB181" s="12"/>
      <c r="MJK181" s="11"/>
      <c r="MJL181" s="12"/>
      <c r="MJU181" s="11"/>
      <c r="MJV181" s="12"/>
      <c r="MKE181" s="11"/>
      <c r="MKF181" s="12"/>
      <c r="MKO181" s="11"/>
      <c r="MKP181" s="12"/>
      <c r="MKY181" s="11"/>
      <c r="MKZ181" s="12"/>
      <c r="MLI181" s="11"/>
      <c r="MLJ181" s="12"/>
      <c r="MLS181" s="11"/>
      <c r="MLT181" s="12"/>
      <c r="MMC181" s="11"/>
      <c r="MMD181" s="12"/>
      <c r="MMM181" s="11"/>
      <c r="MMN181" s="12"/>
      <c r="MMW181" s="11"/>
      <c r="MMX181" s="12"/>
      <c r="MNG181" s="11"/>
      <c r="MNH181" s="12"/>
      <c r="MNQ181" s="11"/>
      <c r="MNR181" s="12"/>
      <c r="MOA181" s="11"/>
      <c r="MOB181" s="12"/>
      <c r="MOK181" s="11"/>
      <c r="MOL181" s="12"/>
      <c r="MOU181" s="11"/>
      <c r="MOV181" s="12"/>
      <c r="MPE181" s="11"/>
      <c r="MPF181" s="12"/>
      <c r="MPO181" s="11"/>
      <c r="MPP181" s="12"/>
      <c r="MPY181" s="11"/>
      <c r="MPZ181" s="12"/>
      <c r="MQI181" s="11"/>
      <c r="MQJ181" s="12"/>
      <c r="MQS181" s="11"/>
      <c r="MQT181" s="12"/>
      <c r="MRC181" s="11"/>
      <c r="MRD181" s="12"/>
      <c r="MRM181" s="11"/>
      <c r="MRN181" s="12"/>
      <c r="MRW181" s="11"/>
      <c r="MRX181" s="12"/>
      <c r="MSG181" s="11"/>
      <c r="MSH181" s="12"/>
      <c r="MSQ181" s="11"/>
      <c r="MSR181" s="12"/>
      <c r="MTA181" s="11"/>
      <c r="MTB181" s="12"/>
      <c r="MTK181" s="11"/>
      <c r="MTL181" s="12"/>
      <c r="MTU181" s="11"/>
      <c r="MTV181" s="12"/>
      <c r="MUE181" s="11"/>
      <c r="MUF181" s="12"/>
      <c r="MUO181" s="11"/>
      <c r="MUP181" s="12"/>
      <c r="MUY181" s="11"/>
      <c r="MUZ181" s="12"/>
      <c r="MVI181" s="11"/>
      <c r="MVJ181" s="12"/>
      <c r="MVS181" s="11"/>
      <c r="MVT181" s="12"/>
      <c r="MWC181" s="11"/>
      <c r="MWD181" s="12"/>
      <c r="MWM181" s="11"/>
      <c r="MWN181" s="12"/>
      <c r="MWW181" s="11"/>
      <c r="MWX181" s="12"/>
      <c r="MXG181" s="11"/>
      <c r="MXH181" s="12"/>
      <c r="MXQ181" s="11"/>
      <c r="MXR181" s="12"/>
      <c r="MYA181" s="11"/>
      <c r="MYB181" s="12"/>
      <c r="MYK181" s="11"/>
      <c r="MYL181" s="12"/>
      <c r="MYU181" s="11"/>
      <c r="MYV181" s="12"/>
      <c r="MZE181" s="11"/>
      <c r="MZF181" s="12"/>
      <c r="MZO181" s="11"/>
      <c r="MZP181" s="12"/>
      <c r="MZY181" s="11"/>
      <c r="MZZ181" s="12"/>
      <c r="NAI181" s="11"/>
      <c r="NAJ181" s="12"/>
      <c r="NAS181" s="11"/>
      <c r="NAT181" s="12"/>
      <c r="NBC181" s="11"/>
      <c r="NBD181" s="12"/>
      <c r="NBM181" s="11"/>
      <c r="NBN181" s="12"/>
      <c r="NBW181" s="11"/>
      <c r="NBX181" s="12"/>
      <c r="NCG181" s="11"/>
      <c r="NCH181" s="12"/>
      <c r="NCQ181" s="11"/>
      <c r="NCR181" s="12"/>
      <c r="NDA181" s="11"/>
      <c r="NDB181" s="12"/>
      <c r="NDK181" s="11"/>
      <c r="NDL181" s="12"/>
      <c r="NDU181" s="11"/>
      <c r="NDV181" s="12"/>
      <c r="NEE181" s="11"/>
      <c r="NEF181" s="12"/>
      <c r="NEO181" s="11"/>
      <c r="NEP181" s="12"/>
      <c r="NEY181" s="11"/>
      <c r="NEZ181" s="12"/>
      <c r="NFI181" s="11"/>
      <c r="NFJ181" s="12"/>
      <c r="NFS181" s="11"/>
      <c r="NFT181" s="12"/>
      <c r="NGC181" s="11"/>
      <c r="NGD181" s="12"/>
      <c r="NGM181" s="11"/>
      <c r="NGN181" s="12"/>
      <c r="NGW181" s="11"/>
      <c r="NGX181" s="12"/>
      <c r="NHG181" s="11"/>
      <c r="NHH181" s="12"/>
      <c r="NHQ181" s="11"/>
      <c r="NHR181" s="12"/>
      <c r="NIA181" s="11"/>
      <c r="NIB181" s="12"/>
      <c r="NIK181" s="11"/>
      <c r="NIL181" s="12"/>
      <c r="NIU181" s="11"/>
      <c r="NIV181" s="12"/>
      <c r="NJE181" s="11"/>
      <c r="NJF181" s="12"/>
      <c r="NJO181" s="11"/>
      <c r="NJP181" s="12"/>
      <c r="NJY181" s="11"/>
      <c r="NJZ181" s="12"/>
      <c r="NKI181" s="11"/>
      <c r="NKJ181" s="12"/>
      <c r="NKS181" s="11"/>
      <c r="NKT181" s="12"/>
      <c r="NLC181" s="11"/>
      <c r="NLD181" s="12"/>
      <c r="NLM181" s="11"/>
      <c r="NLN181" s="12"/>
      <c r="NLW181" s="11"/>
      <c r="NLX181" s="12"/>
      <c r="NMG181" s="11"/>
      <c r="NMH181" s="12"/>
      <c r="NMQ181" s="11"/>
      <c r="NMR181" s="12"/>
      <c r="NNA181" s="11"/>
      <c r="NNB181" s="12"/>
      <c r="NNK181" s="11"/>
      <c r="NNL181" s="12"/>
      <c r="NNU181" s="11"/>
      <c r="NNV181" s="12"/>
      <c r="NOE181" s="11"/>
      <c r="NOF181" s="12"/>
      <c r="NOO181" s="11"/>
      <c r="NOP181" s="12"/>
      <c r="NOY181" s="11"/>
      <c r="NOZ181" s="12"/>
      <c r="NPI181" s="11"/>
      <c r="NPJ181" s="12"/>
      <c r="NPS181" s="11"/>
      <c r="NPT181" s="12"/>
      <c r="NQC181" s="11"/>
      <c r="NQD181" s="12"/>
      <c r="NQM181" s="11"/>
      <c r="NQN181" s="12"/>
      <c r="NQW181" s="11"/>
      <c r="NQX181" s="12"/>
      <c r="NRG181" s="11"/>
      <c r="NRH181" s="12"/>
      <c r="NRQ181" s="11"/>
      <c r="NRR181" s="12"/>
      <c r="NSA181" s="11"/>
      <c r="NSB181" s="12"/>
      <c r="NSK181" s="11"/>
      <c r="NSL181" s="12"/>
      <c r="NSU181" s="11"/>
      <c r="NSV181" s="12"/>
      <c r="NTE181" s="11"/>
      <c r="NTF181" s="12"/>
      <c r="NTO181" s="11"/>
      <c r="NTP181" s="12"/>
      <c r="NTY181" s="11"/>
      <c r="NTZ181" s="12"/>
      <c r="NUI181" s="11"/>
      <c r="NUJ181" s="12"/>
      <c r="NUS181" s="11"/>
      <c r="NUT181" s="12"/>
      <c r="NVC181" s="11"/>
      <c r="NVD181" s="12"/>
      <c r="NVM181" s="11"/>
      <c r="NVN181" s="12"/>
      <c r="NVW181" s="11"/>
      <c r="NVX181" s="12"/>
      <c r="NWG181" s="11"/>
      <c r="NWH181" s="12"/>
      <c r="NWQ181" s="11"/>
      <c r="NWR181" s="12"/>
      <c r="NXA181" s="11"/>
      <c r="NXB181" s="12"/>
      <c r="NXK181" s="11"/>
      <c r="NXL181" s="12"/>
      <c r="NXU181" s="11"/>
      <c r="NXV181" s="12"/>
      <c r="NYE181" s="11"/>
      <c r="NYF181" s="12"/>
      <c r="NYO181" s="11"/>
      <c r="NYP181" s="12"/>
      <c r="NYY181" s="11"/>
      <c r="NYZ181" s="12"/>
      <c r="NZI181" s="11"/>
      <c r="NZJ181" s="12"/>
      <c r="NZS181" s="11"/>
      <c r="NZT181" s="12"/>
      <c r="OAC181" s="11"/>
      <c r="OAD181" s="12"/>
      <c r="OAM181" s="11"/>
      <c r="OAN181" s="12"/>
      <c r="OAW181" s="11"/>
      <c r="OAX181" s="12"/>
      <c r="OBG181" s="11"/>
      <c r="OBH181" s="12"/>
      <c r="OBQ181" s="11"/>
      <c r="OBR181" s="12"/>
      <c r="OCA181" s="11"/>
      <c r="OCB181" s="12"/>
      <c r="OCK181" s="11"/>
      <c r="OCL181" s="12"/>
      <c r="OCU181" s="11"/>
      <c r="OCV181" s="12"/>
      <c r="ODE181" s="11"/>
      <c r="ODF181" s="12"/>
      <c r="ODO181" s="11"/>
      <c r="ODP181" s="12"/>
      <c r="ODY181" s="11"/>
      <c r="ODZ181" s="12"/>
      <c r="OEI181" s="11"/>
      <c r="OEJ181" s="12"/>
      <c r="OES181" s="11"/>
      <c r="OET181" s="12"/>
      <c r="OFC181" s="11"/>
      <c r="OFD181" s="12"/>
      <c r="OFM181" s="11"/>
      <c r="OFN181" s="12"/>
      <c r="OFW181" s="11"/>
      <c r="OFX181" s="12"/>
      <c r="OGG181" s="11"/>
      <c r="OGH181" s="12"/>
      <c r="OGQ181" s="11"/>
      <c r="OGR181" s="12"/>
      <c r="OHA181" s="11"/>
      <c r="OHB181" s="12"/>
      <c r="OHK181" s="11"/>
      <c r="OHL181" s="12"/>
      <c r="OHU181" s="11"/>
      <c r="OHV181" s="12"/>
      <c r="OIE181" s="11"/>
      <c r="OIF181" s="12"/>
      <c r="OIO181" s="11"/>
      <c r="OIP181" s="12"/>
      <c r="OIY181" s="11"/>
      <c r="OIZ181" s="12"/>
      <c r="OJI181" s="11"/>
      <c r="OJJ181" s="12"/>
      <c r="OJS181" s="11"/>
      <c r="OJT181" s="12"/>
      <c r="OKC181" s="11"/>
      <c r="OKD181" s="12"/>
      <c r="OKM181" s="11"/>
      <c r="OKN181" s="12"/>
      <c r="OKW181" s="11"/>
      <c r="OKX181" s="12"/>
      <c r="OLG181" s="11"/>
      <c r="OLH181" s="12"/>
      <c r="OLQ181" s="11"/>
      <c r="OLR181" s="12"/>
      <c r="OMA181" s="11"/>
      <c r="OMB181" s="12"/>
      <c r="OMK181" s="11"/>
      <c r="OML181" s="12"/>
      <c r="OMU181" s="11"/>
      <c r="OMV181" s="12"/>
      <c r="ONE181" s="11"/>
      <c r="ONF181" s="12"/>
      <c r="ONO181" s="11"/>
      <c r="ONP181" s="12"/>
      <c r="ONY181" s="11"/>
      <c r="ONZ181" s="12"/>
      <c r="OOI181" s="11"/>
      <c r="OOJ181" s="12"/>
      <c r="OOS181" s="11"/>
      <c r="OOT181" s="12"/>
      <c r="OPC181" s="11"/>
      <c r="OPD181" s="12"/>
      <c r="OPM181" s="11"/>
      <c r="OPN181" s="12"/>
      <c r="OPW181" s="11"/>
      <c r="OPX181" s="12"/>
      <c r="OQG181" s="11"/>
      <c r="OQH181" s="12"/>
      <c r="OQQ181" s="11"/>
      <c r="OQR181" s="12"/>
      <c r="ORA181" s="11"/>
      <c r="ORB181" s="12"/>
      <c r="ORK181" s="11"/>
      <c r="ORL181" s="12"/>
      <c r="ORU181" s="11"/>
      <c r="ORV181" s="12"/>
      <c r="OSE181" s="11"/>
      <c r="OSF181" s="12"/>
      <c r="OSO181" s="11"/>
      <c r="OSP181" s="12"/>
      <c r="OSY181" s="11"/>
      <c r="OSZ181" s="12"/>
      <c r="OTI181" s="11"/>
      <c r="OTJ181" s="12"/>
      <c r="OTS181" s="11"/>
      <c r="OTT181" s="12"/>
      <c r="OUC181" s="11"/>
      <c r="OUD181" s="12"/>
      <c r="OUM181" s="11"/>
      <c r="OUN181" s="12"/>
      <c r="OUW181" s="11"/>
      <c r="OUX181" s="12"/>
      <c r="OVG181" s="11"/>
      <c r="OVH181" s="12"/>
      <c r="OVQ181" s="11"/>
      <c r="OVR181" s="12"/>
      <c r="OWA181" s="11"/>
      <c r="OWB181" s="12"/>
      <c r="OWK181" s="11"/>
      <c r="OWL181" s="12"/>
      <c r="OWU181" s="11"/>
      <c r="OWV181" s="12"/>
      <c r="OXE181" s="11"/>
      <c r="OXF181" s="12"/>
      <c r="OXO181" s="11"/>
      <c r="OXP181" s="12"/>
      <c r="OXY181" s="11"/>
      <c r="OXZ181" s="12"/>
      <c r="OYI181" s="11"/>
      <c r="OYJ181" s="12"/>
      <c r="OYS181" s="11"/>
      <c r="OYT181" s="12"/>
      <c r="OZC181" s="11"/>
      <c r="OZD181" s="12"/>
      <c r="OZM181" s="11"/>
      <c r="OZN181" s="12"/>
      <c r="OZW181" s="11"/>
      <c r="OZX181" s="12"/>
      <c r="PAG181" s="11"/>
      <c r="PAH181" s="12"/>
      <c r="PAQ181" s="11"/>
      <c r="PAR181" s="12"/>
      <c r="PBA181" s="11"/>
      <c r="PBB181" s="12"/>
      <c r="PBK181" s="11"/>
      <c r="PBL181" s="12"/>
      <c r="PBU181" s="11"/>
      <c r="PBV181" s="12"/>
      <c r="PCE181" s="11"/>
      <c r="PCF181" s="12"/>
      <c r="PCO181" s="11"/>
      <c r="PCP181" s="12"/>
      <c r="PCY181" s="11"/>
      <c r="PCZ181" s="12"/>
      <c r="PDI181" s="11"/>
      <c r="PDJ181" s="12"/>
      <c r="PDS181" s="11"/>
      <c r="PDT181" s="12"/>
      <c r="PEC181" s="11"/>
      <c r="PED181" s="12"/>
      <c r="PEM181" s="11"/>
      <c r="PEN181" s="12"/>
      <c r="PEW181" s="11"/>
      <c r="PEX181" s="12"/>
      <c r="PFG181" s="11"/>
      <c r="PFH181" s="12"/>
      <c r="PFQ181" s="11"/>
      <c r="PFR181" s="12"/>
      <c r="PGA181" s="11"/>
      <c r="PGB181" s="12"/>
      <c r="PGK181" s="11"/>
      <c r="PGL181" s="12"/>
      <c r="PGU181" s="11"/>
      <c r="PGV181" s="12"/>
      <c r="PHE181" s="11"/>
      <c r="PHF181" s="12"/>
      <c r="PHO181" s="11"/>
      <c r="PHP181" s="12"/>
      <c r="PHY181" s="11"/>
      <c r="PHZ181" s="12"/>
      <c r="PII181" s="11"/>
      <c r="PIJ181" s="12"/>
      <c r="PIS181" s="11"/>
      <c r="PIT181" s="12"/>
      <c r="PJC181" s="11"/>
      <c r="PJD181" s="12"/>
      <c r="PJM181" s="11"/>
      <c r="PJN181" s="12"/>
      <c r="PJW181" s="11"/>
      <c r="PJX181" s="12"/>
      <c r="PKG181" s="11"/>
      <c r="PKH181" s="12"/>
      <c r="PKQ181" s="11"/>
      <c r="PKR181" s="12"/>
      <c r="PLA181" s="11"/>
      <c r="PLB181" s="12"/>
      <c r="PLK181" s="11"/>
      <c r="PLL181" s="12"/>
      <c r="PLU181" s="11"/>
      <c r="PLV181" s="12"/>
      <c r="PME181" s="11"/>
      <c r="PMF181" s="12"/>
      <c r="PMO181" s="11"/>
      <c r="PMP181" s="12"/>
      <c r="PMY181" s="11"/>
      <c r="PMZ181" s="12"/>
      <c r="PNI181" s="11"/>
      <c r="PNJ181" s="12"/>
      <c r="PNS181" s="11"/>
      <c r="PNT181" s="12"/>
      <c r="POC181" s="11"/>
      <c r="POD181" s="12"/>
      <c r="POM181" s="11"/>
      <c r="PON181" s="12"/>
      <c r="POW181" s="11"/>
      <c r="POX181" s="12"/>
      <c r="PPG181" s="11"/>
      <c r="PPH181" s="12"/>
      <c r="PPQ181" s="11"/>
      <c r="PPR181" s="12"/>
      <c r="PQA181" s="11"/>
      <c r="PQB181" s="12"/>
      <c r="PQK181" s="11"/>
      <c r="PQL181" s="12"/>
      <c r="PQU181" s="11"/>
      <c r="PQV181" s="12"/>
      <c r="PRE181" s="11"/>
      <c r="PRF181" s="12"/>
      <c r="PRO181" s="11"/>
      <c r="PRP181" s="12"/>
      <c r="PRY181" s="11"/>
      <c r="PRZ181" s="12"/>
      <c r="PSI181" s="11"/>
      <c r="PSJ181" s="12"/>
      <c r="PSS181" s="11"/>
      <c r="PST181" s="12"/>
      <c r="PTC181" s="11"/>
      <c r="PTD181" s="12"/>
      <c r="PTM181" s="11"/>
      <c r="PTN181" s="12"/>
      <c r="PTW181" s="11"/>
      <c r="PTX181" s="12"/>
      <c r="PUG181" s="11"/>
      <c r="PUH181" s="12"/>
      <c r="PUQ181" s="11"/>
      <c r="PUR181" s="12"/>
      <c r="PVA181" s="11"/>
      <c r="PVB181" s="12"/>
      <c r="PVK181" s="11"/>
      <c r="PVL181" s="12"/>
      <c r="PVU181" s="11"/>
      <c r="PVV181" s="12"/>
      <c r="PWE181" s="11"/>
      <c r="PWF181" s="12"/>
      <c r="PWO181" s="11"/>
      <c r="PWP181" s="12"/>
      <c r="PWY181" s="11"/>
      <c r="PWZ181" s="12"/>
      <c r="PXI181" s="11"/>
      <c r="PXJ181" s="12"/>
      <c r="PXS181" s="11"/>
      <c r="PXT181" s="12"/>
      <c r="PYC181" s="11"/>
      <c r="PYD181" s="12"/>
      <c r="PYM181" s="11"/>
      <c r="PYN181" s="12"/>
      <c r="PYW181" s="11"/>
      <c r="PYX181" s="12"/>
      <c r="PZG181" s="11"/>
      <c r="PZH181" s="12"/>
      <c r="PZQ181" s="11"/>
      <c r="PZR181" s="12"/>
      <c r="QAA181" s="11"/>
      <c r="QAB181" s="12"/>
      <c r="QAK181" s="11"/>
      <c r="QAL181" s="12"/>
      <c r="QAU181" s="11"/>
      <c r="QAV181" s="12"/>
      <c r="QBE181" s="11"/>
      <c r="QBF181" s="12"/>
      <c r="QBO181" s="11"/>
      <c r="QBP181" s="12"/>
      <c r="QBY181" s="11"/>
      <c r="QBZ181" s="12"/>
      <c r="QCI181" s="11"/>
      <c r="QCJ181" s="12"/>
      <c r="QCS181" s="11"/>
      <c r="QCT181" s="12"/>
      <c r="QDC181" s="11"/>
      <c r="QDD181" s="12"/>
      <c r="QDM181" s="11"/>
      <c r="QDN181" s="12"/>
      <c r="QDW181" s="11"/>
      <c r="QDX181" s="12"/>
      <c r="QEG181" s="11"/>
      <c r="QEH181" s="12"/>
      <c r="QEQ181" s="11"/>
      <c r="QER181" s="12"/>
      <c r="QFA181" s="11"/>
      <c r="QFB181" s="12"/>
      <c r="QFK181" s="11"/>
      <c r="QFL181" s="12"/>
      <c r="QFU181" s="11"/>
      <c r="QFV181" s="12"/>
      <c r="QGE181" s="11"/>
      <c r="QGF181" s="12"/>
      <c r="QGO181" s="11"/>
      <c r="QGP181" s="12"/>
      <c r="QGY181" s="11"/>
      <c r="QGZ181" s="12"/>
      <c r="QHI181" s="11"/>
      <c r="QHJ181" s="12"/>
      <c r="QHS181" s="11"/>
      <c r="QHT181" s="12"/>
      <c r="QIC181" s="11"/>
      <c r="QID181" s="12"/>
      <c r="QIM181" s="11"/>
      <c r="QIN181" s="12"/>
      <c r="QIW181" s="11"/>
      <c r="QIX181" s="12"/>
      <c r="QJG181" s="11"/>
      <c r="QJH181" s="12"/>
      <c r="QJQ181" s="11"/>
      <c r="QJR181" s="12"/>
      <c r="QKA181" s="11"/>
      <c r="QKB181" s="12"/>
      <c r="QKK181" s="11"/>
      <c r="QKL181" s="12"/>
      <c r="QKU181" s="11"/>
      <c r="QKV181" s="12"/>
      <c r="QLE181" s="11"/>
      <c r="QLF181" s="12"/>
      <c r="QLO181" s="11"/>
      <c r="QLP181" s="12"/>
      <c r="QLY181" s="11"/>
      <c r="QLZ181" s="12"/>
      <c r="QMI181" s="11"/>
      <c r="QMJ181" s="12"/>
      <c r="QMS181" s="11"/>
      <c r="QMT181" s="12"/>
      <c r="QNC181" s="11"/>
      <c r="QND181" s="12"/>
      <c r="QNM181" s="11"/>
      <c r="QNN181" s="12"/>
      <c r="QNW181" s="11"/>
      <c r="QNX181" s="12"/>
      <c r="QOG181" s="11"/>
      <c r="QOH181" s="12"/>
      <c r="QOQ181" s="11"/>
      <c r="QOR181" s="12"/>
      <c r="QPA181" s="11"/>
      <c r="QPB181" s="12"/>
      <c r="QPK181" s="11"/>
      <c r="QPL181" s="12"/>
      <c r="QPU181" s="11"/>
      <c r="QPV181" s="12"/>
      <c r="QQE181" s="11"/>
      <c r="QQF181" s="12"/>
      <c r="QQO181" s="11"/>
      <c r="QQP181" s="12"/>
      <c r="QQY181" s="11"/>
      <c r="QQZ181" s="12"/>
      <c r="QRI181" s="11"/>
      <c r="QRJ181" s="12"/>
      <c r="QRS181" s="11"/>
      <c r="QRT181" s="12"/>
      <c r="QSC181" s="11"/>
      <c r="QSD181" s="12"/>
      <c r="QSM181" s="11"/>
      <c r="QSN181" s="12"/>
      <c r="QSW181" s="11"/>
      <c r="QSX181" s="12"/>
      <c r="QTG181" s="11"/>
      <c r="QTH181" s="12"/>
      <c r="QTQ181" s="11"/>
      <c r="QTR181" s="12"/>
      <c r="QUA181" s="11"/>
      <c r="QUB181" s="12"/>
      <c r="QUK181" s="11"/>
      <c r="QUL181" s="12"/>
      <c r="QUU181" s="11"/>
      <c r="QUV181" s="12"/>
      <c r="QVE181" s="11"/>
      <c r="QVF181" s="12"/>
      <c r="QVO181" s="11"/>
      <c r="QVP181" s="12"/>
      <c r="QVY181" s="11"/>
      <c r="QVZ181" s="12"/>
      <c r="QWI181" s="11"/>
      <c r="QWJ181" s="12"/>
      <c r="QWS181" s="11"/>
      <c r="QWT181" s="12"/>
      <c r="QXC181" s="11"/>
      <c r="QXD181" s="12"/>
      <c r="QXM181" s="11"/>
      <c r="QXN181" s="12"/>
      <c r="QXW181" s="11"/>
      <c r="QXX181" s="12"/>
      <c r="QYG181" s="11"/>
      <c r="QYH181" s="12"/>
      <c r="QYQ181" s="11"/>
      <c r="QYR181" s="12"/>
      <c r="QZA181" s="11"/>
      <c r="QZB181" s="12"/>
      <c r="QZK181" s="11"/>
      <c r="QZL181" s="12"/>
      <c r="QZU181" s="11"/>
      <c r="QZV181" s="12"/>
      <c r="RAE181" s="11"/>
      <c r="RAF181" s="12"/>
      <c r="RAO181" s="11"/>
      <c r="RAP181" s="12"/>
      <c r="RAY181" s="11"/>
      <c r="RAZ181" s="12"/>
      <c r="RBI181" s="11"/>
      <c r="RBJ181" s="12"/>
      <c r="RBS181" s="11"/>
      <c r="RBT181" s="12"/>
      <c r="RCC181" s="11"/>
      <c r="RCD181" s="12"/>
      <c r="RCM181" s="11"/>
      <c r="RCN181" s="12"/>
      <c r="RCW181" s="11"/>
      <c r="RCX181" s="12"/>
      <c r="RDG181" s="11"/>
      <c r="RDH181" s="12"/>
      <c r="RDQ181" s="11"/>
      <c r="RDR181" s="12"/>
      <c r="REA181" s="11"/>
      <c r="REB181" s="12"/>
      <c r="REK181" s="11"/>
      <c r="REL181" s="12"/>
      <c r="REU181" s="11"/>
      <c r="REV181" s="12"/>
      <c r="RFE181" s="11"/>
      <c r="RFF181" s="12"/>
      <c r="RFO181" s="11"/>
      <c r="RFP181" s="12"/>
      <c r="RFY181" s="11"/>
      <c r="RFZ181" s="12"/>
      <c r="RGI181" s="11"/>
      <c r="RGJ181" s="12"/>
      <c r="RGS181" s="11"/>
      <c r="RGT181" s="12"/>
      <c r="RHC181" s="11"/>
      <c r="RHD181" s="12"/>
      <c r="RHM181" s="11"/>
      <c r="RHN181" s="12"/>
      <c r="RHW181" s="11"/>
      <c r="RHX181" s="12"/>
      <c r="RIG181" s="11"/>
      <c r="RIH181" s="12"/>
      <c r="RIQ181" s="11"/>
      <c r="RIR181" s="12"/>
      <c r="RJA181" s="11"/>
      <c r="RJB181" s="12"/>
      <c r="RJK181" s="11"/>
      <c r="RJL181" s="12"/>
      <c r="RJU181" s="11"/>
      <c r="RJV181" s="12"/>
      <c r="RKE181" s="11"/>
      <c r="RKF181" s="12"/>
      <c r="RKO181" s="11"/>
      <c r="RKP181" s="12"/>
      <c r="RKY181" s="11"/>
      <c r="RKZ181" s="12"/>
      <c r="RLI181" s="11"/>
      <c r="RLJ181" s="12"/>
      <c r="RLS181" s="11"/>
      <c r="RLT181" s="12"/>
      <c r="RMC181" s="11"/>
      <c r="RMD181" s="12"/>
      <c r="RMM181" s="11"/>
      <c r="RMN181" s="12"/>
      <c r="RMW181" s="11"/>
      <c r="RMX181" s="12"/>
      <c r="RNG181" s="11"/>
      <c r="RNH181" s="12"/>
      <c r="RNQ181" s="11"/>
      <c r="RNR181" s="12"/>
      <c r="ROA181" s="11"/>
      <c r="ROB181" s="12"/>
      <c r="ROK181" s="11"/>
      <c r="ROL181" s="12"/>
      <c r="ROU181" s="11"/>
      <c r="ROV181" s="12"/>
      <c r="RPE181" s="11"/>
      <c r="RPF181" s="12"/>
      <c r="RPO181" s="11"/>
      <c r="RPP181" s="12"/>
      <c r="RPY181" s="11"/>
      <c r="RPZ181" s="12"/>
      <c r="RQI181" s="11"/>
      <c r="RQJ181" s="12"/>
      <c r="RQS181" s="11"/>
      <c r="RQT181" s="12"/>
      <c r="RRC181" s="11"/>
      <c r="RRD181" s="12"/>
      <c r="RRM181" s="11"/>
      <c r="RRN181" s="12"/>
      <c r="RRW181" s="11"/>
      <c r="RRX181" s="12"/>
      <c r="RSG181" s="11"/>
      <c r="RSH181" s="12"/>
      <c r="RSQ181" s="11"/>
      <c r="RSR181" s="12"/>
      <c r="RTA181" s="11"/>
      <c r="RTB181" s="12"/>
      <c r="RTK181" s="11"/>
      <c r="RTL181" s="12"/>
      <c r="RTU181" s="11"/>
      <c r="RTV181" s="12"/>
      <c r="RUE181" s="11"/>
      <c r="RUF181" s="12"/>
      <c r="RUO181" s="11"/>
      <c r="RUP181" s="12"/>
      <c r="RUY181" s="11"/>
      <c r="RUZ181" s="12"/>
      <c r="RVI181" s="11"/>
      <c r="RVJ181" s="12"/>
      <c r="RVS181" s="11"/>
      <c r="RVT181" s="12"/>
      <c r="RWC181" s="11"/>
      <c r="RWD181" s="12"/>
      <c r="RWM181" s="11"/>
      <c r="RWN181" s="12"/>
      <c r="RWW181" s="11"/>
      <c r="RWX181" s="12"/>
      <c r="RXG181" s="11"/>
      <c r="RXH181" s="12"/>
      <c r="RXQ181" s="11"/>
      <c r="RXR181" s="12"/>
      <c r="RYA181" s="11"/>
      <c r="RYB181" s="12"/>
      <c r="RYK181" s="11"/>
      <c r="RYL181" s="12"/>
      <c r="RYU181" s="11"/>
      <c r="RYV181" s="12"/>
      <c r="RZE181" s="11"/>
      <c r="RZF181" s="12"/>
      <c r="RZO181" s="11"/>
      <c r="RZP181" s="12"/>
      <c r="RZY181" s="11"/>
      <c r="RZZ181" s="12"/>
      <c r="SAI181" s="11"/>
      <c r="SAJ181" s="12"/>
      <c r="SAS181" s="11"/>
      <c r="SAT181" s="12"/>
      <c r="SBC181" s="11"/>
      <c r="SBD181" s="12"/>
      <c r="SBM181" s="11"/>
      <c r="SBN181" s="12"/>
      <c r="SBW181" s="11"/>
      <c r="SBX181" s="12"/>
      <c r="SCG181" s="11"/>
      <c r="SCH181" s="12"/>
      <c r="SCQ181" s="11"/>
      <c r="SCR181" s="12"/>
      <c r="SDA181" s="11"/>
      <c r="SDB181" s="12"/>
      <c r="SDK181" s="11"/>
      <c r="SDL181" s="12"/>
      <c r="SDU181" s="11"/>
      <c r="SDV181" s="12"/>
      <c r="SEE181" s="11"/>
      <c r="SEF181" s="12"/>
      <c r="SEO181" s="11"/>
      <c r="SEP181" s="12"/>
      <c r="SEY181" s="11"/>
      <c r="SEZ181" s="12"/>
      <c r="SFI181" s="11"/>
      <c r="SFJ181" s="12"/>
      <c r="SFS181" s="11"/>
      <c r="SFT181" s="12"/>
      <c r="SGC181" s="11"/>
      <c r="SGD181" s="12"/>
      <c r="SGM181" s="11"/>
      <c r="SGN181" s="12"/>
      <c r="SGW181" s="11"/>
      <c r="SGX181" s="12"/>
      <c r="SHG181" s="11"/>
      <c r="SHH181" s="12"/>
      <c r="SHQ181" s="11"/>
      <c r="SHR181" s="12"/>
      <c r="SIA181" s="11"/>
      <c r="SIB181" s="12"/>
      <c r="SIK181" s="11"/>
      <c r="SIL181" s="12"/>
      <c r="SIU181" s="11"/>
      <c r="SIV181" s="12"/>
      <c r="SJE181" s="11"/>
      <c r="SJF181" s="12"/>
      <c r="SJO181" s="11"/>
      <c r="SJP181" s="12"/>
      <c r="SJY181" s="11"/>
      <c r="SJZ181" s="12"/>
      <c r="SKI181" s="11"/>
      <c r="SKJ181" s="12"/>
      <c r="SKS181" s="11"/>
      <c r="SKT181" s="12"/>
      <c r="SLC181" s="11"/>
      <c r="SLD181" s="12"/>
      <c r="SLM181" s="11"/>
      <c r="SLN181" s="12"/>
      <c r="SLW181" s="11"/>
      <c r="SLX181" s="12"/>
      <c r="SMG181" s="11"/>
      <c r="SMH181" s="12"/>
      <c r="SMQ181" s="11"/>
      <c r="SMR181" s="12"/>
      <c r="SNA181" s="11"/>
      <c r="SNB181" s="12"/>
      <c r="SNK181" s="11"/>
      <c r="SNL181" s="12"/>
      <c r="SNU181" s="11"/>
      <c r="SNV181" s="12"/>
      <c r="SOE181" s="11"/>
      <c r="SOF181" s="12"/>
      <c r="SOO181" s="11"/>
      <c r="SOP181" s="12"/>
      <c r="SOY181" s="11"/>
      <c r="SOZ181" s="12"/>
      <c r="SPI181" s="11"/>
      <c r="SPJ181" s="12"/>
      <c r="SPS181" s="11"/>
      <c r="SPT181" s="12"/>
      <c r="SQC181" s="11"/>
      <c r="SQD181" s="12"/>
      <c r="SQM181" s="11"/>
      <c r="SQN181" s="12"/>
      <c r="SQW181" s="11"/>
      <c r="SQX181" s="12"/>
      <c r="SRG181" s="11"/>
      <c r="SRH181" s="12"/>
      <c r="SRQ181" s="11"/>
      <c r="SRR181" s="12"/>
      <c r="SSA181" s="11"/>
      <c r="SSB181" s="12"/>
      <c r="SSK181" s="11"/>
      <c r="SSL181" s="12"/>
      <c r="SSU181" s="11"/>
      <c r="SSV181" s="12"/>
      <c r="STE181" s="11"/>
      <c r="STF181" s="12"/>
      <c r="STO181" s="11"/>
      <c r="STP181" s="12"/>
      <c r="STY181" s="11"/>
      <c r="STZ181" s="12"/>
      <c r="SUI181" s="11"/>
      <c r="SUJ181" s="12"/>
      <c r="SUS181" s="11"/>
      <c r="SUT181" s="12"/>
      <c r="SVC181" s="11"/>
      <c r="SVD181" s="12"/>
      <c r="SVM181" s="11"/>
      <c r="SVN181" s="12"/>
      <c r="SVW181" s="11"/>
      <c r="SVX181" s="12"/>
      <c r="SWG181" s="11"/>
      <c r="SWH181" s="12"/>
      <c r="SWQ181" s="11"/>
      <c r="SWR181" s="12"/>
      <c r="SXA181" s="11"/>
      <c r="SXB181" s="12"/>
      <c r="SXK181" s="11"/>
      <c r="SXL181" s="12"/>
      <c r="SXU181" s="11"/>
      <c r="SXV181" s="12"/>
      <c r="SYE181" s="11"/>
      <c r="SYF181" s="12"/>
      <c r="SYO181" s="11"/>
      <c r="SYP181" s="12"/>
      <c r="SYY181" s="11"/>
      <c r="SYZ181" s="12"/>
      <c r="SZI181" s="11"/>
      <c r="SZJ181" s="12"/>
      <c r="SZS181" s="11"/>
      <c r="SZT181" s="12"/>
      <c r="TAC181" s="11"/>
      <c r="TAD181" s="12"/>
      <c r="TAM181" s="11"/>
      <c r="TAN181" s="12"/>
      <c r="TAW181" s="11"/>
      <c r="TAX181" s="12"/>
      <c r="TBG181" s="11"/>
      <c r="TBH181" s="12"/>
      <c r="TBQ181" s="11"/>
      <c r="TBR181" s="12"/>
      <c r="TCA181" s="11"/>
      <c r="TCB181" s="12"/>
      <c r="TCK181" s="11"/>
      <c r="TCL181" s="12"/>
      <c r="TCU181" s="11"/>
      <c r="TCV181" s="12"/>
      <c r="TDE181" s="11"/>
      <c r="TDF181" s="12"/>
      <c r="TDO181" s="11"/>
      <c r="TDP181" s="12"/>
      <c r="TDY181" s="11"/>
      <c r="TDZ181" s="12"/>
      <c r="TEI181" s="11"/>
      <c r="TEJ181" s="12"/>
      <c r="TES181" s="11"/>
      <c r="TET181" s="12"/>
      <c r="TFC181" s="11"/>
      <c r="TFD181" s="12"/>
      <c r="TFM181" s="11"/>
      <c r="TFN181" s="12"/>
      <c r="TFW181" s="11"/>
      <c r="TFX181" s="12"/>
      <c r="TGG181" s="11"/>
      <c r="TGH181" s="12"/>
      <c r="TGQ181" s="11"/>
      <c r="TGR181" s="12"/>
      <c r="THA181" s="11"/>
      <c r="THB181" s="12"/>
      <c r="THK181" s="11"/>
      <c r="THL181" s="12"/>
      <c r="THU181" s="11"/>
      <c r="THV181" s="12"/>
      <c r="TIE181" s="11"/>
      <c r="TIF181" s="12"/>
      <c r="TIO181" s="11"/>
      <c r="TIP181" s="12"/>
      <c r="TIY181" s="11"/>
      <c r="TIZ181" s="12"/>
      <c r="TJI181" s="11"/>
      <c r="TJJ181" s="12"/>
      <c r="TJS181" s="11"/>
      <c r="TJT181" s="12"/>
      <c r="TKC181" s="11"/>
      <c r="TKD181" s="12"/>
      <c r="TKM181" s="11"/>
      <c r="TKN181" s="12"/>
      <c r="TKW181" s="11"/>
      <c r="TKX181" s="12"/>
      <c r="TLG181" s="11"/>
      <c r="TLH181" s="12"/>
      <c r="TLQ181" s="11"/>
      <c r="TLR181" s="12"/>
      <c r="TMA181" s="11"/>
      <c r="TMB181" s="12"/>
      <c r="TMK181" s="11"/>
      <c r="TML181" s="12"/>
      <c r="TMU181" s="11"/>
      <c r="TMV181" s="12"/>
      <c r="TNE181" s="11"/>
      <c r="TNF181" s="12"/>
      <c r="TNO181" s="11"/>
      <c r="TNP181" s="12"/>
      <c r="TNY181" s="11"/>
      <c r="TNZ181" s="12"/>
      <c r="TOI181" s="11"/>
      <c r="TOJ181" s="12"/>
      <c r="TOS181" s="11"/>
      <c r="TOT181" s="12"/>
      <c r="TPC181" s="11"/>
      <c r="TPD181" s="12"/>
      <c r="TPM181" s="11"/>
      <c r="TPN181" s="12"/>
      <c r="TPW181" s="11"/>
      <c r="TPX181" s="12"/>
      <c r="TQG181" s="11"/>
      <c r="TQH181" s="12"/>
      <c r="TQQ181" s="11"/>
      <c r="TQR181" s="12"/>
      <c r="TRA181" s="11"/>
      <c r="TRB181" s="12"/>
      <c r="TRK181" s="11"/>
      <c r="TRL181" s="12"/>
      <c r="TRU181" s="11"/>
      <c r="TRV181" s="12"/>
      <c r="TSE181" s="11"/>
      <c r="TSF181" s="12"/>
      <c r="TSO181" s="11"/>
      <c r="TSP181" s="12"/>
      <c r="TSY181" s="11"/>
      <c r="TSZ181" s="12"/>
      <c r="TTI181" s="11"/>
      <c r="TTJ181" s="12"/>
      <c r="TTS181" s="11"/>
      <c r="TTT181" s="12"/>
      <c r="TUC181" s="11"/>
      <c r="TUD181" s="12"/>
      <c r="TUM181" s="11"/>
      <c r="TUN181" s="12"/>
      <c r="TUW181" s="11"/>
      <c r="TUX181" s="12"/>
      <c r="TVG181" s="11"/>
      <c r="TVH181" s="12"/>
      <c r="TVQ181" s="11"/>
      <c r="TVR181" s="12"/>
      <c r="TWA181" s="11"/>
      <c r="TWB181" s="12"/>
      <c r="TWK181" s="11"/>
      <c r="TWL181" s="12"/>
      <c r="TWU181" s="11"/>
      <c r="TWV181" s="12"/>
      <c r="TXE181" s="11"/>
      <c r="TXF181" s="12"/>
      <c r="TXO181" s="11"/>
      <c r="TXP181" s="12"/>
      <c r="TXY181" s="11"/>
      <c r="TXZ181" s="12"/>
      <c r="TYI181" s="11"/>
      <c r="TYJ181" s="12"/>
      <c r="TYS181" s="11"/>
      <c r="TYT181" s="12"/>
      <c r="TZC181" s="11"/>
      <c r="TZD181" s="12"/>
      <c r="TZM181" s="11"/>
      <c r="TZN181" s="12"/>
      <c r="TZW181" s="11"/>
      <c r="TZX181" s="12"/>
      <c r="UAG181" s="11"/>
      <c r="UAH181" s="12"/>
      <c r="UAQ181" s="11"/>
      <c r="UAR181" s="12"/>
      <c r="UBA181" s="11"/>
      <c r="UBB181" s="12"/>
      <c r="UBK181" s="11"/>
      <c r="UBL181" s="12"/>
      <c r="UBU181" s="11"/>
      <c r="UBV181" s="12"/>
      <c r="UCE181" s="11"/>
      <c r="UCF181" s="12"/>
      <c r="UCO181" s="11"/>
      <c r="UCP181" s="12"/>
      <c r="UCY181" s="11"/>
      <c r="UCZ181" s="12"/>
      <c r="UDI181" s="11"/>
      <c r="UDJ181" s="12"/>
      <c r="UDS181" s="11"/>
      <c r="UDT181" s="12"/>
      <c r="UEC181" s="11"/>
      <c r="UED181" s="12"/>
      <c r="UEM181" s="11"/>
      <c r="UEN181" s="12"/>
      <c r="UEW181" s="11"/>
      <c r="UEX181" s="12"/>
      <c r="UFG181" s="11"/>
      <c r="UFH181" s="12"/>
      <c r="UFQ181" s="11"/>
      <c r="UFR181" s="12"/>
      <c r="UGA181" s="11"/>
      <c r="UGB181" s="12"/>
      <c r="UGK181" s="11"/>
      <c r="UGL181" s="12"/>
      <c r="UGU181" s="11"/>
      <c r="UGV181" s="12"/>
      <c r="UHE181" s="11"/>
      <c r="UHF181" s="12"/>
      <c r="UHO181" s="11"/>
      <c r="UHP181" s="12"/>
      <c r="UHY181" s="11"/>
      <c r="UHZ181" s="12"/>
      <c r="UII181" s="11"/>
      <c r="UIJ181" s="12"/>
      <c r="UIS181" s="11"/>
      <c r="UIT181" s="12"/>
      <c r="UJC181" s="11"/>
      <c r="UJD181" s="12"/>
      <c r="UJM181" s="11"/>
      <c r="UJN181" s="12"/>
      <c r="UJW181" s="11"/>
      <c r="UJX181" s="12"/>
      <c r="UKG181" s="11"/>
      <c r="UKH181" s="12"/>
      <c r="UKQ181" s="11"/>
      <c r="UKR181" s="12"/>
      <c r="ULA181" s="11"/>
      <c r="ULB181" s="12"/>
      <c r="ULK181" s="11"/>
      <c r="ULL181" s="12"/>
      <c r="ULU181" s="11"/>
      <c r="ULV181" s="12"/>
      <c r="UME181" s="11"/>
      <c r="UMF181" s="12"/>
      <c r="UMO181" s="11"/>
      <c r="UMP181" s="12"/>
      <c r="UMY181" s="11"/>
      <c r="UMZ181" s="12"/>
      <c r="UNI181" s="11"/>
      <c r="UNJ181" s="12"/>
      <c r="UNS181" s="11"/>
      <c r="UNT181" s="12"/>
      <c r="UOC181" s="11"/>
      <c r="UOD181" s="12"/>
      <c r="UOM181" s="11"/>
      <c r="UON181" s="12"/>
      <c r="UOW181" s="11"/>
      <c r="UOX181" s="12"/>
      <c r="UPG181" s="11"/>
      <c r="UPH181" s="12"/>
      <c r="UPQ181" s="11"/>
      <c r="UPR181" s="12"/>
      <c r="UQA181" s="11"/>
      <c r="UQB181" s="12"/>
      <c r="UQK181" s="11"/>
      <c r="UQL181" s="12"/>
      <c r="UQU181" s="11"/>
      <c r="UQV181" s="12"/>
      <c r="URE181" s="11"/>
      <c r="URF181" s="12"/>
      <c r="URO181" s="11"/>
      <c r="URP181" s="12"/>
      <c r="URY181" s="11"/>
      <c r="URZ181" s="12"/>
      <c r="USI181" s="11"/>
      <c r="USJ181" s="12"/>
      <c r="USS181" s="11"/>
      <c r="UST181" s="12"/>
      <c r="UTC181" s="11"/>
      <c r="UTD181" s="12"/>
      <c r="UTM181" s="11"/>
      <c r="UTN181" s="12"/>
      <c r="UTW181" s="11"/>
      <c r="UTX181" s="12"/>
      <c r="UUG181" s="11"/>
      <c r="UUH181" s="12"/>
      <c r="UUQ181" s="11"/>
      <c r="UUR181" s="12"/>
      <c r="UVA181" s="11"/>
      <c r="UVB181" s="12"/>
      <c r="UVK181" s="11"/>
      <c r="UVL181" s="12"/>
      <c r="UVU181" s="11"/>
      <c r="UVV181" s="12"/>
      <c r="UWE181" s="11"/>
      <c r="UWF181" s="12"/>
      <c r="UWO181" s="11"/>
      <c r="UWP181" s="12"/>
      <c r="UWY181" s="11"/>
      <c r="UWZ181" s="12"/>
      <c r="UXI181" s="11"/>
      <c r="UXJ181" s="12"/>
      <c r="UXS181" s="11"/>
      <c r="UXT181" s="12"/>
      <c r="UYC181" s="11"/>
      <c r="UYD181" s="12"/>
      <c r="UYM181" s="11"/>
      <c r="UYN181" s="12"/>
      <c r="UYW181" s="11"/>
      <c r="UYX181" s="12"/>
      <c r="UZG181" s="11"/>
      <c r="UZH181" s="12"/>
      <c r="UZQ181" s="11"/>
      <c r="UZR181" s="12"/>
      <c r="VAA181" s="11"/>
      <c r="VAB181" s="12"/>
      <c r="VAK181" s="11"/>
      <c r="VAL181" s="12"/>
      <c r="VAU181" s="11"/>
      <c r="VAV181" s="12"/>
      <c r="VBE181" s="11"/>
      <c r="VBF181" s="12"/>
      <c r="VBO181" s="11"/>
      <c r="VBP181" s="12"/>
      <c r="VBY181" s="11"/>
      <c r="VBZ181" s="12"/>
      <c r="VCI181" s="11"/>
      <c r="VCJ181" s="12"/>
      <c r="VCS181" s="11"/>
      <c r="VCT181" s="12"/>
      <c r="VDC181" s="11"/>
      <c r="VDD181" s="12"/>
      <c r="VDM181" s="11"/>
      <c r="VDN181" s="12"/>
      <c r="VDW181" s="11"/>
      <c r="VDX181" s="12"/>
      <c r="VEG181" s="11"/>
      <c r="VEH181" s="12"/>
      <c r="VEQ181" s="11"/>
      <c r="VER181" s="12"/>
      <c r="VFA181" s="11"/>
      <c r="VFB181" s="12"/>
      <c r="VFK181" s="11"/>
      <c r="VFL181" s="12"/>
      <c r="VFU181" s="11"/>
      <c r="VFV181" s="12"/>
      <c r="VGE181" s="11"/>
      <c r="VGF181" s="12"/>
      <c r="VGO181" s="11"/>
      <c r="VGP181" s="12"/>
      <c r="VGY181" s="11"/>
      <c r="VGZ181" s="12"/>
      <c r="VHI181" s="11"/>
      <c r="VHJ181" s="12"/>
      <c r="VHS181" s="11"/>
      <c r="VHT181" s="12"/>
      <c r="VIC181" s="11"/>
      <c r="VID181" s="12"/>
      <c r="VIM181" s="11"/>
      <c r="VIN181" s="12"/>
      <c r="VIW181" s="11"/>
      <c r="VIX181" s="12"/>
      <c r="VJG181" s="11"/>
      <c r="VJH181" s="12"/>
      <c r="VJQ181" s="11"/>
      <c r="VJR181" s="12"/>
      <c r="VKA181" s="11"/>
      <c r="VKB181" s="12"/>
      <c r="VKK181" s="11"/>
      <c r="VKL181" s="12"/>
      <c r="VKU181" s="11"/>
      <c r="VKV181" s="12"/>
      <c r="VLE181" s="11"/>
      <c r="VLF181" s="12"/>
      <c r="VLO181" s="11"/>
      <c r="VLP181" s="12"/>
      <c r="VLY181" s="11"/>
      <c r="VLZ181" s="12"/>
      <c r="VMI181" s="11"/>
      <c r="VMJ181" s="12"/>
      <c r="VMS181" s="11"/>
      <c r="VMT181" s="12"/>
      <c r="VNC181" s="11"/>
      <c r="VND181" s="12"/>
      <c r="VNM181" s="11"/>
      <c r="VNN181" s="12"/>
      <c r="VNW181" s="11"/>
      <c r="VNX181" s="12"/>
      <c r="VOG181" s="11"/>
      <c r="VOH181" s="12"/>
      <c r="VOQ181" s="11"/>
      <c r="VOR181" s="12"/>
      <c r="VPA181" s="11"/>
      <c r="VPB181" s="12"/>
      <c r="VPK181" s="11"/>
      <c r="VPL181" s="12"/>
      <c r="VPU181" s="11"/>
      <c r="VPV181" s="12"/>
      <c r="VQE181" s="11"/>
      <c r="VQF181" s="12"/>
      <c r="VQO181" s="11"/>
      <c r="VQP181" s="12"/>
      <c r="VQY181" s="11"/>
      <c r="VQZ181" s="12"/>
      <c r="VRI181" s="11"/>
      <c r="VRJ181" s="12"/>
      <c r="VRS181" s="11"/>
      <c r="VRT181" s="12"/>
      <c r="VSC181" s="11"/>
      <c r="VSD181" s="12"/>
      <c r="VSM181" s="11"/>
      <c r="VSN181" s="12"/>
      <c r="VSW181" s="11"/>
      <c r="VSX181" s="12"/>
      <c r="VTG181" s="11"/>
      <c r="VTH181" s="12"/>
      <c r="VTQ181" s="11"/>
      <c r="VTR181" s="12"/>
      <c r="VUA181" s="11"/>
      <c r="VUB181" s="12"/>
      <c r="VUK181" s="11"/>
      <c r="VUL181" s="12"/>
      <c r="VUU181" s="11"/>
      <c r="VUV181" s="12"/>
      <c r="VVE181" s="11"/>
      <c r="VVF181" s="12"/>
      <c r="VVO181" s="11"/>
      <c r="VVP181" s="12"/>
      <c r="VVY181" s="11"/>
      <c r="VVZ181" s="12"/>
      <c r="VWI181" s="11"/>
      <c r="VWJ181" s="12"/>
      <c r="VWS181" s="11"/>
      <c r="VWT181" s="12"/>
      <c r="VXC181" s="11"/>
      <c r="VXD181" s="12"/>
      <c r="VXM181" s="11"/>
      <c r="VXN181" s="12"/>
      <c r="VXW181" s="11"/>
      <c r="VXX181" s="12"/>
      <c r="VYG181" s="11"/>
      <c r="VYH181" s="12"/>
      <c r="VYQ181" s="11"/>
      <c r="VYR181" s="12"/>
      <c r="VZA181" s="11"/>
      <c r="VZB181" s="12"/>
      <c r="VZK181" s="11"/>
      <c r="VZL181" s="12"/>
      <c r="VZU181" s="11"/>
      <c r="VZV181" s="12"/>
      <c r="WAE181" s="11"/>
      <c r="WAF181" s="12"/>
      <c r="WAO181" s="11"/>
      <c r="WAP181" s="12"/>
      <c r="WAY181" s="11"/>
      <c r="WAZ181" s="12"/>
      <c r="WBI181" s="11"/>
      <c r="WBJ181" s="12"/>
      <c r="WBS181" s="11"/>
      <c r="WBT181" s="12"/>
      <c r="WCC181" s="11"/>
      <c r="WCD181" s="12"/>
      <c r="WCM181" s="11"/>
      <c r="WCN181" s="12"/>
      <c r="WCW181" s="11"/>
      <c r="WCX181" s="12"/>
      <c r="WDG181" s="11"/>
      <c r="WDH181" s="12"/>
      <c r="WDQ181" s="11"/>
      <c r="WDR181" s="12"/>
      <c r="WEA181" s="11"/>
      <c r="WEB181" s="12"/>
      <c r="WEK181" s="11"/>
      <c r="WEL181" s="12"/>
      <c r="WEU181" s="11"/>
      <c r="WEV181" s="12"/>
      <c r="WFE181" s="11"/>
      <c r="WFF181" s="12"/>
      <c r="WFO181" s="11"/>
      <c r="WFP181" s="12"/>
      <c r="WFY181" s="11"/>
      <c r="WFZ181" s="12"/>
      <c r="WGI181" s="11"/>
      <c r="WGJ181" s="12"/>
      <c r="WGS181" s="11"/>
      <c r="WGT181" s="12"/>
      <c r="WHC181" s="11"/>
      <c r="WHD181" s="12"/>
      <c r="WHM181" s="11"/>
      <c r="WHN181" s="12"/>
      <c r="WHW181" s="11"/>
      <c r="WHX181" s="12"/>
      <c r="WIG181" s="11"/>
      <c r="WIH181" s="12"/>
      <c r="WIQ181" s="11"/>
      <c r="WIR181" s="12"/>
      <c r="WJA181" s="11"/>
      <c r="WJB181" s="12"/>
      <c r="WJK181" s="11"/>
      <c r="WJL181" s="12"/>
      <c r="WJU181" s="11"/>
      <c r="WJV181" s="12"/>
      <c r="WKE181" s="11"/>
      <c r="WKF181" s="12"/>
      <c r="WKO181" s="11"/>
      <c r="WKP181" s="12"/>
      <c r="WKY181" s="11"/>
      <c r="WKZ181" s="12"/>
      <c r="WLI181" s="11"/>
      <c r="WLJ181" s="12"/>
      <c r="WLS181" s="11"/>
      <c r="WLT181" s="12"/>
      <c r="WMC181" s="11"/>
      <c r="WMD181" s="12"/>
      <c r="WMM181" s="11"/>
      <c r="WMN181" s="12"/>
      <c r="WMW181" s="11"/>
      <c r="WMX181" s="12"/>
      <c r="WNG181" s="11"/>
      <c r="WNH181" s="12"/>
      <c r="WNQ181" s="11"/>
      <c r="WNR181" s="12"/>
      <c r="WOA181" s="11"/>
      <c r="WOB181" s="12"/>
      <c r="WOK181" s="11"/>
      <c r="WOL181" s="12"/>
      <c r="WOU181" s="11"/>
      <c r="WOV181" s="12"/>
      <c r="WPE181" s="11"/>
      <c r="WPF181" s="12"/>
      <c r="WPO181" s="11"/>
      <c r="WPP181" s="12"/>
      <c r="WPY181" s="11"/>
      <c r="WPZ181" s="12"/>
      <c r="WQI181" s="11"/>
      <c r="WQJ181" s="12"/>
      <c r="WQS181" s="11"/>
      <c r="WQT181" s="12"/>
      <c r="WRC181" s="11"/>
      <c r="WRD181" s="12"/>
      <c r="WRM181" s="11"/>
      <c r="WRN181" s="12"/>
      <c r="WRW181" s="11"/>
      <c r="WRX181" s="12"/>
      <c r="WSG181" s="11"/>
      <c r="WSH181" s="12"/>
      <c r="WSQ181" s="11"/>
      <c r="WSR181" s="12"/>
      <c r="WTA181" s="11"/>
      <c r="WTB181" s="12"/>
      <c r="WTK181" s="11"/>
      <c r="WTL181" s="12"/>
      <c r="WTU181" s="11"/>
      <c r="WTV181" s="12"/>
      <c r="WUE181" s="11"/>
      <c r="WUF181" s="12"/>
      <c r="WUO181" s="11"/>
      <c r="WUP181" s="12"/>
      <c r="WUY181" s="11"/>
      <c r="WUZ181" s="12"/>
      <c r="WVI181" s="11"/>
      <c r="WVJ181" s="12"/>
      <c r="WVS181" s="11"/>
      <c r="WVT181" s="12"/>
      <c r="WWC181" s="11"/>
      <c r="WWD181" s="12"/>
      <c r="WWM181" s="11"/>
      <c r="WWN181" s="12"/>
      <c r="WWW181" s="11"/>
      <c r="WWX181" s="12"/>
      <c r="WXG181" s="11"/>
      <c r="WXH181" s="12"/>
      <c r="WXQ181" s="11"/>
      <c r="WXR181" s="12"/>
      <c r="WYA181" s="11"/>
      <c r="WYB181" s="12"/>
      <c r="WYK181" s="11"/>
      <c r="WYL181" s="12"/>
      <c r="WYU181" s="11"/>
      <c r="WYV181" s="12"/>
      <c r="WZE181" s="11"/>
      <c r="WZF181" s="12"/>
      <c r="WZO181" s="11"/>
      <c r="WZP181" s="12"/>
      <c r="WZY181" s="11"/>
      <c r="WZZ181" s="12"/>
      <c r="XAI181" s="11"/>
      <c r="XAJ181" s="12"/>
      <c r="XAS181" s="11"/>
      <c r="XAT181" s="12"/>
      <c r="XBC181" s="11"/>
      <c r="XBD181" s="12"/>
      <c r="XBM181" s="11"/>
      <c r="XBN181" s="12"/>
      <c r="XBW181" s="11"/>
      <c r="XBX181" s="12"/>
      <c r="XCG181" s="11"/>
      <c r="XCH181" s="12"/>
      <c r="XCQ181" s="11"/>
      <c r="XCR181" s="12"/>
      <c r="XDA181" s="11"/>
      <c r="XDB181" s="12"/>
      <c r="XDK181" s="11"/>
      <c r="XDL181" s="12"/>
      <c r="XDU181" s="11"/>
      <c r="XDV181" s="12"/>
      <c r="XEE181" s="11"/>
      <c r="XEF181" s="12"/>
      <c r="XEO181" s="11"/>
      <c r="XEP181" s="12"/>
      <c r="XEY181" s="11"/>
      <c r="XEZ181" s="12"/>
    </row>
    <row r="182" spans="1:1020 1029:2040 2049:3070 3079:4090 4099:5120 5129:6140 6149:7160 7169:8190 8199:9210 9219:10240 10249:11260 11269:12280 12289:13310 13319:14330 14339:15360 15369:16380" s="10" customFormat="1" ht="27.6" x14ac:dyDescent="0.3">
      <c r="A182"/>
      <c r="B182"/>
      <c r="C182"/>
      <c r="D182"/>
      <c r="E182"/>
      <c r="F182"/>
      <c r="G182"/>
      <c r="H182" s="32" t="s">
        <v>9</v>
      </c>
      <c r="I182" s="33" t="s">
        <v>12</v>
      </c>
      <c r="J182" s="34" t="s">
        <v>13</v>
      </c>
      <c r="K182" s="35" t="s">
        <v>0</v>
      </c>
      <c r="L182" s="33"/>
      <c r="M182" s="33"/>
      <c r="N182" s="36"/>
      <c r="O182" s="33">
        <v>2</v>
      </c>
      <c r="P182" s="33">
        <f>IF(Tabela1[[#This Row],[Status]]="✔️",Tabela1[[#This Row],[Peso]],IF(Tabela1[[#This Row],[Status]]="✔️✔️",Tabela1[[#This Row],[Peso]]/2,0))</f>
        <v>2</v>
      </c>
      <c r="Q182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82" s="33" t="s">
        <v>264</v>
      </c>
      <c r="S182" s="37" t="s">
        <v>263</v>
      </c>
      <c r="T182" s="12"/>
      <c r="AC182" s="11"/>
      <c r="AD182" s="12"/>
      <c r="AM182" s="11"/>
      <c r="AN182" s="12"/>
      <c r="AW182" s="11"/>
      <c r="AX182" s="12"/>
      <c r="BG182" s="11"/>
      <c r="BH182" s="12"/>
      <c r="BQ182" s="11"/>
      <c r="BR182" s="12"/>
      <c r="CA182" s="11"/>
      <c r="CB182" s="12"/>
      <c r="CK182" s="11"/>
      <c r="CL182" s="12"/>
      <c r="CU182" s="11"/>
      <c r="CV182" s="12"/>
      <c r="DE182" s="11"/>
      <c r="DF182" s="12"/>
      <c r="DO182" s="11"/>
      <c r="DP182" s="12"/>
      <c r="DY182" s="11"/>
      <c r="DZ182" s="12"/>
      <c r="EI182" s="11"/>
      <c r="EJ182" s="12"/>
      <c r="ES182" s="11"/>
      <c r="ET182" s="12"/>
      <c r="FC182" s="11"/>
      <c r="FD182" s="12"/>
      <c r="FM182" s="11"/>
      <c r="FN182" s="12"/>
      <c r="FW182" s="11"/>
      <c r="FX182" s="12"/>
      <c r="GG182" s="11"/>
      <c r="GH182" s="12"/>
      <c r="GQ182" s="11"/>
      <c r="GR182" s="12"/>
      <c r="HA182" s="11"/>
      <c r="HB182" s="12"/>
      <c r="HK182" s="11"/>
      <c r="HL182" s="12"/>
      <c r="HU182" s="11"/>
      <c r="HV182" s="12"/>
      <c r="IE182" s="11"/>
      <c r="IF182" s="12"/>
      <c r="IO182" s="11"/>
      <c r="IP182" s="12"/>
      <c r="IY182" s="11"/>
      <c r="IZ182" s="12"/>
      <c r="JI182" s="11"/>
      <c r="JJ182" s="12"/>
      <c r="JS182" s="11"/>
      <c r="JT182" s="12"/>
      <c r="KC182" s="11"/>
      <c r="KD182" s="12"/>
      <c r="KM182" s="11"/>
      <c r="KN182" s="12"/>
      <c r="KW182" s="11"/>
      <c r="KX182" s="12"/>
      <c r="LG182" s="11"/>
      <c r="LH182" s="12"/>
      <c r="LQ182" s="11"/>
      <c r="LR182" s="12"/>
      <c r="MA182" s="11"/>
      <c r="MB182" s="12"/>
      <c r="MK182" s="11"/>
      <c r="ML182" s="12"/>
      <c r="MU182" s="11"/>
      <c r="MV182" s="12"/>
      <c r="NE182" s="11"/>
      <c r="NF182" s="12"/>
      <c r="NO182" s="11"/>
      <c r="NP182" s="12"/>
      <c r="NY182" s="11"/>
      <c r="NZ182" s="12"/>
      <c r="OI182" s="11"/>
      <c r="OJ182" s="12"/>
      <c r="OS182" s="11"/>
      <c r="OT182" s="12"/>
      <c r="PC182" s="11"/>
      <c r="PD182" s="12"/>
      <c r="PM182" s="11"/>
      <c r="PN182" s="12"/>
      <c r="PW182" s="11"/>
      <c r="PX182" s="12"/>
      <c r="QG182" s="11"/>
      <c r="QH182" s="12"/>
      <c r="QQ182" s="11"/>
      <c r="QR182" s="12"/>
      <c r="RA182" s="11"/>
      <c r="RB182" s="12"/>
      <c r="RK182" s="11"/>
      <c r="RL182" s="12"/>
      <c r="RU182" s="11"/>
      <c r="RV182" s="12"/>
      <c r="SE182" s="11"/>
      <c r="SF182" s="12"/>
      <c r="SO182" s="11"/>
      <c r="SP182" s="12"/>
      <c r="SY182" s="11"/>
      <c r="SZ182" s="12"/>
      <c r="TI182" s="11"/>
      <c r="TJ182" s="12"/>
      <c r="TS182" s="11"/>
      <c r="TT182" s="12"/>
      <c r="UC182" s="11"/>
      <c r="UD182" s="12"/>
      <c r="UM182" s="11"/>
      <c r="UN182" s="12"/>
      <c r="UW182" s="11"/>
      <c r="UX182" s="12"/>
      <c r="VG182" s="11"/>
      <c r="VH182" s="12"/>
      <c r="VQ182" s="11"/>
      <c r="VR182" s="12"/>
      <c r="WA182" s="11"/>
      <c r="WB182" s="12"/>
      <c r="WK182" s="11"/>
      <c r="WL182" s="12"/>
      <c r="WU182" s="11"/>
      <c r="WV182" s="12"/>
      <c r="XE182" s="11"/>
      <c r="XF182" s="12"/>
      <c r="XO182" s="11"/>
      <c r="XP182" s="12"/>
      <c r="XY182" s="11"/>
      <c r="XZ182" s="12"/>
      <c r="YI182" s="11"/>
      <c r="YJ182" s="12"/>
      <c r="YS182" s="11"/>
      <c r="YT182" s="12"/>
      <c r="ZC182" s="11"/>
      <c r="ZD182" s="12"/>
      <c r="ZM182" s="11"/>
      <c r="ZN182" s="12"/>
      <c r="ZW182" s="11"/>
      <c r="ZX182" s="12"/>
      <c r="AAG182" s="11"/>
      <c r="AAH182" s="12"/>
      <c r="AAQ182" s="11"/>
      <c r="AAR182" s="12"/>
      <c r="ABA182" s="11"/>
      <c r="ABB182" s="12"/>
      <c r="ABK182" s="11"/>
      <c r="ABL182" s="12"/>
      <c r="ABU182" s="11"/>
      <c r="ABV182" s="12"/>
      <c r="ACE182" s="11"/>
      <c r="ACF182" s="12"/>
      <c r="ACO182" s="11"/>
      <c r="ACP182" s="12"/>
      <c r="ACY182" s="11"/>
      <c r="ACZ182" s="12"/>
      <c r="ADI182" s="11"/>
      <c r="ADJ182" s="12"/>
      <c r="ADS182" s="11"/>
      <c r="ADT182" s="12"/>
      <c r="AEC182" s="11"/>
      <c r="AED182" s="12"/>
      <c r="AEM182" s="11"/>
      <c r="AEN182" s="12"/>
      <c r="AEW182" s="11"/>
      <c r="AEX182" s="12"/>
      <c r="AFG182" s="11"/>
      <c r="AFH182" s="12"/>
      <c r="AFQ182" s="11"/>
      <c r="AFR182" s="12"/>
      <c r="AGA182" s="11"/>
      <c r="AGB182" s="12"/>
      <c r="AGK182" s="11"/>
      <c r="AGL182" s="12"/>
      <c r="AGU182" s="11"/>
      <c r="AGV182" s="12"/>
      <c r="AHE182" s="11"/>
      <c r="AHF182" s="12"/>
      <c r="AHO182" s="11"/>
      <c r="AHP182" s="12"/>
      <c r="AHY182" s="11"/>
      <c r="AHZ182" s="12"/>
      <c r="AII182" s="11"/>
      <c r="AIJ182" s="12"/>
      <c r="AIS182" s="11"/>
      <c r="AIT182" s="12"/>
      <c r="AJC182" s="11"/>
      <c r="AJD182" s="12"/>
      <c r="AJM182" s="11"/>
      <c r="AJN182" s="12"/>
      <c r="AJW182" s="11"/>
      <c r="AJX182" s="12"/>
      <c r="AKG182" s="11"/>
      <c r="AKH182" s="12"/>
      <c r="AKQ182" s="11"/>
      <c r="AKR182" s="12"/>
      <c r="ALA182" s="11"/>
      <c r="ALB182" s="12"/>
      <c r="ALK182" s="11"/>
      <c r="ALL182" s="12"/>
      <c r="ALU182" s="11"/>
      <c r="ALV182" s="12"/>
      <c r="AME182" s="11"/>
      <c r="AMF182" s="12"/>
      <c r="AMO182" s="11"/>
      <c r="AMP182" s="12"/>
      <c r="AMY182" s="11"/>
      <c r="AMZ182" s="12"/>
      <c r="ANI182" s="11"/>
      <c r="ANJ182" s="12"/>
      <c r="ANS182" s="11"/>
      <c r="ANT182" s="12"/>
      <c r="AOC182" s="11"/>
      <c r="AOD182" s="12"/>
      <c r="AOM182" s="11"/>
      <c r="AON182" s="12"/>
      <c r="AOW182" s="11"/>
      <c r="AOX182" s="12"/>
      <c r="APG182" s="11"/>
      <c r="APH182" s="12"/>
      <c r="APQ182" s="11"/>
      <c r="APR182" s="12"/>
      <c r="AQA182" s="11"/>
      <c r="AQB182" s="12"/>
      <c r="AQK182" s="11"/>
      <c r="AQL182" s="12"/>
      <c r="AQU182" s="11"/>
      <c r="AQV182" s="12"/>
      <c r="ARE182" s="11"/>
      <c r="ARF182" s="12"/>
      <c r="ARO182" s="11"/>
      <c r="ARP182" s="12"/>
      <c r="ARY182" s="11"/>
      <c r="ARZ182" s="12"/>
      <c r="ASI182" s="11"/>
      <c r="ASJ182" s="12"/>
      <c r="ASS182" s="11"/>
      <c r="AST182" s="12"/>
      <c r="ATC182" s="11"/>
      <c r="ATD182" s="12"/>
      <c r="ATM182" s="11"/>
      <c r="ATN182" s="12"/>
      <c r="ATW182" s="11"/>
      <c r="ATX182" s="12"/>
      <c r="AUG182" s="11"/>
      <c r="AUH182" s="12"/>
      <c r="AUQ182" s="11"/>
      <c r="AUR182" s="12"/>
      <c r="AVA182" s="11"/>
      <c r="AVB182" s="12"/>
      <c r="AVK182" s="11"/>
      <c r="AVL182" s="12"/>
      <c r="AVU182" s="11"/>
      <c r="AVV182" s="12"/>
      <c r="AWE182" s="11"/>
      <c r="AWF182" s="12"/>
      <c r="AWO182" s="11"/>
      <c r="AWP182" s="12"/>
      <c r="AWY182" s="11"/>
      <c r="AWZ182" s="12"/>
      <c r="AXI182" s="11"/>
      <c r="AXJ182" s="12"/>
      <c r="AXS182" s="11"/>
      <c r="AXT182" s="12"/>
      <c r="AYC182" s="11"/>
      <c r="AYD182" s="12"/>
      <c r="AYM182" s="11"/>
      <c r="AYN182" s="12"/>
      <c r="AYW182" s="11"/>
      <c r="AYX182" s="12"/>
      <c r="AZG182" s="11"/>
      <c r="AZH182" s="12"/>
      <c r="AZQ182" s="11"/>
      <c r="AZR182" s="12"/>
      <c r="BAA182" s="11"/>
      <c r="BAB182" s="12"/>
      <c r="BAK182" s="11"/>
      <c r="BAL182" s="12"/>
      <c r="BAU182" s="11"/>
      <c r="BAV182" s="12"/>
      <c r="BBE182" s="11"/>
      <c r="BBF182" s="12"/>
      <c r="BBO182" s="11"/>
      <c r="BBP182" s="12"/>
      <c r="BBY182" s="11"/>
      <c r="BBZ182" s="12"/>
      <c r="BCI182" s="11"/>
      <c r="BCJ182" s="12"/>
      <c r="BCS182" s="11"/>
      <c r="BCT182" s="12"/>
      <c r="BDC182" s="11"/>
      <c r="BDD182" s="12"/>
      <c r="BDM182" s="11"/>
      <c r="BDN182" s="12"/>
      <c r="BDW182" s="11"/>
      <c r="BDX182" s="12"/>
      <c r="BEG182" s="11"/>
      <c r="BEH182" s="12"/>
      <c r="BEQ182" s="11"/>
      <c r="BER182" s="12"/>
      <c r="BFA182" s="11"/>
      <c r="BFB182" s="12"/>
      <c r="BFK182" s="11"/>
      <c r="BFL182" s="12"/>
      <c r="BFU182" s="11"/>
      <c r="BFV182" s="12"/>
      <c r="BGE182" s="11"/>
      <c r="BGF182" s="12"/>
      <c r="BGO182" s="11"/>
      <c r="BGP182" s="12"/>
      <c r="BGY182" s="11"/>
      <c r="BGZ182" s="12"/>
      <c r="BHI182" s="11"/>
      <c r="BHJ182" s="12"/>
      <c r="BHS182" s="11"/>
      <c r="BHT182" s="12"/>
      <c r="BIC182" s="11"/>
      <c r="BID182" s="12"/>
      <c r="BIM182" s="11"/>
      <c r="BIN182" s="12"/>
      <c r="BIW182" s="11"/>
      <c r="BIX182" s="12"/>
      <c r="BJG182" s="11"/>
      <c r="BJH182" s="12"/>
      <c r="BJQ182" s="11"/>
      <c r="BJR182" s="12"/>
      <c r="BKA182" s="11"/>
      <c r="BKB182" s="12"/>
      <c r="BKK182" s="11"/>
      <c r="BKL182" s="12"/>
      <c r="BKU182" s="11"/>
      <c r="BKV182" s="12"/>
      <c r="BLE182" s="11"/>
      <c r="BLF182" s="12"/>
      <c r="BLO182" s="11"/>
      <c r="BLP182" s="12"/>
      <c r="BLY182" s="11"/>
      <c r="BLZ182" s="12"/>
      <c r="BMI182" s="11"/>
      <c r="BMJ182" s="12"/>
      <c r="BMS182" s="11"/>
      <c r="BMT182" s="12"/>
      <c r="BNC182" s="11"/>
      <c r="BND182" s="12"/>
      <c r="BNM182" s="11"/>
      <c r="BNN182" s="12"/>
      <c r="BNW182" s="11"/>
      <c r="BNX182" s="12"/>
      <c r="BOG182" s="11"/>
      <c r="BOH182" s="12"/>
      <c r="BOQ182" s="11"/>
      <c r="BOR182" s="12"/>
      <c r="BPA182" s="11"/>
      <c r="BPB182" s="12"/>
      <c r="BPK182" s="11"/>
      <c r="BPL182" s="12"/>
      <c r="BPU182" s="11"/>
      <c r="BPV182" s="12"/>
      <c r="BQE182" s="11"/>
      <c r="BQF182" s="12"/>
      <c r="BQO182" s="11"/>
      <c r="BQP182" s="12"/>
      <c r="BQY182" s="11"/>
      <c r="BQZ182" s="12"/>
      <c r="BRI182" s="11"/>
      <c r="BRJ182" s="12"/>
      <c r="BRS182" s="11"/>
      <c r="BRT182" s="12"/>
      <c r="BSC182" s="11"/>
      <c r="BSD182" s="12"/>
      <c r="BSM182" s="11"/>
      <c r="BSN182" s="12"/>
      <c r="BSW182" s="11"/>
      <c r="BSX182" s="12"/>
      <c r="BTG182" s="11"/>
      <c r="BTH182" s="12"/>
      <c r="BTQ182" s="11"/>
      <c r="BTR182" s="12"/>
      <c r="BUA182" s="11"/>
      <c r="BUB182" s="12"/>
      <c r="BUK182" s="11"/>
      <c r="BUL182" s="12"/>
      <c r="BUU182" s="11"/>
      <c r="BUV182" s="12"/>
      <c r="BVE182" s="11"/>
      <c r="BVF182" s="12"/>
      <c r="BVO182" s="11"/>
      <c r="BVP182" s="12"/>
      <c r="BVY182" s="11"/>
      <c r="BVZ182" s="12"/>
      <c r="BWI182" s="11"/>
      <c r="BWJ182" s="12"/>
      <c r="BWS182" s="11"/>
      <c r="BWT182" s="12"/>
      <c r="BXC182" s="11"/>
      <c r="BXD182" s="12"/>
      <c r="BXM182" s="11"/>
      <c r="BXN182" s="12"/>
      <c r="BXW182" s="11"/>
      <c r="BXX182" s="12"/>
      <c r="BYG182" s="11"/>
      <c r="BYH182" s="12"/>
      <c r="BYQ182" s="11"/>
      <c r="BYR182" s="12"/>
      <c r="BZA182" s="11"/>
      <c r="BZB182" s="12"/>
      <c r="BZK182" s="11"/>
      <c r="BZL182" s="12"/>
      <c r="BZU182" s="11"/>
      <c r="BZV182" s="12"/>
      <c r="CAE182" s="11"/>
      <c r="CAF182" s="12"/>
      <c r="CAO182" s="11"/>
      <c r="CAP182" s="12"/>
      <c r="CAY182" s="11"/>
      <c r="CAZ182" s="12"/>
      <c r="CBI182" s="11"/>
      <c r="CBJ182" s="12"/>
      <c r="CBS182" s="11"/>
      <c r="CBT182" s="12"/>
      <c r="CCC182" s="11"/>
      <c r="CCD182" s="12"/>
      <c r="CCM182" s="11"/>
      <c r="CCN182" s="12"/>
      <c r="CCW182" s="11"/>
      <c r="CCX182" s="12"/>
      <c r="CDG182" s="11"/>
      <c r="CDH182" s="12"/>
      <c r="CDQ182" s="11"/>
      <c r="CDR182" s="12"/>
      <c r="CEA182" s="11"/>
      <c r="CEB182" s="12"/>
      <c r="CEK182" s="11"/>
      <c r="CEL182" s="12"/>
      <c r="CEU182" s="11"/>
      <c r="CEV182" s="12"/>
      <c r="CFE182" s="11"/>
      <c r="CFF182" s="12"/>
      <c r="CFO182" s="11"/>
      <c r="CFP182" s="12"/>
      <c r="CFY182" s="11"/>
      <c r="CFZ182" s="12"/>
      <c r="CGI182" s="11"/>
      <c r="CGJ182" s="12"/>
      <c r="CGS182" s="11"/>
      <c r="CGT182" s="12"/>
      <c r="CHC182" s="11"/>
      <c r="CHD182" s="12"/>
      <c r="CHM182" s="11"/>
      <c r="CHN182" s="12"/>
      <c r="CHW182" s="11"/>
      <c r="CHX182" s="12"/>
      <c r="CIG182" s="11"/>
      <c r="CIH182" s="12"/>
      <c r="CIQ182" s="11"/>
      <c r="CIR182" s="12"/>
      <c r="CJA182" s="11"/>
      <c r="CJB182" s="12"/>
      <c r="CJK182" s="11"/>
      <c r="CJL182" s="12"/>
      <c r="CJU182" s="11"/>
      <c r="CJV182" s="12"/>
      <c r="CKE182" s="11"/>
      <c r="CKF182" s="12"/>
      <c r="CKO182" s="11"/>
      <c r="CKP182" s="12"/>
      <c r="CKY182" s="11"/>
      <c r="CKZ182" s="12"/>
      <c r="CLI182" s="11"/>
      <c r="CLJ182" s="12"/>
      <c r="CLS182" s="11"/>
      <c r="CLT182" s="12"/>
      <c r="CMC182" s="11"/>
      <c r="CMD182" s="12"/>
      <c r="CMM182" s="11"/>
      <c r="CMN182" s="12"/>
      <c r="CMW182" s="11"/>
      <c r="CMX182" s="12"/>
      <c r="CNG182" s="11"/>
      <c r="CNH182" s="12"/>
      <c r="CNQ182" s="11"/>
      <c r="CNR182" s="12"/>
      <c r="COA182" s="11"/>
      <c r="COB182" s="12"/>
      <c r="COK182" s="11"/>
      <c r="COL182" s="12"/>
      <c r="COU182" s="11"/>
      <c r="COV182" s="12"/>
      <c r="CPE182" s="11"/>
      <c r="CPF182" s="12"/>
      <c r="CPO182" s="11"/>
      <c r="CPP182" s="12"/>
      <c r="CPY182" s="11"/>
      <c r="CPZ182" s="12"/>
      <c r="CQI182" s="11"/>
      <c r="CQJ182" s="12"/>
      <c r="CQS182" s="11"/>
      <c r="CQT182" s="12"/>
      <c r="CRC182" s="11"/>
      <c r="CRD182" s="12"/>
      <c r="CRM182" s="11"/>
      <c r="CRN182" s="12"/>
      <c r="CRW182" s="11"/>
      <c r="CRX182" s="12"/>
      <c r="CSG182" s="11"/>
      <c r="CSH182" s="12"/>
      <c r="CSQ182" s="11"/>
      <c r="CSR182" s="12"/>
      <c r="CTA182" s="11"/>
      <c r="CTB182" s="12"/>
      <c r="CTK182" s="11"/>
      <c r="CTL182" s="12"/>
      <c r="CTU182" s="11"/>
      <c r="CTV182" s="12"/>
      <c r="CUE182" s="11"/>
      <c r="CUF182" s="12"/>
      <c r="CUO182" s="11"/>
      <c r="CUP182" s="12"/>
      <c r="CUY182" s="11"/>
      <c r="CUZ182" s="12"/>
      <c r="CVI182" s="11"/>
      <c r="CVJ182" s="12"/>
      <c r="CVS182" s="11"/>
      <c r="CVT182" s="12"/>
      <c r="CWC182" s="11"/>
      <c r="CWD182" s="12"/>
      <c r="CWM182" s="11"/>
      <c r="CWN182" s="12"/>
      <c r="CWW182" s="11"/>
      <c r="CWX182" s="12"/>
      <c r="CXG182" s="11"/>
      <c r="CXH182" s="12"/>
      <c r="CXQ182" s="11"/>
      <c r="CXR182" s="12"/>
      <c r="CYA182" s="11"/>
      <c r="CYB182" s="12"/>
      <c r="CYK182" s="11"/>
      <c r="CYL182" s="12"/>
      <c r="CYU182" s="11"/>
      <c r="CYV182" s="12"/>
      <c r="CZE182" s="11"/>
      <c r="CZF182" s="12"/>
      <c r="CZO182" s="11"/>
      <c r="CZP182" s="12"/>
      <c r="CZY182" s="11"/>
      <c r="CZZ182" s="12"/>
      <c r="DAI182" s="11"/>
      <c r="DAJ182" s="12"/>
      <c r="DAS182" s="11"/>
      <c r="DAT182" s="12"/>
      <c r="DBC182" s="11"/>
      <c r="DBD182" s="12"/>
      <c r="DBM182" s="11"/>
      <c r="DBN182" s="12"/>
      <c r="DBW182" s="11"/>
      <c r="DBX182" s="12"/>
      <c r="DCG182" s="11"/>
      <c r="DCH182" s="12"/>
      <c r="DCQ182" s="11"/>
      <c r="DCR182" s="12"/>
      <c r="DDA182" s="11"/>
      <c r="DDB182" s="12"/>
      <c r="DDK182" s="11"/>
      <c r="DDL182" s="12"/>
      <c r="DDU182" s="11"/>
      <c r="DDV182" s="12"/>
      <c r="DEE182" s="11"/>
      <c r="DEF182" s="12"/>
      <c r="DEO182" s="11"/>
      <c r="DEP182" s="12"/>
      <c r="DEY182" s="11"/>
      <c r="DEZ182" s="12"/>
      <c r="DFI182" s="11"/>
      <c r="DFJ182" s="12"/>
      <c r="DFS182" s="11"/>
      <c r="DFT182" s="12"/>
      <c r="DGC182" s="11"/>
      <c r="DGD182" s="12"/>
      <c r="DGM182" s="11"/>
      <c r="DGN182" s="12"/>
      <c r="DGW182" s="11"/>
      <c r="DGX182" s="12"/>
      <c r="DHG182" s="11"/>
      <c r="DHH182" s="12"/>
      <c r="DHQ182" s="11"/>
      <c r="DHR182" s="12"/>
      <c r="DIA182" s="11"/>
      <c r="DIB182" s="12"/>
      <c r="DIK182" s="11"/>
      <c r="DIL182" s="12"/>
      <c r="DIU182" s="11"/>
      <c r="DIV182" s="12"/>
      <c r="DJE182" s="11"/>
      <c r="DJF182" s="12"/>
      <c r="DJO182" s="11"/>
      <c r="DJP182" s="12"/>
      <c r="DJY182" s="11"/>
      <c r="DJZ182" s="12"/>
      <c r="DKI182" s="11"/>
      <c r="DKJ182" s="12"/>
      <c r="DKS182" s="11"/>
      <c r="DKT182" s="12"/>
      <c r="DLC182" s="11"/>
      <c r="DLD182" s="12"/>
      <c r="DLM182" s="11"/>
      <c r="DLN182" s="12"/>
      <c r="DLW182" s="11"/>
      <c r="DLX182" s="12"/>
      <c r="DMG182" s="11"/>
      <c r="DMH182" s="12"/>
      <c r="DMQ182" s="11"/>
      <c r="DMR182" s="12"/>
      <c r="DNA182" s="11"/>
      <c r="DNB182" s="12"/>
      <c r="DNK182" s="11"/>
      <c r="DNL182" s="12"/>
      <c r="DNU182" s="11"/>
      <c r="DNV182" s="12"/>
      <c r="DOE182" s="11"/>
      <c r="DOF182" s="12"/>
      <c r="DOO182" s="11"/>
      <c r="DOP182" s="12"/>
      <c r="DOY182" s="11"/>
      <c r="DOZ182" s="12"/>
      <c r="DPI182" s="11"/>
      <c r="DPJ182" s="12"/>
      <c r="DPS182" s="11"/>
      <c r="DPT182" s="12"/>
      <c r="DQC182" s="11"/>
      <c r="DQD182" s="12"/>
      <c r="DQM182" s="11"/>
      <c r="DQN182" s="12"/>
      <c r="DQW182" s="11"/>
      <c r="DQX182" s="12"/>
      <c r="DRG182" s="11"/>
      <c r="DRH182" s="12"/>
      <c r="DRQ182" s="11"/>
      <c r="DRR182" s="12"/>
      <c r="DSA182" s="11"/>
      <c r="DSB182" s="12"/>
      <c r="DSK182" s="11"/>
      <c r="DSL182" s="12"/>
      <c r="DSU182" s="11"/>
      <c r="DSV182" s="12"/>
      <c r="DTE182" s="11"/>
      <c r="DTF182" s="12"/>
      <c r="DTO182" s="11"/>
      <c r="DTP182" s="12"/>
      <c r="DTY182" s="11"/>
      <c r="DTZ182" s="12"/>
      <c r="DUI182" s="11"/>
      <c r="DUJ182" s="12"/>
      <c r="DUS182" s="11"/>
      <c r="DUT182" s="12"/>
      <c r="DVC182" s="11"/>
      <c r="DVD182" s="12"/>
      <c r="DVM182" s="11"/>
      <c r="DVN182" s="12"/>
      <c r="DVW182" s="11"/>
      <c r="DVX182" s="12"/>
      <c r="DWG182" s="11"/>
      <c r="DWH182" s="12"/>
      <c r="DWQ182" s="11"/>
      <c r="DWR182" s="12"/>
      <c r="DXA182" s="11"/>
      <c r="DXB182" s="12"/>
      <c r="DXK182" s="11"/>
      <c r="DXL182" s="12"/>
      <c r="DXU182" s="11"/>
      <c r="DXV182" s="12"/>
      <c r="DYE182" s="11"/>
      <c r="DYF182" s="12"/>
      <c r="DYO182" s="11"/>
      <c r="DYP182" s="12"/>
      <c r="DYY182" s="11"/>
      <c r="DYZ182" s="12"/>
      <c r="DZI182" s="11"/>
      <c r="DZJ182" s="12"/>
      <c r="DZS182" s="11"/>
      <c r="DZT182" s="12"/>
      <c r="EAC182" s="11"/>
      <c r="EAD182" s="12"/>
      <c r="EAM182" s="11"/>
      <c r="EAN182" s="12"/>
      <c r="EAW182" s="11"/>
      <c r="EAX182" s="12"/>
      <c r="EBG182" s="11"/>
      <c r="EBH182" s="12"/>
      <c r="EBQ182" s="11"/>
      <c r="EBR182" s="12"/>
      <c r="ECA182" s="11"/>
      <c r="ECB182" s="12"/>
      <c r="ECK182" s="11"/>
      <c r="ECL182" s="12"/>
      <c r="ECU182" s="11"/>
      <c r="ECV182" s="12"/>
      <c r="EDE182" s="11"/>
      <c r="EDF182" s="12"/>
      <c r="EDO182" s="11"/>
      <c r="EDP182" s="12"/>
      <c r="EDY182" s="11"/>
      <c r="EDZ182" s="12"/>
      <c r="EEI182" s="11"/>
      <c r="EEJ182" s="12"/>
      <c r="EES182" s="11"/>
      <c r="EET182" s="12"/>
      <c r="EFC182" s="11"/>
      <c r="EFD182" s="12"/>
      <c r="EFM182" s="11"/>
      <c r="EFN182" s="12"/>
      <c r="EFW182" s="11"/>
      <c r="EFX182" s="12"/>
      <c r="EGG182" s="11"/>
      <c r="EGH182" s="12"/>
      <c r="EGQ182" s="11"/>
      <c r="EGR182" s="12"/>
      <c r="EHA182" s="11"/>
      <c r="EHB182" s="12"/>
      <c r="EHK182" s="11"/>
      <c r="EHL182" s="12"/>
      <c r="EHU182" s="11"/>
      <c r="EHV182" s="12"/>
      <c r="EIE182" s="11"/>
      <c r="EIF182" s="12"/>
      <c r="EIO182" s="11"/>
      <c r="EIP182" s="12"/>
      <c r="EIY182" s="11"/>
      <c r="EIZ182" s="12"/>
      <c r="EJI182" s="11"/>
      <c r="EJJ182" s="12"/>
      <c r="EJS182" s="11"/>
      <c r="EJT182" s="12"/>
      <c r="EKC182" s="11"/>
      <c r="EKD182" s="12"/>
      <c r="EKM182" s="11"/>
      <c r="EKN182" s="12"/>
      <c r="EKW182" s="11"/>
      <c r="EKX182" s="12"/>
      <c r="ELG182" s="11"/>
      <c r="ELH182" s="12"/>
      <c r="ELQ182" s="11"/>
      <c r="ELR182" s="12"/>
      <c r="EMA182" s="11"/>
      <c r="EMB182" s="12"/>
      <c r="EMK182" s="11"/>
      <c r="EML182" s="12"/>
      <c r="EMU182" s="11"/>
      <c r="EMV182" s="12"/>
      <c r="ENE182" s="11"/>
      <c r="ENF182" s="12"/>
      <c r="ENO182" s="11"/>
      <c r="ENP182" s="12"/>
      <c r="ENY182" s="11"/>
      <c r="ENZ182" s="12"/>
      <c r="EOI182" s="11"/>
      <c r="EOJ182" s="12"/>
      <c r="EOS182" s="11"/>
      <c r="EOT182" s="12"/>
      <c r="EPC182" s="11"/>
      <c r="EPD182" s="12"/>
      <c r="EPM182" s="11"/>
      <c r="EPN182" s="12"/>
      <c r="EPW182" s="11"/>
      <c r="EPX182" s="12"/>
      <c r="EQG182" s="11"/>
      <c r="EQH182" s="12"/>
      <c r="EQQ182" s="11"/>
      <c r="EQR182" s="12"/>
      <c r="ERA182" s="11"/>
      <c r="ERB182" s="12"/>
      <c r="ERK182" s="11"/>
      <c r="ERL182" s="12"/>
      <c r="ERU182" s="11"/>
      <c r="ERV182" s="12"/>
      <c r="ESE182" s="11"/>
      <c r="ESF182" s="12"/>
      <c r="ESO182" s="11"/>
      <c r="ESP182" s="12"/>
      <c r="ESY182" s="11"/>
      <c r="ESZ182" s="12"/>
      <c r="ETI182" s="11"/>
      <c r="ETJ182" s="12"/>
      <c r="ETS182" s="11"/>
      <c r="ETT182" s="12"/>
      <c r="EUC182" s="11"/>
      <c r="EUD182" s="12"/>
      <c r="EUM182" s="11"/>
      <c r="EUN182" s="12"/>
      <c r="EUW182" s="11"/>
      <c r="EUX182" s="12"/>
      <c r="EVG182" s="11"/>
      <c r="EVH182" s="12"/>
      <c r="EVQ182" s="11"/>
      <c r="EVR182" s="12"/>
      <c r="EWA182" s="11"/>
      <c r="EWB182" s="12"/>
      <c r="EWK182" s="11"/>
      <c r="EWL182" s="12"/>
      <c r="EWU182" s="11"/>
      <c r="EWV182" s="12"/>
      <c r="EXE182" s="11"/>
      <c r="EXF182" s="12"/>
      <c r="EXO182" s="11"/>
      <c r="EXP182" s="12"/>
      <c r="EXY182" s="11"/>
      <c r="EXZ182" s="12"/>
      <c r="EYI182" s="11"/>
      <c r="EYJ182" s="12"/>
      <c r="EYS182" s="11"/>
      <c r="EYT182" s="12"/>
      <c r="EZC182" s="11"/>
      <c r="EZD182" s="12"/>
      <c r="EZM182" s="11"/>
      <c r="EZN182" s="12"/>
      <c r="EZW182" s="11"/>
      <c r="EZX182" s="12"/>
      <c r="FAG182" s="11"/>
      <c r="FAH182" s="12"/>
      <c r="FAQ182" s="11"/>
      <c r="FAR182" s="12"/>
      <c r="FBA182" s="11"/>
      <c r="FBB182" s="12"/>
      <c r="FBK182" s="11"/>
      <c r="FBL182" s="12"/>
      <c r="FBU182" s="11"/>
      <c r="FBV182" s="12"/>
      <c r="FCE182" s="11"/>
      <c r="FCF182" s="12"/>
      <c r="FCO182" s="11"/>
      <c r="FCP182" s="12"/>
      <c r="FCY182" s="11"/>
      <c r="FCZ182" s="12"/>
      <c r="FDI182" s="11"/>
      <c r="FDJ182" s="12"/>
      <c r="FDS182" s="11"/>
      <c r="FDT182" s="12"/>
      <c r="FEC182" s="11"/>
      <c r="FED182" s="12"/>
      <c r="FEM182" s="11"/>
      <c r="FEN182" s="12"/>
      <c r="FEW182" s="11"/>
      <c r="FEX182" s="12"/>
      <c r="FFG182" s="11"/>
      <c r="FFH182" s="12"/>
      <c r="FFQ182" s="11"/>
      <c r="FFR182" s="12"/>
      <c r="FGA182" s="11"/>
      <c r="FGB182" s="12"/>
      <c r="FGK182" s="11"/>
      <c r="FGL182" s="12"/>
      <c r="FGU182" s="11"/>
      <c r="FGV182" s="12"/>
      <c r="FHE182" s="11"/>
      <c r="FHF182" s="12"/>
      <c r="FHO182" s="11"/>
      <c r="FHP182" s="12"/>
      <c r="FHY182" s="11"/>
      <c r="FHZ182" s="12"/>
      <c r="FII182" s="11"/>
      <c r="FIJ182" s="12"/>
      <c r="FIS182" s="11"/>
      <c r="FIT182" s="12"/>
      <c r="FJC182" s="11"/>
      <c r="FJD182" s="12"/>
      <c r="FJM182" s="11"/>
      <c r="FJN182" s="12"/>
      <c r="FJW182" s="11"/>
      <c r="FJX182" s="12"/>
      <c r="FKG182" s="11"/>
      <c r="FKH182" s="12"/>
      <c r="FKQ182" s="11"/>
      <c r="FKR182" s="12"/>
      <c r="FLA182" s="11"/>
      <c r="FLB182" s="12"/>
      <c r="FLK182" s="11"/>
      <c r="FLL182" s="12"/>
      <c r="FLU182" s="11"/>
      <c r="FLV182" s="12"/>
      <c r="FME182" s="11"/>
      <c r="FMF182" s="12"/>
      <c r="FMO182" s="11"/>
      <c r="FMP182" s="12"/>
      <c r="FMY182" s="11"/>
      <c r="FMZ182" s="12"/>
      <c r="FNI182" s="11"/>
      <c r="FNJ182" s="12"/>
      <c r="FNS182" s="11"/>
      <c r="FNT182" s="12"/>
      <c r="FOC182" s="11"/>
      <c r="FOD182" s="12"/>
      <c r="FOM182" s="11"/>
      <c r="FON182" s="12"/>
      <c r="FOW182" s="11"/>
      <c r="FOX182" s="12"/>
      <c r="FPG182" s="11"/>
      <c r="FPH182" s="12"/>
      <c r="FPQ182" s="11"/>
      <c r="FPR182" s="12"/>
      <c r="FQA182" s="11"/>
      <c r="FQB182" s="12"/>
      <c r="FQK182" s="11"/>
      <c r="FQL182" s="12"/>
      <c r="FQU182" s="11"/>
      <c r="FQV182" s="12"/>
      <c r="FRE182" s="11"/>
      <c r="FRF182" s="12"/>
      <c r="FRO182" s="11"/>
      <c r="FRP182" s="12"/>
      <c r="FRY182" s="11"/>
      <c r="FRZ182" s="12"/>
      <c r="FSI182" s="11"/>
      <c r="FSJ182" s="12"/>
      <c r="FSS182" s="11"/>
      <c r="FST182" s="12"/>
      <c r="FTC182" s="11"/>
      <c r="FTD182" s="12"/>
      <c r="FTM182" s="11"/>
      <c r="FTN182" s="12"/>
      <c r="FTW182" s="11"/>
      <c r="FTX182" s="12"/>
      <c r="FUG182" s="11"/>
      <c r="FUH182" s="12"/>
      <c r="FUQ182" s="11"/>
      <c r="FUR182" s="12"/>
      <c r="FVA182" s="11"/>
      <c r="FVB182" s="12"/>
      <c r="FVK182" s="11"/>
      <c r="FVL182" s="12"/>
      <c r="FVU182" s="11"/>
      <c r="FVV182" s="12"/>
      <c r="FWE182" s="11"/>
      <c r="FWF182" s="12"/>
      <c r="FWO182" s="11"/>
      <c r="FWP182" s="12"/>
      <c r="FWY182" s="11"/>
      <c r="FWZ182" s="12"/>
      <c r="FXI182" s="11"/>
      <c r="FXJ182" s="12"/>
      <c r="FXS182" s="11"/>
      <c r="FXT182" s="12"/>
      <c r="FYC182" s="11"/>
      <c r="FYD182" s="12"/>
      <c r="FYM182" s="11"/>
      <c r="FYN182" s="12"/>
      <c r="FYW182" s="11"/>
      <c r="FYX182" s="12"/>
      <c r="FZG182" s="11"/>
      <c r="FZH182" s="12"/>
      <c r="FZQ182" s="11"/>
      <c r="FZR182" s="12"/>
      <c r="GAA182" s="11"/>
      <c r="GAB182" s="12"/>
      <c r="GAK182" s="11"/>
      <c r="GAL182" s="12"/>
      <c r="GAU182" s="11"/>
      <c r="GAV182" s="12"/>
      <c r="GBE182" s="11"/>
      <c r="GBF182" s="12"/>
      <c r="GBO182" s="11"/>
      <c r="GBP182" s="12"/>
      <c r="GBY182" s="11"/>
      <c r="GBZ182" s="12"/>
      <c r="GCI182" s="11"/>
      <c r="GCJ182" s="12"/>
      <c r="GCS182" s="11"/>
      <c r="GCT182" s="12"/>
      <c r="GDC182" s="11"/>
      <c r="GDD182" s="12"/>
      <c r="GDM182" s="11"/>
      <c r="GDN182" s="12"/>
      <c r="GDW182" s="11"/>
      <c r="GDX182" s="12"/>
      <c r="GEG182" s="11"/>
      <c r="GEH182" s="12"/>
      <c r="GEQ182" s="11"/>
      <c r="GER182" s="12"/>
      <c r="GFA182" s="11"/>
      <c r="GFB182" s="12"/>
      <c r="GFK182" s="11"/>
      <c r="GFL182" s="12"/>
      <c r="GFU182" s="11"/>
      <c r="GFV182" s="12"/>
      <c r="GGE182" s="11"/>
      <c r="GGF182" s="12"/>
      <c r="GGO182" s="11"/>
      <c r="GGP182" s="12"/>
      <c r="GGY182" s="11"/>
      <c r="GGZ182" s="12"/>
      <c r="GHI182" s="11"/>
      <c r="GHJ182" s="12"/>
      <c r="GHS182" s="11"/>
      <c r="GHT182" s="12"/>
      <c r="GIC182" s="11"/>
      <c r="GID182" s="12"/>
      <c r="GIM182" s="11"/>
      <c r="GIN182" s="12"/>
      <c r="GIW182" s="11"/>
      <c r="GIX182" s="12"/>
      <c r="GJG182" s="11"/>
      <c r="GJH182" s="12"/>
      <c r="GJQ182" s="11"/>
      <c r="GJR182" s="12"/>
      <c r="GKA182" s="11"/>
      <c r="GKB182" s="12"/>
      <c r="GKK182" s="11"/>
      <c r="GKL182" s="12"/>
      <c r="GKU182" s="11"/>
      <c r="GKV182" s="12"/>
      <c r="GLE182" s="11"/>
      <c r="GLF182" s="12"/>
      <c r="GLO182" s="11"/>
      <c r="GLP182" s="12"/>
      <c r="GLY182" s="11"/>
      <c r="GLZ182" s="12"/>
      <c r="GMI182" s="11"/>
      <c r="GMJ182" s="12"/>
      <c r="GMS182" s="11"/>
      <c r="GMT182" s="12"/>
      <c r="GNC182" s="11"/>
      <c r="GND182" s="12"/>
      <c r="GNM182" s="11"/>
      <c r="GNN182" s="12"/>
      <c r="GNW182" s="11"/>
      <c r="GNX182" s="12"/>
      <c r="GOG182" s="11"/>
      <c r="GOH182" s="12"/>
      <c r="GOQ182" s="11"/>
      <c r="GOR182" s="12"/>
      <c r="GPA182" s="11"/>
      <c r="GPB182" s="12"/>
      <c r="GPK182" s="11"/>
      <c r="GPL182" s="12"/>
      <c r="GPU182" s="11"/>
      <c r="GPV182" s="12"/>
      <c r="GQE182" s="11"/>
      <c r="GQF182" s="12"/>
      <c r="GQO182" s="11"/>
      <c r="GQP182" s="12"/>
      <c r="GQY182" s="11"/>
      <c r="GQZ182" s="12"/>
      <c r="GRI182" s="11"/>
      <c r="GRJ182" s="12"/>
      <c r="GRS182" s="11"/>
      <c r="GRT182" s="12"/>
      <c r="GSC182" s="11"/>
      <c r="GSD182" s="12"/>
      <c r="GSM182" s="11"/>
      <c r="GSN182" s="12"/>
      <c r="GSW182" s="11"/>
      <c r="GSX182" s="12"/>
      <c r="GTG182" s="11"/>
      <c r="GTH182" s="12"/>
      <c r="GTQ182" s="11"/>
      <c r="GTR182" s="12"/>
      <c r="GUA182" s="11"/>
      <c r="GUB182" s="12"/>
      <c r="GUK182" s="11"/>
      <c r="GUL182" s="12"/>
      <c r="GUU182" s="11"/>
      <c r="GUV182" s="12"/>
      <c r="GVE182" s="11"/>
      <c r="GVF182" s="12"/>
      <c r="GVO182" s="11"/>
      <c r="GVP182" s="12"/>
      <c r="GVY182" s="11"/>
      <c r="GVZ182" s="12"/>
      <c r="GWI182" s="11"/>
      <c r="GWJ182" s="12"/>
      <c r="GWS182" s="11"/>
      <c r="GWT182" s="12"/>
      <c r="GXC182" s="11"/>
      <c r="GXD182" s="12"/>
      <c r="GXM182" s="11"/>
      <c r="GXN182" s="12"/>
      <c r="GXW182" s="11"/>
      <c r="GXX182" s="12"/>
      <c r="GYG182" s="11"/>
      <c r="GYH182" s="12"/>
      <c r="GYQ182" s="11"/>
      <c r="GYR182" s="12"/>
      <c r="GZA182" s="11"/>
      <c r="GZB182" s="12"/>
      <c r="GZK182" s="11"/>
      <c r="GZL182" s="12"/>
      <c r="GZU182" s="11"/>
      <c r="GZV182" s="12"/>
      <c r="HAE182" s="11"/>
      <c r="HAF182" s="12"/>
      <c r="HAO182" s="11"/>
      <c r="HAP182" s="12"/>
      <c r="HAY182" s="11"/>
      <c r="HAZ182" s="12"/>
      <c r="HBI182" s="11"/>
      <c r="HBJ182" s="12"/>
      <c r="HBS182" s="11"/>
      <c r="HBT182" s="12"/>
      <c r="HCC182" s="11"/>
      <c r="HCD182" s="12"/>
      <c r="HCM182" s="11"/>
      <c r="HCN182" s="12"/>
      <c r="HCW182" s="11"/>
      <c r="HCX182" s="12"/>
      <c r="HDG182" s="11"/>
      <c r="HDH182" s="12"/>
      <c r="HDQ182" s="11"/>
      <c r="HDR182" s="12"/>
      <c r="HEA182" s="11"/>
      <c r="HEB182" s="12"/>
      <c r="HEK182" s="11"/>
      <c r="HEL182" s="12"/>
      <c r="HEU182" s="11"/>
      <c r="HEV182" s="12"/>
      <c r="HFE182" s="11"/>
      <c r="HFF182" s="12"/>
      <c r="HFO182" s="11"/>
      <c r="HFP182" s="12"/>
      <c r="HFY182" s="11"/>
      <c r="HFZ182" s="12"/>
      <c r="HGI182" s="11"/>
      <c r="HGJ182" s="12"/>
      <c r="HGS182" s="11"/>
      <c r="HGT182" s="12"/>
      <c r="HHC182" s="11"/>
      <c r="HHD182" s="12"/>
      <c r="HHM182" s="11"/>
      <c r="HHN182" s="12"/>
      <c r="HHW182" s="11"/>
      <c r="HHX182" s="12"/>
      <c r="HIG182" s="11"/>
      <c r="HIH182" s="12"/>
      <c r="HIQ182" s="11"/>
      <c r="HIR182" s="12"/>
      <c r="HJA182" s="11"/>
      <c r="HJB182" s="12"/>
      <c r="HJK182" s="11"/>
      <c r="HJL182" s="12"/>
      <c r="HJU182" s="11"/>
      <c r="HJV182" s="12"/>
      <c r="HKE182" s="11"/>
      <c r="HKF182" s="12"/>
      <c r="HKO182" s="11"/>
      <c r="HKP182" s="12"/>
      <c r="HKY182" s="11"/>
      <c r="HKZ182" s="12"/>
      <c r="HLI182" s="11"/>
      <c r="HLJ182" s="12"/>
      <c r="HLS182" s="11"/>
      <c r="HLT182" s="12"/>
      <c r="HMC182" s="11"/>
      <c r="HMD182" s="12"/>
      <c r="HMM182" s="11"/>
      <c r="HMN182" s="12"/>
      <c r="HMW182" s="11"/>
      <c r="HMX182" s="12"/>
      <c r="HNG182" s="11"/>
      <c r="HNH182" s="12"/>
      <c r="HNQ182" s="11"/>
      <c r="HNR182" s="12"/>
      <c r="HOA182" s="11"/>
      <c r="HOB182" s="12"/>
      <c r="HOK182" s="11"/>
      <c r="HOL182" s="12"/>
      <c r="HOU182" s="11"/>
      <c r="HOV182" s="12"/>
      <c r="HPE182" s="11"/>
      <c r="HPF182" s="12"/>
      <c r="HPO182" s="11"/>
      <c r="HPP182" s="12"/>
      <c r="HPY182" s="11"/>
      <c r="HPZ182" s="12"/>
      <c r="HQI182" s="11"/>
      <c r="HQJ182" s="12"/>
      <c r="HQS182" s="11"/>
      <c r="HQT182" s="12"/>
      <c r="HRC182" s="11"/>
      <c r="HRD182" s="12"/>
      <c r="HRM182" s="11"/>
      <c r="HRN182" s="12"/>
      <c r="HRW182" s="11"/>
      <c r="HRX182" s="12"/>
      <c r="HSG182" s="11"/>
      <c r="HSH182" s="12"/>
      <c r="HSQ182" s="11"/>
      <c r="HSR182" s="12"/>
      <c r="HTA182" s="11"/>
      <c r="HTB182" s="12"/>
      <c r="HTK182" s="11"/>
      <c r="HTL182" s="12"/>
      <c r="HTU182" s="11"/>
      <c r="HTV182" s="12"/>
      <c r="HUE182" s="11"/>
      <c r="HUF182" s="12"/>
      <c r="HUO182" s="11"/>
      <c r="HUP182" s="12"/>
      <c r="HUY182" s="11"/>
      <c r="HUZ182" s="12"/>
      <c r="HVI182" s="11"/>
      <c r="HVJ182" s="12"/>
      <c r="HVS182" s="11"/>
      <c r="HVT182" s="12"/>
      <c r="HWC182" s="11"/>
      <c r="HWD182" s="12"/>
      <c r="HWM182" s="11"/>
      <c r="HWN182" s="12"/>
      <c r="HWW182" s="11"/>
      <c r="HWX182" s="12"/>
      <c r="HXG182" s="11"/>
      <c r="HXH182" s="12"/>
      <c r="HXQ182" s="11"/>
      <c r="HXR182" s="12"/>
      <c r="HYA182" s="11"/>
      <c r="HYB182" s="12"/>
      <c r="HYK182" s="11"/>
      <c r="HYL182" s="12"/>
      <c r="HYU182" s="11"/>
      <c r="HYV182" s="12"/>
      <c r="HZE182" s="11"/>
      <c r="HZF182" s="12"/>
      <c r="HZO182" s="11"/>
      <c r="HZP182" s="12"/>
      <c r="HZY182" s="11"/>
      <c r="HZZ182" s="12"/>
      <c r="IAI182" s="11"/>
      <c r="IAJ182" s="12"/>
      <c r="IAS182" s="11"/>
      <c r="IAT182" s="12"/>
      <c r="IBC182" s="11"/>
      <c r="IBD182" s="12"/>
      <c r="IBM182" s="11"/>
      <c r="IBN182" s="12"/>
      <c r="IBW182" s="11"/>
      <c r="IBX182" s="12"/>
      <c r="ICG182" s="11"/>
      <c r="ICH182" s="12"/>
      <c r="ICQ182" s="11"/>
      <c r="ICR182" s="12"/>
      <c r="IDA182" s="11"/>
      <c r="IDB182" s="12"/>
      <c r="IDK182" s="11"/>
      <c r="IDL182" s="12"/>
      <c r="IDU182" s="11"/>
      <c r="IDV182" s="12"/>
      <c r="IEE182" s="11"/>
      <c r="IEF182" s="12"/>
      <c r="IEO182" s="11"/>
      <c r="IEP182" s="12"/>
      <c r="IEY182" s="11"/>
      <c r="IEZ182" s="12"/>
      <c r="IFI182" s="11"/>
      <c r="IFJ182" s="12"/>
      <c r="IFS182" s="11"/>
      <c r="IFT182" s="12"/>
      <c r="IGC182" s="11"/>
      <c r="IGD182" s="12"/>
      <c r="IGM182" s="11"/>
      <c r="IGN182" s="12"/>
      <c r="IGW182" s="11"/>
      <c r="IGX182" s="12"/>
      <c r="IHG182" s="11"/>
      <c r="IHH182" s="12"/>
      <c r="IHQ182" s="11"/>
      <c r="IHR182" s="12"/>
      <c r="IIA182" s="11"/>
      <c r="IIB182" s="12"/>
      <c r="IIK182" s="11"/>
      <c r="IIL182" s="12"/>
      <c r="IIU182" s="11"/>
      <c r="IIV182" s="12"/>
      <c r="IJE182" s="11"/>
      <c r="IJF182" s="12"/>
      <c r="IJO182" s="11"/>
      <c r="IJP182" s="12"/>
      <c r="IJY182" s="11"/>
      <c r="IJZ182" s="12"/>
      <c r="IKI182" s="11"/>
      <c r="IKJ182" s="12"/>
      <c r="IKS182" s="11"/>
      <c r="IKT182" s="12"/>
      <c r="ILC182" s="11"/>
      <c r="ILD182" s="12"/>
      <c r="ILM182" s="11"/>
      <c r="ILN182" s="12"/>
      <c r="ILW182" s="11"/>
      <c r="ILX182" s="12"/>
      <c r="IMG182" s="11"/>
      <c r="IMH182" s="12"/>
      <c r="IMQ182" s="11"/>
      <c r="IMR182" s="12"/>
      <c r="INA182" s="11"/>
      <c r="INB182" s="12"/>
      <c r="INK182" s="11"/>
      <c r="INL182" s="12"/>
      <c r="INU182" s="11"/>
      <c r="INV182" s="12"/>
      <c r="IOE182" s="11"/>
      <c r="IOF182" s="12"/>
      <c r="IOO182" s="11"/>
      <c r="IOP182" s="12"/>
      <c r="IOY182" s="11"/>
      <c r="IOZ182" s="12"/>
      <c r="IPI182" s="11"/>
      <c r="IPJ182" s="12"/>
      <c r="IPS182" s="11"/>
      <c r="IPT182" s="12"/>
      <c r="IQC182" s="11"/>
      <c r="IQD182" s="12"/>
      <c r="IQM182" s="11"/>
      <c r="IQN182" s="12"/>
      <c r="IQW182" s="11"/>
      <c r="IQX182" s="12"/>
      <c r="IRG182" s="11"/>
      <c r="IRH182" s="12"/>
      <c r="IRQ182" s="11"/>
      <c r="IRR182" s="12"/>
      <c r="ISA182" s="11"/>
      <c r="ISB182" s="12"/>
      <c r="ISK182" s="11"/>
      <c r="ISL182" s="12"/>
      <c r="ISU182" s="11"/>
      <c r="ISV182" s="12"/>
      <c r="ITE182" s="11"/>
      <c r="ITF182" s="12"/>
      <c r="ITO182" s="11"/>
      <c r="ITP182" s="12"/>
      <c r="ITY182" s="11"/>
      <c r="ITZ182" s="12"/>
      <c r="IUI182" s="11"/>
      <c r="IUJ182" s="12"/>
      <c r="IUS182" s="11"/>
      <c r="IUT182" s="12"/>
      <c r="IVC182" s="11"/>
      <c r="IVD182" s="12"/>
      <c r="IVM182" s="11"/>
      <c r="IVN182" s="12"/>
      <c r="IVW182" s="11"/>
      <c r="IVX182" s="12"/>
      <c r="IWG182" s="11"/>
      <c r="IWH182" s="12"/>
      <c r="IWQ182" s="11"/>
      <c r="IWR182" s="12"/>
      <c r="IXA182" s="11"/>
      <c r="IXB182" s="12"/>
      <c r="IXK182" s="11"/>
      <c r="IXL182" s="12"/>
      <c r="IXU182" s="11"/>
      <c r="IXV182" s="12"/>
      <c r="IYE182" s="11"/>
      <c r="IYF182" s="12"/>
      <c r="IYO182" s="11"/>
      <c r="IYP182" s="12"/>
      <c r="IYY182" s="11"/>
      <c r="IYZ182" s="12"/>
      <c r="IZI182" s="11"/>
      <c r="IZJ182" s="12"/>
      <c r="IZS182" s="11"/>
      <c r="IZT182" s="12"/>
      <c r="JAC182" s="11"/>
      <c r="JAD182" s="12"/>
      <c r="JAM182" s="11"/>
      <c r="JAN182" s="12"/>
      <c r="JAW182" s="11"/>
      <c r="JAX182" s="12"/>
      <c r="JBG182" s="11"/>
      <c r="JBH182" s="12"/>
      <c r="JBQ182" s="11"/>
      <c r="JBR182" s="12"/>
      <c r="JCA182" s="11"/>
      <c r="JCB182" s="12"/>
      <c r="JCK182" s="11"/>
      <c r="JCL182" s="12"/>
      <c r="JCU182" s="11"/>
      <c r="JCV182" s="12"/>
      <c r="JDE182" s="11"/>
      <c r="JDF182" s="12"/>
      <c r="JDO182" s="11"/>
      <c r="JDP182" s="12"/>
      <c r="JDY182" s="11"/>
      <c r="JDZ182" s="12"/>
      <c r="JEI182" s="11"/>
      <c r="JEJ182" s="12"/>
      <c r="JES182" s="11"/>
      <c r="JET182" s="12"/>
      <c r="JFC182" s="11"/>
      <c r="JFD182" s="12"/>
      <c r="JFM182" s="11"/>
      <c r="JFN182" s="12"/>
      <c r="JFW182" s="11"/>
      <c r="JFX182" s="12"/>
      <c r="JGG182" s="11"/>
      <c r="JGH182" s="12"/>
      <c r="JGQ182" s="11"/>
      <c r="JGR182" s="12"/>
      <c r="JHA182" s="11"/>
      <c r="JHB182" s="12"/>
      <c r="JHK182" s="11"/>
      <c r="JHL182" s="12"/>
      <c r="JHU182" s="11"/>
      <c r="JHV182" s="12"/>
      <c r="JIE182" s="11"/>
      <c r="JIF182" s="12"/>
      <c r="JIO182" s="11"/>
      <c r="JIP182" s="12"/>
      <c r="JIY182" s="11"/>
      <c r="JIZ182" s="12"/>
      <c r="JJI182" s="11"/>
      <c r="JJJ182" s="12"/>
      <c r="JJS182" s="11"/>
      <c r="JJT182" s="12"/>
      <c r="JKC182" s="11"/>
      <c r="JKD182" s="12"/>
      <c r="JKM182" s="11"/>
      <c r="JKN182" s="12"/>
      <c r="JKW182" s="11"/>
      <c r="JKX182" s="12"/>
      <c r="JLG182" s="11"/>
      <c r="JLH182" s="12"/>
      <c r="JLQ182" s="11"/>
      <c r="JLR182" s="12"/>
      <c r="JMA182" s="11"/>
      <c r="JMB182" s="12"/>
      <c r="JMK182" s="11"/>
      <c r="JML182" s="12"/>
      <c r="JMU182" s="11"/>
      <c r="JMV182" s="12"/>
      <c r="JNE182" s="11"/>
      <c r="JNF182" s="12"/>
      <c r="JNO182" s="11"/>
      <c r="JNP182" s="12"/>
      <c r="JNY182" s="11"/>
      <c r="JNZ182" s="12"/>
      <c r="JOI182" s="11"/>
      <c r="JOJ182" s="12"/>
      <c r="JOS182" s="11"/>
      <c r="JOT182" s="12"/>
      <c r="JPC182" s="11"/>
      <c r="JPD182" s="12"/>
      <c r="JPM182" s="11"/>
      <c r="JPN182" s="12"/>
      <c r="JPW182" s="11"/>
      <c r="JPX182" s="12"/>
      <c r="JQG182" s="11"/>
      <c r="JQH182" s="12"/>
      <c r="JQQ182" s="11"/>
      <c r="JQR182" s="12"/>
      <c r="JRA182" s="11"/>
      <c r="JRB182" s="12"/>
      <c r="JRK182" s="11"/>
      <c r="JRL182" s="12"/>
      <c r="JRU182" s="11"/>
      <c r="JRV182" s="12"/>
      <c r="JSE182" s="11"/>
      <c r="JSF182" s="12"/>
      <c r="JSO182" s="11"/>
      <c r="JSP182" s="12"/>
      <c r="JSY182" s="11"/>
      <c r="JSZ182" s="12"/>
      <c r="JTI182" s="11"/>
      <c r="JTJ182" s="12"/>
      <c r="JTS182" s="11"/>
      <c r="JTT182" s="12"/>
      <c r="JUC182" s="11"/>
      <c r="JUD182" s="12"/>
      <c r="JUM182" s="11"/>
      <c r="JUN182" s="12"/>
      <c r="JUW182" s="11"/>
      <c r="JUX182" s="12"/>
      <c r="JVG182" s="11"/>
      <c r="JVH182" s="12"/>
      <c r="JVQ182" s="11"/>
      <c r="JVR182" s="12"/>
      <c r="JWA182" s="11"/>
      <c r="JWB182" s="12"/>
      <c r="JWK182" s="11"/>
      <c r="JWL182" s="12"/>
      <c r="JWU182" s="11"/>
      <c r="JWV182" s="12"/>
      <c r="JXE182" s="11"/>
      <c r="JXF182" s="12"/>
      <c r="JXO182" s="11"/>
      <c r="JXP182" s="12"/>
      <c r="JXY182" s="11"/>
      <c r="JXZ182" s="12"/>
      <c r="JYI182" s="11"/>
      <c r="JYJ182" s="12"/>
      <c r="JYS182" s="11"/>
      <c r="JYT182" s="12"/>
      <c r="JZC182" s="11"/>
      <c r="JZD182" s="12"/>
      <c r="JZM182" s="11"/>
      <c r="JZN182" s="12"/>
      <c r="JZW182" s="11"/>
      <c r="JZX182" s="12"/>
      <c r="KAG182" s="11"/>
      <c r="KAH182" s="12"/>
      <c r="KAQ182" s="11"/>
      <c r="KAR182" s="12"/>
      <c r="KBA182" s="11"/>
      <c r="KBB182" s="12"/>
      <c r="KBK182" s="11"/>
      <c r="KBL182" s="12"/>
      <c r="KBU182" s="11"/>
      <c r="KBV182" s="12"/>
      <c r="KCE182" s="11"/>
      <c r="KCF182" s="12"/>
      <c r="KCO182" s="11"/>
      <c r="KCP182" s="12"/>
      <c r="KCY182" s="11"/>
      <c r="KCZ182" s="12"/>
      <c r="KDI182" s="11"/>
      <c r="KDJ182" s="12"/>
      <c r="KDS182" s="11"/>
      <c r="KDT182" s="12"/>
      <c r="KEC182" s="11"/>
      <c r="KED182" s="12"/>
      <c r="KEM182" s="11"/>
      <c r="KEN182" s="12"/>
      <c r="KEW182" s="11"/>
      <c r="KEX182" s="12"/>
      <c r="KFG182" s="11"/>
      <c r="KFH182" s="12"/>
      <c r="KFQ182" s="11"/>
      <c r="KFR182" s="12"/>
      <c r="KGA182" s="11"/>
      <c r="KGB182" s="12"/>
      <c r="KGK182" s="11"/>
      <c r="KGL182" s="12"/>
      <c r="KGU182" s="11"/>
      <c r="KGV182" s="12"/>
      <c r="KHE182" s="11"/>
      <c r="KHF182" s="12"/>
      <c r="KHO182" s="11"/>
      <c r="KHP182" s="12"/>
      <c r="KHY182" s="11"/>
      <c r="KHZ182" s="12"/>
      <c r="KII182" s="11"/>
      <c r="KIJ182" s="12"/>
      <c r="KIS182" s="11"/>
      <c r="KIT182" s="12"/>
      <c r="KJC182" s="11"/>
      <c r="KJD182" s="12"/>
      <c r="KJM182" s="11"/>
      <c r="KJN182" s="12"/>
      <c r="KJW182" s="11"/>
      <c r="KJX182" s="12"/>
      <c r="KKG182" s="11"/>
      <c r="KKH182" s="12"/>
      <c r="KKQ182" s="11"/>
      <c r="KKR182" s="12"/>
      <c r="KLA182" s="11"/>
      <c r="KLB182" s="12"/>
      <c r="KLK182" s="11"/>
      <c r="KLL182" s="12"/>
      <c r="KLU182" s="11"/>
      <c r="KLV182" s="12"/>
      <c r="KME182" s="11"/>
      <c r="KMF182" s="12"/>
      <c r="KMO182" s="11"/>
      <c r="KMP182" s="12"/>
      <c r="KMY182" s="11"/>
      <c r="KMZ182" s="12"/>
      <c r="KNI182" s="11"/>
      <c r="KNJ182" s="12"/>
      <c r="KNS182" s="11"/>
      <c r="KNT182" s="12"/>
      <c r="KOC182" s="11"/>
      <c r="KOD182" s="12"/>
      <c r="KOM182" s="11"/>
      <c r="KON182" s="12"/>
      <c r="KOW182" s="11"/>
      <c r="KOX182" s="12"/>
      <c r="KPG182" s="11"/>
      <c r="KPH182" s="12"/>
      <c r="KPQ182" s="11"/>
      <c r="KPR182" s="12"/>
      <c r="KQA182" s="11"/>
      <c r="KQB182" s="12"/>
      <c r="KQK182" s="11"/>
      <c r="KQL182" s="12"/>
      <c r="KQU182" s="11"/>
      <c r="KQV182" s="12"/>
      <c r="KRE182" s="11"/>
      <c r="KRF182" s="12"/>
      <c r="KRO182" s="11"/>
      <c r="KRP182" s="12"/>
      <c r="KRY182" s="11"/>
      <c r="KRZ182" s="12"/>
      <c r="KSI182" s="11"/>
      <c r="KSJ182" s="12"/>
      <c r="KSS182" s="11"/>
      <c r="KST182" s="12"/>
      <c r="KTC182" s="11"/>
      <c r="KTD182" s="12"/>
      <c r="KTM182" s="11"/>
      <c r="KTN182" s="12"/>
      <c r="KTW182" s="11"/>
      <c r="KTX182" s="12"/>
      <c r="KUG182" s="11"/>
      <c r="KUH182" s="12"/>
      <c r="KUQ182" s="11"/>
      <c r="KUR182" s="12"/>
      <c r="KVA182" s="11"/>
      <c r="KVB182" s="12"/>
      <c r="KVK182" s="11"/>
      <c r="KVL182" s="12"/>
      <c r="KVU182" s="11"/>
      <c r="KVV182" s="12"/>
      <c r="KWE182" s="11"/>
      <c r="KWF182" s="12"/>
      <c r="KWO182" s="11"/>
      <c r="KWP182" s="12"/>
      <c r="KWY182" s="11"/>
      <c r="KWZ182" s="12"/>
      <c r="KXI182" s="11"/>
      <c r="KXJ182" s="12"/>
      <c r="KXS182" s="11"/>
      <c r="KXT182" s="12"/>
      <c r="KYC182" s="11"/>
      <c r="KYD182" s="12"/>
      <c r="KYM182" s="11"/>
      <c r="KYN182" s="12"/>
      <c r="KYW182" s="11"/>
      <c r="KYX182" s="12"/>
      <c r="KZG182" s="11"/>
      <c r="KZH182" s="12"/>
      <c r="KZQ182" s="11"/>
      <c r="KZR182" s="12"/>
      <c r="LAA182" s="11"/>
      <c r="LAB182" s="12"/>
      <c r="LAK182" s="11"/>
      <c r="LAL182" s="12"/>
      <c r="LAU182" s="11"/>
      <c r="LAV182" s="12"/>
      <c r="LBE182" s="11"/>
      <c r="LBF182" s="12"/>
      <c r="LBO182" s="11"/>
      <c r="LBP182" s="12"/>
      <c r="LBY182" s="11"/>
      <c r="LBZ182" s="12"/>
      <c r="LCI182" s="11"/>
      <c r="LCJ182" s="12"/>
      <c r="LCS182" s="11"/>
      <c r="LCT182" s="12"/>
      <c r="LDC182" s="11"/>
      <c r="LDD182" s="12"/>
      <c r="LDM182" s="11"/>
      <c r="LDN182" s="12"/>
      <c r="LDW182" s="11"/>
      <c r="LDX182" s="12"/>
      <c r="LEG182" s="11"/>
      <c r="LEH182" s="12"/>
      <c r="LEQ182" s="11"/>
      <c r="LER182" s="12"/>
      <c r="LFA182" s="11"/>
      <c r="LFB182" s="12"/>
      <c r="LFK182" s="11"/>
      <c r="LFL182" s="12"/>
      <c r="LFU182" s="11"/>
      <c r="LFV182" s="12"/>
      <c r="LGE182" s="11"/>
      <c r="LGF182" s="12"/>
      <c r="LGO182" s="11"/>
      <c r="LGP182" s="12"/>
      <c r="LGY182" s="11"/>
      <c r="LGZ182" s="12"/>
      <c r="LHI182" s="11"/>
      <c r="LHJ182" s="12"/>
      <c r="LHS182" s="11"/>
      <c r="LHT182" s="12"/>
      <c r="LIC182" s="11"/>
      <c r="LID182" s="12"/>
      <c r="LIM182" s="11"/>
      <c r="LIN182" s="12"/>
      <c r="LIW182" s="11"/>
      <c r="LIX182" s="12"/>
      <c r="LJG182" s="11"/>
      <c r="LJH182" s="12"/>
      <c r="LJQ182" s="11"/>
      <c r="LJR182" s="12"/>
      <c r="LKA182" s="11"/>
      <c r="LKB182" s="12"/>
      <c r="LKK182" s="11"/>
      <c r="LKL182" s="12"/>
      <c r="LKU182" s="11"/>
      <c r="LKV182" s="12"/>
      <c r="LLE182" s="11"/>
      <c r="LLF182" s="12"/>
      <c r="LLO182" s="11"/>
      <c r="LLP182" s="12"/>
      <c r="LLY182" s="11"/>
      <c r="LLZ182" s="12"/>
      <c r="LMI182" s="11"/>
      <c r="LMJ182" s="12"/>
      <c r="LMS182" s="11"/>
      <c r="LMT182" s="12"/>
      <c r="LNC182" s="11"/>
      <c r="LND182" s="12"/>
      <c r="LNM182" s="11"/>
      <c r="LNN182" s="12"/>
      <c r="LNW182" s="11"/>
      <c r="LNX182" s="12"/>
      <c r="LOG182" s="11"/>
      <c r="LOH182" s="12"/>
      <c r="LOQ182" s="11"/>
      <c r="LOR182" s="12"/>
      <c r="LPA182" s="11"/>
      <c r="LPB182" s="12"/>
      <c r="LPK182" s="11"/>
      <c r="LPL182" s="12"/>
      <c r="LPU182" s="11"/>
      <c r="LPV182" s="12"/>
      <c r="LQE182" s="11"/>
      <c r="LQF182" s="12"/>
      <c r="LQO182" s="11"/>
      <c r="LQP182" s="12"/>
      <c r="LQY182" s="11"/>
      <c r="LQZ182" s="12"/>
      <c r="LRI182" s="11"/>
      <c r="LRJ182" s="12"/>
      <c r="LRS182" s="11"/>
      <c r="LRT182" s="12"/>
      <c r="LSC182" s="11"/>
      <c r="LSD182" s="12"/>
      <c r="LSM182" s="11"/>
      <c r="LSN182" s="12"/>
      <c r="LSW182" s="11"/>
      <c r="LSX182" s="12"/>
      <c r="LTG182" s="11"/>
      <c r="LTH182" s="12"/>
      <c r="LTQ182" s="11"/>
      <c r="LTR182" s="12"/>
      <c r="LUA182" s="11"/>
      <c r="LUB182" s="12"/>
      <c r="LUK182" s="11"/>
      <c r="LUL182" s="12"/>
      <c r="LUU182" s="11"/>
      <c r="LUV182" s="12"/>
      <c r="LVE182" s="11"/>
      <c r="LVF182" s="12"/>
      <c r="LVO182" s="11"/>
      <c r="LVP182" s="12"/>
      <c r="LVY182" s="11"/>
      <c r="LVZ182" s="12"/>
      <c r="LWI182" s="11"/>
      <c r="LWJ182" s="12"/>
      <c r="LWS182" s="11"/>
      <c r="LWT182" s="12"/>
      <c r="LXC182" s="11"/>
      <c r="LXD182" s="12"/>
      <c r="LXM182" s="11"/>
      <c r="LXN182" s="12"/>
      <c r="LXW182" s="11"/>
      <c r="LXX182" s="12"/>
      <c r="LYG182" s="11"/>
      <c r="LYH182" s="12"/>
      <c r="LYQ182" s="11"/>
      <c r="LYR182" s="12"/>
      <c r="LZA182" s="11"/>
      <c r="LZB182" s="12"/>
      <c r="LZK182" s="11"/>
      <c r="LZL182" s="12"/>
      <c r="LZU182" s="11"/>
      <c r="LZV182" s="12"/>
      <c r="MAE182" s="11"/>
      <c r="MAF182" s="12"/>
      <c r="MAO182" s="11"/>
      <c r="MAP182" s="12"/>
      <c r="MAY182" s="11"/>
      <c r="MAZ182" s="12"/>
      <c r="MBI182" s="11"/>
      <c r="MBJ182" s="12"/>
      <c r="MBS182" s="11"/>
      <c r="MBT182" s="12"/>
      <c r="MCC182" s="11"/>
      <c r="MCD182" s="12"/>
      <c r="MCM182" s="11"/>
      <c r="MCN182" s="12"/>
      <c r="MCW182" s="11"/>
      <c r="MCX182" s="12"/>
      <c r="MDG182" s="11"/>
      <c r="MDH182" s="12"/>
      <c r="MDQ182" s="11"/>
      <c r="MDR182" s="12"/>
      <c r="MEA182" s="11"/>
      <c r="MEB182" s="12"/>
      <c r="MEK182" s="11"/>
      <c r="MEL182" s="12"/>
      <c r="MEU182" s="11"/>
      <c r="MEV182" s="12"/>
      <c r="MFE182" s="11"/>
      <c r="MFF182" s="12"/>
      <c r="MFO182" s="11"/>
      <c r="MFP182" s="12"/>
      <c r="MFY182" s="11"/>
      <c r="MFZ182" s="12"/>
      <c r="MGI182" s="11"/>
      <c r="MGJ182" s="12"/>
      <c r="MGS182" s="11"/>
      <c r="MGT182" s="12"/>
      <c r="MHC182" s="11"/>
      <c r="MHD182" s="12"/>
      <c r="MHM182" s="11"/>
      <c r="MHN182" s="12"/>
      <c r="MHW182" s="11"/>
      <c r="MHX182" s="12"/>
      <c r="MIG182" s="11"/>
      <c r="MIH182" s="12"/>
      <c r="MIQ182" s="11"/>
      <c r="MIR182" s="12"/>
      <c r="MJA182" s="11"/>
      <c r="MJB182" s="12"/>
      <c r="MJK182" s="11"/>
      <c r="MJL182" s="12"/>
      <c r="MJU182" s="11"/>
      <c r="MJV182" s="12"/>
      <c r="MKE182" s="11"/>
      <c r="MKF182" s="12"/>
      <c r="MKO182" s="11"/>
      <c r="MKP182" s="12"/>
      <c r="MKY182" s="11"/>
      <c r="MKZ182" s="12"/>
      <c r="MLI182" s="11"/>
      <c r="MLJ182" s="12"/>
      <c r="MLS182" s="11"/>
      <c r="MLT182" s="12"/>
      <c r="MMC182" s="11"/>
      <c r="MMD182" s="12"/>
      <c r="MMM182" s="11"/>
      <c r="MMN182" s="12"/>
      <c r="MMW182" s="11"/>
      <c r="MMX182" s="12"/>
      <c r="MNG182" s="11"/>
      <c r="MNH182" s="12"/>
      <c r="MNQ182" s="11"/>
      <c r="MNR182" s="12"/>
      <c r="MOA182" s="11"/>
      <c r="MOB182" s="12"/>
      <c r="MOK182" s="11"/>
      <c r="MOL182" s="12"/>
      <c r="MOU182" s="11"/>
      <c r="MOV182" s="12"/>
      <c r="MPE182" s="11"/>
      <c r="MPF182" s="12"/>
      <c r="MPO182" s="11"/>
      <c r="MPP182" s="12"/>
      <c r="MPY182" s="11"/>
      <c r="MPZ182" s="12"/>
      <c r="MQI182" s="11"/>
      <c r="MQJ182" s="12"/>
      <c r="MQS182" s="11"/>
      <c r="MQT182" s="12"/>
      <c r="MRC182" s="11"/>
      <c r="MRD182" s="12"/>
      <c r="MRM182" s="11"/>
      <c r="MRN182" s="12"/>
      <c r="MRW182" s="11"/>
      <c r="MRX182" s="12"/>
      <c r="MSG182" s="11"/>
      <c r="MSH182" s="12"/>
      <c r="MSQ182" s="11"/>
      <c r="MSR182" s="12"/>
      <c r="MTA182" s="11"/>
      <c r="MTB182" s="12"/>
      <c r="MTK182" s="11"/>
      <c r="MTL182" s="12"/>
      <c r="MTU182" s="11"/>
      <c r="MTV182" s="12"/>
      <c r="MUE182" s="11"/>
      <c r="MUF182" s="12"/>
      <c r="MUO182" s="11"/>
      <c r="MUP182" s="12"/>
      <c r="MUY182" s="11"/>
      <c r="MUZ182" s="12"/>
      <c r="MVI182" s="11"/>
      <c r="MVJ182" s="12"/>
      <c r="MVS182" s="11"/>
      <c r="MVT182" s="12"/>
      <c r="MWC182" s="11"/>
      <c r="MWD182" s="12"/>
      <c r="MWM182" s="11"/>
      <c r="MWN182" s="12"/>
      <c r="MWW182" s="11"/>
      <c r="MWX182" s="12"/>
      <c r="MXG182" s="11"/>
      <c r="MXH182" s="12"/>
      <c r="MXQ182" s="11"/>
      <c r="MXR182" s="12"/>
      <c r="MYA182" s="11"/>
      <c r="MYB182" s="12"/>
      <c r="MYK182" s="11"/>
      <c r="MYL182" s="12"/>
      <c r="MYU182" s="11"/>
      <c r="MYV182" s="12"/>
      <c r="MZE182" s="11"/>
      <c r="MZF182" s="12"/>
      <c r="MZO182" s="11"/>
      <c r="MZP182" s="12"/>
      <c r="MZY182" s="11"/>
      <c r="MZZ182" s="12"/>
      <c r="NAI182" s="11"/>
      <c r="NAJ182" s="12"/>
      <c r="NAS182" s="11"/>
      <c r="NAT182" s="12"/>
      <c r="NBC182" s="11"/>
      <c r="NBD182" s="12"/>
      <c r="NBM182" s="11"/>
      <c r="NBN182" s="12"/>
      <c r="NBW182" s="11"/>
      <c r="NBX182" s="12"/>
      <c r="NCG182" s="11"/>
      <c r="NCH182" s="12"/>
      <c r="NCQ182" s="11"/>
      <c r="NCR182" s="12"/>
      <c r="NDA182" s="11"/>
      <c r="NDB182" s="12"/>
      <c r="NDK182" s="11"/>
      <c r="NDL182" s="12"/>
      <c r="NDU182" s="11"/>
      <c r="NDV182" s="12"/>
      <c r="NEE182" s="11"/>
      <c r="NEF182" s="12"/>
      <c r="NEO182" s="11"/>
      <c r="NEP182" s="12"/>
      <c r="NEY182" s="11"/>
      <c r="NEZ182" s="12"/>
      <c r="NFI182" s="11"/>
      <c r="NFJ182" s="12"/>
      <c r="NFS182" s="11"/>
      <c r="NFT182" s="12"/>
      <c r="NGC182" s="11"/>
      <c r="NGD182" s="12"/>
      <c r="NGM182" s="11"/>
      <c r="NGN182" s="12"/>
      <c r="NGW182" s="11"/>
      <c r="NGX182" s="12"/>
      <c r="NHG182" s="11"/>
      <c r="NHH182" s="12"/>
      <c r="NHQ182" s="11"/>
      <c r="NHR182" s="12"/>
      <c r="NIA182" s="11"/>
      <c r="NIB182" s="12"/>
      <c r="NIK182" s="11"/>
      <c r="NIL182" s="12"/>
      <c r="NIU182" s="11"/>
      <c r="NIV182" s="12"/>
      <c r="NJE182" s="11"/>
      <c r="NJF182" s="12"/>
      <c r="NJO182" s="11"/>
      <c r="NJP182" s="12"/>
      <c r="NJY182" s="11"/>
      <c r="NJZ182" s="12"/>
      <c r="NKI182" s="11"/>
      <c r="NKJ182" s="12"/>
      <c r="NKS182" s="11"/>
      <c r="NKT182" s="12"/>
      <c r="NLC182" s="11"/>
      <c r="NLD182" s="12"/>
      <c r="NLM182" s="11"/>
      <c r="NLN182" s="12"/>
      <c r="NLW182" s="11"/>
      <c r="NLX182" s="12"/>
      <c r="NMG182" s="11"/>
      <c r="NMH182" s="12"/>
      <c r="NMQ182" s="11"/>
      <c r="NMR182" s="12"/>
      <c r="NNA182" s="11"/>
      <c r="NNB182" s="12"/>
      <c r="NNK182" s="11"/>
      <c r="NNL182" s="12"/>
      <c r="NNU182" s="11"/>
      <c r="NNV182" s="12"/>
      <c r="NOE182" s="11"/>
      <c r="NOF182" s="12"/>
      <c r="NOO182" s="11"/>
      <c r="NOP182" s="12"/>
      <c r="NOY182" s="11"/>
      <c r="NOZ182" s="12"/>
      <c r="NPI182" s="11"/>
      <c r="NPJ182" s="12"/>
      <c r="NPS182" s="11"/>
      <c r="NPT182" s="12"/>
      <c r="NQC182" s="11"/>
      <c r="NQD182" s="12"/>
      <c r="NQM182" s="11"/>
      <c r="NQN182" s="12"/>
      <c r="NQW182" s="11"/>
      <c r="NQX182" s="12"/>
      <c r="NRG182" s="11"/>
      <c r="NRH182" s="12"/>
      <c r="NRQ182" s="11"/>
      <c r="NRR182" s="12"/>
      <c r="NSA182" s="11"/>
      <c r="NSB182" s="12"/>
      <c r="NSK182" s="11"/>
      <c r="NSL182" s="12"/>
      <c r="NSU182" s="11"/>
      <c r="NSV182" s="12"/>
      <c r="NTE182" s="11"/>
      <c r="NTF182" s="12"/>
      <c r="NTO182" s="11"/>
      <c r="NTP182" s="12"/>
      <c r="NTY182" s="11"/>
      <c r="NTZ182" s="12"/>
      <c r="NUI182" s="11"/>
      <c r="NUJ182" s="12"/>
      <c r="NUS182" s="11"/>
      <c r="NUT182" s="12"/>
      <c r="NVC182" s="11"/>
      <c r="NVD182" s="12"/>
      <c r="NVM182" s="11"/>
      <c r="NVN182" s="12"/>
      <c r="NVW182" s="11"/>
      <c r="NVX182" s="12"/>
      <c r="NWG182" s="11"/>
      <c r="NWH182" s="12"/>
      <c r="NWQ182" s="11"/>
      <c r="NWR182" s="12"/>
      <c r="NXA182" s="11"/>
      <c r="NXB182" s="12"/>
      <c r="NXK182" s="11"/>
      <c r="NXL182" s="12"/>
      <c r="NXU182" s="11"/>
      <c r="NXV182" s="12"/>
      <c r="NYE182" s="11"/>
      <c r="NYF182" s="12"/>
      <c r="NYO182" s="11"/>
      <c r="NYP182" s="12"/>
      <c r="NYY182" s="11"/>
      <c r="NYZ182" s="12"/>
      <c r="NZI182" s="11"/>
      <c r="NZJ182" s="12"/>
      <c r="NZS182" s="11"/>
      <c r="NZT182" s="12"/>
      <c r="OAC182" s="11"/>
      <c r="OAD182" s="12"/>
      <c r="OAM182" s="11"/>
      <c r="OAN182" s="12"/>
      <c r="OAW182" s="11"/>
      <c r="OAX182" s="12"/>
      <c r="OBG182" s="11"/>
      <c r="OBH182" s="12"/>
      <c r="OBQ182" s="11"/>
      <c r="OBR182" s="12"/>
      <c r="OCA182" s="11"/>
      <c r="OCB182" s="12"/>
      <c r="OCK182" s="11"/>
      <c r="OCL182" s="12"/>
      <c r="OCU182" s="11"/>
      <c r="OCV182" s="12"/>
      <c r="ODE182" s="11"/>
      <c r="ODF182" s="12"/>
      <c r="ODO182" s="11"/>
      <c r="ODP182" s="12"/>
      <c r="ODY182" s="11"/>
      <c r="ODZ182" s="12"/>
      <c r="OEI182" s="11"/>
      <c r="OEJ182" s="12"/>
      <c r="OES182" s="11"/>
      <c r="OET182" s="12"/>
      <c r="OFC182" s="11"/>
      <c r="OFD182" s="12"/>
      <c r="OFM182" s="11"/>
      <c r="OFN182" s="12"/>
      <c r="OFW182" s="11"/>
      <c r="OFX182" s="12"/>
      <c r="OGG182" s="11"/>
      <c r="OGH182" s="12"/>
      <c r="OGQ182" s="11"/>
      <c r="OGR182" s="12"/>
      <c r="OHA182" s="11"/>
      <c r="OHB182" s="12"/>
      <c r="OHK182" s="11"/>
      <c r="OHL182" s="12"/>
      <c r="OHU182" s="11"/>
      <c r="OHV182" s="12"/>
      <c r="OIE182" s="11"/>
      <c r="OIF182" s="12"/>
      <c r="OIO182" s="11"/>
      <c r="OIP182" s="12"/>
      <c r="OIY182" s="11"/>
      <c r="OIZ182" s="12"/>
      <c r="OJI182" s="11"/>
      <c r="OJJ182" s="12"/>
      <c r="OJS182" s="11"/>
      <c r="OJT182" s="12"/>
      <c r="OKC182" s="11"/>
      <c r="OKD182" s="12"/>
      <c r="OKM182" s="11"/>
      <c r="OKN182" s="12"/>
      <c r="OKW182" s="11"/>
      <c r="OKX182" s="12"/>
      <c r="OLG182" s="11"/>
      <c r="OLH182" s="12"/>
      <c r="OLQ182" s="11"/>
      <c r="OLR182" s="12"/>
      <c r="OMA182" s="11"/>
      <c r="OMB182" s="12"/>
      <c r="OMK182" s="11"/>
      <c r="OML182" s="12"/>
      <c r="OMU182" s="11"/>
      <c r="OMV182" s="12"/>
      <c r="ONE182" s="11"/>
      <c r="ONF182" s="12"/>
      <c r="ONO182" s="11"/>
      <c r="ONP182" s="12"/>
      <c r="ONY182" s="11"/>
      <c r="ONZ182" s="12"/>
      <c r="OOI182" s="11"/>
      <c r="OOJ182" s="12"/>
      <c r="OOS182" s="11"/>
      <c r="OOT182" s="12"/>
      <c r="OPC182" s="11"/>
      <c r="OPD182" s="12"/>
      <c r="OPM182" s="11"/>
      <c r="OPN182" s="12"/>
      <c r="OPW182" s="11"/>
      <c r="OPX182" s="12"/>
      <c r="OQG182" s="11"/>
      <c r="OQH182" s="12"/>
      <c r="OQQ182" s="11"/>
      <c r="OQR182" s="12"/>
      <c r="ORA182" s="11"/>
      <c r="ORB182" s="12"/>
      <c r="ORK182" s="11"/>
      <c r="ORL182" s="12"/>
      <c r="ORU182" s="11"/>
      <c r="ORV182" s="12"/>
      <c r="OSE182" s="11"/>
      <c r="OSF182" s="12"/>
      <c r="OSO182" s="11"/>
      <c r="OSP182" s="12"/>
      <c r="OSY182" s="11"/>
      <c r="OSZ182" s="12"/>
      <c r="OTI182" s="11"/>
      <c r="OTJ182" s="12"/>
      <c r="OTS182" s="11"/>
      <c r="OTT182" s="12"/>
      <c r="OUC182" s="11"/>
      <c r="OUD182" s="12"/>
      <c r="OUM182" s="11"/>
      <c r="OUN182" s="12"/>
      <c r="OUW182" s="11"/>
      <c r="OUX182" s="12"/>
      <c r="OVG182" s="11"/>
      <c r="OVH182" s="12"/>
      <c r="OVQ182" s="11"/>
      <c r="OVR182" s="12"/>
      <c r="OWA182" s="11"/>
      <c r="OWB182" s="12"/>
      <c r="OWK182" s="11"/>
      <c r="OWL182" s="12"/>
      <c r="OWU182" s="11"/>
      <c r="OWV182" s="12"/>
      <c r="OXE182" s="11"/>
      <c r="OXF182" s="12"/>
      <c r="OXO182" s="11"/>
      <c r="OXP182" s="12"/>
      <c r="OXY182" s="11"/>
      <c r="OXZ182" s="12"/>
      <c r="OYI182" s="11"/>
      <c r="OYJ182" s="12"/>
      <c r="OYS182" s="11"/>
      <c r="OYT182" s="12"/>
      <c r="OZC182" s="11"/>
      <c r="OZD182" s="12"/>
      <c r="OZM182" s="11"/>
      <c r="OZN182" s="12"/>
      <c r="OZW182" s="11"/>
      <c r="OZX182" s="12"/>
      <c r="PAG182" s="11"/>
      <c r="PAH182" s="12"/>
      <c r="PAQ182" s="11"/>
      <c r="PAR182" s="12"/>
      <c r="PBA182" s="11"/>
      <c r="PBB182" s="12"/>
      <c r="PBK182" s="11"/>
      <c r="PBL182" s="12"/>
      <c r="PBU182" s="11"/>
      <c r="PBV182" s="12"/>
      <c r="PCE182" s="11"/>
      <c r="PCF182" s="12"/>
      <c r="PCO182" s="11"/>
      <c r="PCP182" s="12"/>
      <c r="PCY182" s="11"/>
      <c r="PCZ182" s="12"/>
      <c r="PDI182" s="11"/>
      <c r="PDJ182" s="12"/>
      <c r="PDS182" s="11"/>
      <c r="PDT182" s="12"/>
      <c r="PEC182" s="11"/>
      <c r="PED182" s="12"/>
      <c r="PEM182" s="11"/>
      <c r="PEN182" s="12"/>
      <c r="PEW182" s="11"/>
      <c r="PEX182" s="12"/>
      <c r="PFG182" s="11"/>
      <c r="PFH182" s="12"/>
      <c r="PFQ182" s="11"/>
      <c r="PFR182" s="12"/>
      <c r="PGA182" s="11"/>
      <c r="PGB182" s="12"/>
      <c r="PGK182" s="11"/>
      <c r="PGL182" s="12"/>
      <c r="PGU182" s="11"/>
      <c r="PGV182" s="12"/>
      <c r="PHE182" s="11"/>
      <c r="PHF182" s="12"/>
      <c r="PHO182" s="11"/>
      <c r="PHP182" s="12"/>
      <c r="PHY182" s="11"/>
      <c r="PHZ182" s="12"/>
      <c r="PII182" s="11"/>
      <c r="PIJ182" s="12"/>
      <c r="PIS182" s="11"/>
      <c r="PIT182" s="12"/>
      <c r="PJC182" s="11"/>
      <c r="PJD182" s="12"/>
      <c r="PJM182" s="11"/>
      <c r="PJN182" s="12"/>
      <c r="PJW182" s="11"/>
      <c r="PJX182" s="12"/>
      <c r="PKG182" s="11"/>
      <c r="PKH182" s="12"/>
      <c r="PKQ182" s="11"/>
      <c r="PKR182" s="12"/>
      <c r="PLA182" s="11"/>
      <c r="PLB182" s="12"/>
      <c r="PLK182" s="11"/>
      <c r="PLL182" s="12"/>
      <c r="PLU182" s="11"/>
      <c r="PLV182" s="12"/>
      <c r="PME182" s="11"/>
      <c r="PMF182" s="12"/>
      <c r="PMO182" s="11"/>
      <c r="PMP182" s="12"/>
      <c r="PMY182" s="11"/>
      <c r="PMZ182" s="12"/>
      <c r="PNI182" s="11"/>
      <c r="PNJ182" s="12"/>
      <c r="PNS182" s="11"/>
      <c r="PNT182" s="12"/>
      <c r="POC182" s="11"/>
      <c r="POD182" s="12"/>
      <c r="POM182" s="11"/>
      <c r="PON182" s="12"/>
      <c r="POW182" s="11"/>
      <c r="POX182" s="12"/>
      <c r="PPG182" s="11"/>
      <c r="PPH182" s="12"/>
      <c r="PPQ182" s="11"/>
      <c r="PPR182" s="12"/>
      <c r="PQA182" s="11"/>
      <c r="PQB182" s="12"/>
      <c r="PQK182" s="11"/>
      <c r="PQL182" s="12"/>
      <c r="PQU182" s="11"/>
      <c r="PQV182" s="12"/>
      <c r="PRE182" s="11"/>
      <c r="PRF182" s="12"/>
      <c r="PRO182" s="11"/>
      <c r="PRP182" s="12"/>
      <c r="PRY182" s="11"/>
      <c r="PRZ182" s="12"/>
      <c r="PSI182" s="11"/>
      <c r="PSJ182" s="12"/>
      <c r="PSS182" s="11"/>
      <c r="PST182" s="12"/>
      <c r="PTC182" s="11"/>
      <c r="PTD182" s="12"/>
      <c r="PTM182" s="11"/>
      <c r="PTN182" s="12"/>
      <c r="PTW182" s="11"/>
      <c r="PTX182" s="12"/>
      <c r="PUG182" s="11"/>
      <c r="PUH182" s="12"/>
      <c r="PUQ182" s="11"/>
      <c r="PUR182" s="12"/>
      <c r="PVA182" s="11"/>
      <c r="PVB182" s="12"/>
      <c r="PVK182" s="11"/>
      <c r="PVL182" s="12"/>
      <c r="PVU182" s="11"/>
      <c r="PVV182" s="12"/>
      <c r="PWE182" s="11"/>
      <c r="PWF182" s="12"/>
      <c r="PWO182" s="11"/>
      <c r="PWP182" s="12"/>
      <c r="PWY182" s="11"/>
      <c r="PWZ182" s="12"/>
      <c r="PXI182" s="11"/>
      <c r="PXJ182" s="12"/>
      <c r="PXS182" s="11"/>
      <c r="PXT182" s="12"/>
      <c r="PYC182" s="11"/>
      <c r="PYD182" s="12"/>
      <c r="PYM182" s="11"/>
      <c r="PYN182" s="12"/>
      <c r="PYW182" s="11"/>
      <c r="PYX182" s="12"/>
      <c r="PZG182" s="11"/>
      <c r="PZH182" s="12"/>
      <c r="PZQ182" s="11"/>
      <c r="PZR182" s="12"/>
      <c r="QAA182" s="11"/>
      <c r="QAB182" s="12"/>
      <c r="QAK182" s="11"/>
      <c r="QAL182" s="12"/>
      <c r="QAU182" s="11"/>
      <c r="QAV182" s="12"/>
      <c r="QBE182" s="11"/>
      <c r="QBF182" s="12"/>
      <c r="QBO182" s="11"/>
      <c r="QBP182" s="12"/>
      <c r="QBY182" s="11"/>
      <c r="QBZ182" s="12"/>
      <c r="QCI182" s="11"/>
      <c r="QCJ182" s="12"/>
      <c r="QCS182" s="11"/>
      <c r="QCT182" s="12"/>
      <c r="QDC182" s="11"/>
      <c r="QDD182" s="12"/>
      <c r="QDM182" s="11"/>
      <c r="QDN182" s="12"/>
      <c r="QDW182" s="11"/>
      <c r="QDX182" s="12"/>
      <c r="QEG182" s="11"/>
      <c r="QEH182" s="12"/>
      <c r="QEQ182" s="11"/>
      <c r="QER182" s="12"/>
      <c r="QFA182" s="11"/>
      <c r="QFB182" s="12"/>
      <c r="QFK182" s="11"/>
      <c r="QFL182" s="12"/>
      <c r="QFU182" s="11"/>
      <c r="QFV182" s="12"/>
      <c r="QGE182" s="11"/>
      <c r="QGF182" s="12"/>
      <c r="QGO182" s="11"/>
      <c r="QGP182" s="12"/>
      <c r="QGY182" s="11"/>
      <c r="QGZ182" s="12"/>
      <c r="QHI182" s="11"/>
      <c r="QHJ182" s="12"/>
      <c r="QHS182" s="11"/>
      <c r="QHT182" s="12"/>
      <c r="QIC182" s="11"/>
      <c r="QID182" s="12"/>
      <c r="QIM182" s="11"/>
      <c r="QIN182" s="12"/>
      <c r="QIW182" s="11"/>
      <c r="QIX182" s="12"/>
      <c r="QJG182" s="11"/>
      <c r="QJH182" s="12"/>
      <c r="QJQ182" s="11"/>
      <c r="QJR182" s="12"/>
      <c r="QKA182" s="11"/>
      <c r="QKB182" s="12"/>
      <c r="QKK182" s="11"/>
      <c r="QKL182" s="12"/>
      <c r="QKU182" s="11"/>
      <c r="QKV182" s="12"/>
      <c r="QLE182" s="11"/>
      <c r="QLF182" s="12"/>
      <c r="QLO182" s="11"/>
      <c r="QLP182" s="12"/>
      <c r="QLY182" s="11"/>
      <c r="QLZ182" s="12"/>
      <c r="QMI182" s="11"/>
      <c r="QMJ182" s="12"/>
      <c r="QMS182" s="11"/>
      <c r="QMT182" s="12"/>
      <c r="QNC182" s="11"/>
      <c r="QND182" s="12"/>
      <c r="QNM182" s="11"/>
      <c r="QNN182" s="12"/>
      <c r="QNW182" s="11"/>
      <c r="QNX182" s="12"/>
      <c r="QOG182" s="11"/>
      <c r="QOH182" s="12"/>
      <c r="QOQ182" s="11"/>
      <c r="QOR182" s="12"/>
      <c r="QPA182" s="11"/>
      <c r="QPB182" s="12"/>
      <c r="QPK182" s="11"/>
      <c r="QPL182" s="12"/>
      <c r="QPU182" s="11"/>
      <c r="QPV182" s="12"/>
      <c r="QQE182" s="11"/>
      <c r="QQF182" s="12"/>
      <c r="QQO182" s="11"/>
      <c r="QQP182" s="12"/>
      <c r="QQY182" s="11"/>
      <c r="QQZ182" s="12"/>
      <c r="QRI182" s="11"/>
      <c r="QRJ182" s="12"/>
      <c r="QRS182" s="11"/>
      <c r="QRT182" s="12"/>
      <c r="QSC182" s="11"/>
      <c r="QSD182" s="12"/>
      <c r="QSM182" s="11"/>
      <c r="QSN182" s="12"/>
      <c r="QSW182" s="11"/>
      <c r="QSX182" s="12"/>
      <c r="QTG182" s="11"/>
      <c r="QTH182" s="12"/>
      <c r="QTQ182" s="11"/>
      <c r="QTR182" s="12"/>
      <c r="QUA182" s="11"/>
      <c r="QUB182" s="12"/>
      <c r="QUK182" s="11"/>
      <c r="QUL182" s="12"/>
      <c r="QUU182" s="11"/>
      <c r="QUV182" s="12"/>
      <c r="QVE182" s="11"/>
      <c r="QVF182" s="12"/>
      <c r="QVO182" s="11"/>
      <c r="QVP182" s="12"/>
      <c r="QVY182" s="11"/>
      <c r="QVZ182" s="12"/>
      <c r="QWI182" s="11"/>
      <c r="QWJ182" s="12"/>
      <c r="QWS182" s="11"/>
      <c r="QWT182" s="12"/>
      <c r="QXC182" s="11"/>
      <c r="QXD182" s="12"/>
      <c r="QXM182" s="11"/>
      <c r="QXN182" s="12"/>
      <c r="QXW182" s="11"/>
      <c r="QXX182" s="12"/>
      <c r="QYG182" s="11"/>
      <c r="QYH182" s="12"/>
      <c r="QYQ182" s="11"/>
      <c r="QYR182" s="12"/>
      <c r="QZA182" s="11"/>
      <c r="QZB182" s="12"/>
      <c r="QZK182" s="11"/>
      <c r="QZL182" s="12"/>
      <c r="QZU182" s="11"/>
      <c r="QZV182" s="12"/>
      <c r="RAE182" s="11"/>
      <c r="RAF182" s="12"/>
      <c r="RAO182" s="11"/>
      <c r="RAP182" s="12"/>
      <c r="RAY182" s="11"/>
      <c r="RAZ182" s="12"/>
      <c r="RBI182" s="11"/>
      <c r="RBJ182" s="12"/>
      <c r="RBS182" s="11"/>
      <c r="RBT182" s="12"/>
      <c r="RCC182" s="11"/>
      <c r="RCD182" s="12"/>
      <c r="RCM182" s="11"/>
      <c r="RCN182" s="12"/>
      <c r="RCW182" s="11"/>
      <c r="RCX182" s="12"/>
      <c r="RDG182" s="11"/>
      <c r="RDH182" s="12"/>
      <c r="RDQ182" s="11"/>
      <c r="RDR182" s="12"/>
      <c r="REA182" s="11"/>
      <c r="REB182" s="12"/>
      <c r="REK182" s="11"/>
      <c r="REL182" s="12"/>
      <c r="REU182" s="11"/>
      <c r="REV182" s="12"/>
      <c r="RFE182" s="11"/>
      <c r="RFF182" s="12"/>
      <c r="RFO182" s="11"/>
      <c r="RFP182" s="12"/>
      <c r="RFY182" s="11"/>
      <c r="RFZ182" s="12"/>
      <c r="RGI182" s="11"/>
      <c r="RGJ182" s="12"/>
      <c r="RGS182" s="11"/>
      <c r="RGT182" s="12"/>
      <c r="RHC182" s="11"/>
      <c r="RHD182" s="12"/>
      <c r="RHM182" s="11"/>
      <c r="RHN182" s="12"/>
      <c r="RHW182" s="11"/>
      <c r="RHX182" s="12"/>
      <c r="RIG182" s="11"/>
      <c r="RIH182" s="12"/>
      <c r="RIQ182" s="11"/>
      <c r="RIR182" s="12"/>
      <c r="RJA182" s="11"/>
      <c r="RJB182" s="12"/>
      <c r="RJK182" s="11"/>
      <c r="RJL182" s="12"/>
      <c r="RJU182" s="11"/>
      <c r="RJV182" s="12"/>
      <c r="RKE182" s="11"/>
      <c r="RKF182" s="12"/>
      <c r="RKO182" s="11"/>
      <c r="RKP182" s="12"/>
      <c r="RKY182" s="11"/>
      <c r="RKZ182" s="12"/>
      <c r="RLI182" s="11"/>
      <c r="RLJ182" s="12"/>
      <c r="RLS182" s="11"/>
      <c r="RLT182" s="12"/>
      <c r="RMC182" s="11"/>
      <c r="RMD182" s="12"/>
      <c r="RMM182" s="11"/>
      <c r="RMN182" s="12"/>
      <c r="RMW182" s="11"/>
      <c r="RMX182" s="12"/>
      <c r="RNG182" s="11"/>
      <c r="RNH182" s="12"/>
      <c r="RNQ182" s="11"/>
      <c r="RNR182" s="12"/>
      <c r="ROA182" s="11"/>
      <c r="ROB182" s="12"/>
      <c r="ROK182" s="11"/>
      <c r="ROL182" s="12"/>
      <c r="ROU182" s="11"/>
      <c r="ROV182" s="12"/>
      <c r="RPE182" s="11"/>
      <c r="RPF182" s="12"/>
      <c r="RPO182" s="11"/>
      <c r="RPP182" s="12"/>
      <c r="RPY182" s="11"/>
      <c r="RPZ182" s="12"/>
      <c r="RQI182" s="11"/>
      <c r="RQJ182" s="12"/>
      <c r="RQS182" s="11"/>
      <c r="RQT182" s="12"/>
      <c r="RRC182" s="11"/>
      <c r="RRD182" s="12"/>
      <c r="RRM182" s="11"/>
      <c r="RRN182" s="12"/>
      <c r="RRW182" s="11"/>
      <c r="RRX182" s="12"/>
      <c r="RSG182" s="11"/>
      <c r="RSH182" s="12"/>
      <c r="RSQ182" s="11"/>
      <c r="RSR182" s="12"/>
      <c r="RTA182" s="11"/>
      <c r="RTB182" s="12"/>
      <c r="RTK182" s="11"/>
      <c r="RTL182" s="12"/>
      <c r="RTU182" s="11"/>
      <c r="RTV182" s="12"/>
      <c r="RUE182" s="11"/>
      <c r="RUF182" s="12"/>
      <c r="RUO182" s="11"/>
      <c r="RUP182" s="12"/>
      <c r="RUY182" s="11"/>
      <c r="RUZ182" s="12"/>
      <c r="RVI182" s="11"/>
      <c r="RVJ182" s="12"/>
      <c r="RVS182" s="11"/>
      <c r="RVT182" s="12"/>
      <c r="RWC182" s="11"/>
      <c r="RWD182" s="12"/>
      <c r="RWM182" s="11"/>
      <c r="RWN182" s="12"/>
      <c r="RWW182" s="11"/>
      <c r="RWX182" s="12"/>
      <c r="RXG182" s="11"/>
      <c r="RXH182" s="12"/>
      <c r="RXQ182" s="11"/>
      <c r="RXR182" s="12"/>
      <c r="RYA182" s="11"/>
      <c r="RYB182" s="12"/>
      <c r="RYK182" s="11"/>
      <c r="RYL182" s="12"/>
      <c r="RYU182" s="11"/>
      <c r="RYV182" s="12"/>
      <c r="RZE182" s="11"/>
      <c r="RZF182" s="12"/>
      <c r="RZO182" s="11"/>
      <c r="RZP182" s="12"/>
      <c r="RZY182" s="11"/>
      <c r="RZZ182" s="12"/>
      <c r="SAI182" s="11"/>
      <c r="SAJ182" s="12"/>
      <c r="SAS182" s="11"/>
      <c r="SAT182" s="12"/>
      <c r="SBC182" s="11"/>
      <c r="SBD182" s="12"/>
      <c r="SBM182" s="11"/>
      <c r="SBN182" s="12"/>
      <c r="SBW182" s="11"/>
      <c r="SBX182" s="12"/>
      <c r="SCG182" s="11"/>
      <c r="SCH182" s="12"/>
      <c r="SCQ182" s="11"/>
      <c r="SCR182" s="12"/>
      <c r="SDA182" s="11"/>
      <c r="SDB182" s="12"/>
      <c r="SDK182" s="11"/>
      <c r="SDL182" s="12"/>
      <c r="SDU182" s="11"/>
      <c r="SDV182" s="12"/>
      <c r="SEE182" s="11"/>
      <c r="SEF182" s="12"/>
      <c r="SEO182" s="11"/>
      <c r="SEP182" s="12"/>
      <c r="SEY182" s="11"/>
      <c r="SEZ182" s="12"/>
      <c r="SFI182" s="11"/>
      <c r="SFJ182" s="12"/>
      <c r="SFS182" s="11"/>
      <c r="SFT182" s="12"/>
      <c r="SGC182" s="11"/>
      <c r="SGD182" s="12"/>
      <c r="SGM182" s="11"/>
      <c r="SGN182" s="12"/>
      <c r="SGW182" s="11"/>
      <c r="SGX182" s="12"/>
      <c r="SHG182" s="11"/>
      <c r="SHH182" s="12"/>
      <c r="SHQ182" s="11"/>
      <c r="SHR182" s="12"/>
      <c r="SIA182" s="11"/>
      <c r="SIB182" s="12"/>
      <c r="SIK182" s="11"/>
      <c r="SIL182" s="12"/>
      <c r="SIU182" s="11"/>
      <c r="SIV182" s="12"/>
      <c r="SJE182" s="11"/>
      <c r="SJF182" s="12"/>
      <c r="SJO182" s="11"/>
      <c r="SJP182" s="12"/>
      <c r="SJY182" s="11"/>
      <c r="SJZ182" s="12"/>
      <c r="SKI182" s="11"/>
      <c r="SKJ182" s="12"/>
      <c r="SKS182" s="11"/>
      <c r="SKT182" s="12"/>
      <c r="SLC182" s="11"/>
      <c r="SLD182" s="12"/>
      <c r="SLM182" s="11"/>
      <c r="SLN182" s="12"/>
      <c r="SLW182" s="11"/>
      <c r="SLX182" s="12"/>
      <c r="SMG182" s="11"/>
      <c r="SMH182" s="12"/>
      <c r="SMQ182" s="11"/>
      <c r="SMR182" s="12"/>
      <c r="SNA182" s="11"/>
      <c r="SNB182" s="12"/>
      <c r="SNK182" s="11"/>
      <c r="SNL182" s="12"/>
      <c r="SNU182" s="11"/>
      <c r="SNV182" s="12"/>
      <c r="SOE182" s="11"/>
      <c r="SOF182" s="12"/>
      <c r="SOO182" s="11"/>
      <c r="SOP182" s="12"/>
      <c r="SOY182" s="11"/>
      <c r="SOZ182" s="12"/>
      <c r="SPI182" s="11"/>
      <c r="SPJ182" s="12"/>
      <c r="SPS182" s="11"/>
      <c r="SPT182" s="12"/>
      <c r="SQC182" s="11"/>
      <c r="SQD182" s="12"/>
      <c r="SQM182" s="11"/>
      <c r="SQN182" s="12"/>
      <c r="SQW182" s="11"/>
      <c r="SQX182" s="12"/>
      <c r="SRG182" s="11"/>
      <c r="SRH182" s="12"/>
      <c r="SRQ182" s="11"/>
      <c r="SRR182" s="12"/>
      <c r="SSA182" s="11"/>
      <c r="SSB182" s="12"/>
      <c r="SSK182" s="11"/>
      <c r="SSL182" s="12"/>
      <c r="SSU182" s="11"/>
      <c r="SSV182" s="12"/>
      <c r="STE182" s="11"/>
      <c r="STF182" s="12"/>
      <c r="STO182" s="11"/>
      <c r="STP182" s="12"/>
      <c r="STY182" s="11"/>
      <c r="STZ182" s="12"/>
      <c r="SUI182" s="11"/>
      <c r="SUJ182" s="12"/>
      <c r="SUS182" s="11"/>
      <c r="SUT182" s="12"/>
      <c r="SVC182" s="11"/>
      <c r="SVD182" s="12"/>
      <c r="SVM182" s="11"/>
      <c r="SVN182" s="12"/>
      <c r="SVW182" s="11"/>
      <c r="SVX182" s="12"/>
      <c r="SWG182" s="11"/>
      <c r="SWH182" s="12"/>
      <c r="SWQ182" s="11"/>
      <c r="SWR182" s="12"/>
      <c r="SXA182" s="11"/>
      <c r="SXB182" s="12"/>
      <c r="SXK182" s="11"/>
      <c r="SXL182" s="12"/>
      <c r="SXU182" s="11"/>
      <c r="SXV182" s="12"/>
      <c r="SYE182" s="11"/>
      <c r="SYF182" s="12"/>
      <c r="SYO182" s="11"/>
      <c r="SYP182" s="12"/>
      <c r="SYY182" s="11"/>
      <c r="SYZ182" s="12"/>
      <c r="SZI182" s="11"/>
      <c r="SZJ182" s="12"/>
      <c r="SZS182" s="11"/>
      <c r="SZT182" s="12"/>
      <c r="TAC182" s="11"/>
      <c r="TAD182" s="12"/>
      <c r="TAM182" s="11"/>
      <c r="TAN182" s="12"/>
      <c r="TAW182" s="11"/>
      <c r="TAX182" s="12"/>
      <c r="TBG182" s="11"/>
      <c r="TBH182" s="12"/>
      <c r="TBQ182" s="11"/>
      <c r="TBR182" s="12"/>
      <c r="TCA182" s="11"/>
      <c r="TCB182" s="12"/>
      <c r="TCK182" s="11"/>
      <c r="TCL182" s="12"/>
      <c r="TCU182" s="11"/>
      <c r="TCV182" s="12"/>
      <c r="TDE182" s="11"/>
      <c r="TDF182" s="12"/>
      <c r="TDO182" s="11"/>
      <c r="TDP182" s="12"/>
      <c r="TDY182" s="11"/>
      <c r="TDZ182" s="12"/>
      <c r="TEI182" s="11"/>
      <c r="TEJ182" s="12"/>
      <c r="TES182" s="11"/>
      <c r="TET182" s="12"/>
      <c r="TFC182" s="11"/>
      <c r="TFD182" s="12"/>
      <c r="TFM182" s="11"/>
      <c r="TFN182" s="12"/>
      <c r="TFW182" s="11"/>
      <c r="TFX182" s="12"/>
      <c r="TGG182" s="11"/>
      <c r="TGH182" s="12"/>
      <c r="TGQ182" s="11"/>
      <c r="TGR182" s="12"/>
      <c r="THA182" s="11"/>
      <c r="THB182" s="12"/>
      <c r="THK182" s="11"/>
      <c r="THL182" s="12"/>
      <c r="THU182" s="11"/>
      <c r="THV182" s="12"/>
      <c r="TIE182" s="11"/>
      <c r="TIF182" s="12"/>
      <c r="TIO182" s="11"/>
      <c r="TIP182" s="12"/>
      <c r="TIY182" s="11"/>
      <c r="TIZ182" s="12"/>
      <c r="TJI182" s="11"/>
      <c r="TJJ182" s="12"/>
      <c r="TJS182" s="11"/>
      <c r="TJT182" s="12"/>
      <c r="TKC182" s="11"/>
      <c r="TKD182" s="12"/>
      <c r="TKM182" s="11"/>
      <c r="TKN182" s="12"/>
      <c r="TKW182" s="11"/>
      <c r="TKX182" s="12"/>
      <c r="TLG182" s="11"/>
      <c r="TLH182" s="12"/>
      <c r="TLQ182" s="11"/>
      <c r="TLR182" s="12"/>
      <c r="TMA182" s="11"/>
      <c r="TMB182" s="12"/>
      <c r="TMK182" s="11"/>
      <c r="TML182" s="12"/>
      <c r="TMU182" s="11"/>
      <c r="TMV182" s="12"/>
      <c r="TNE182" s="11"/>
      <c r="TNF182" s="12"/>
      <c r="TNO182" s="11"/>
      <c r="TNP182" s="12"/>
      <c r="TNY182" s="11"/>
      <c r="TNZ182" s="12"/>
      <c r="TOI182" s="11"/>
      <c r="TOJ182" s="12"/>
      <c r="TOS182" s="11"/>
      <c r="TOT182" s="12"/>
      <c r="TPC182" s="11"/>
      <c r="TPD182" s="12"/>
      <c r="TPM182" s="11"/>
      <c r="TPN182" s="12"/>
      <c r="TPW182" s="11"/>
      <c r="TPX182" s="12"/>
      <c r="TQG182" s="11"/>
      <c r="TQH182" s="12"/>
      <c r="TQQ182" s="11"/>
      <c r="TQR182" s="12"/>
      <c r="TRA182" s="11"/>
      <c r="TRB182" s="12"/>
      <c r="TRK182" s="11"/>
      <c r="TRL182" s="12"/>
      <c r="TRU182" s="11"/>
      <c r="TRV182" s="12"/>
      <c r="TSE182" s="11"/>
      <c r="TSF182" s="12"/>
      <c r="TSO182" s="11"/>
      <c r="TSP182" s="12"/>
      <c r="TSY182" s="11"/>
      <c r="TSZ182" s="12"/>
      <c r="TTI182" s="11"/>
      <c r="TTJ182" s="12"/>
      <c r="TTS182" s="11"/>
      <c r="TTT182" s="12"/>
      <c r="TUC182" s="11"/>
      <c r="TUD182" s="12"/>
      <c r="TUM182" s="11"/>
      <c r="TUN182" s="12"/>
      <c r="TUW182" s="11"/>
      <c r="TUX182" s="12"/>
      <c r="TVG182" s="11"/>
      <c r="TVH182" s="12"/>
      <c r="TVQ182" s="11"/>
      <c r="TVR182" s="12"/>
      <c r="TWA182" s="11"/>
      <c r="TWB182" s="12"/>
      <c r="TWK182" s="11"/>
      <c r="TWL182" s="12"/>
      <c r="TWU182" s="11"/>
      <c r="TWV182" s="12"/>
      <c r="TXE182" s="11"/>
      <c r="TXF182" s="12"/>
      <c r="TXO182" s="11"/>
      <c r="TXP182" s="12"/>
      <c r="TXY182" s="11"/>
      <c r="TXZ182" s="12"/>
      <c r="TYI182" s="11"/>
      <c r="TYJ182" s="12"/>
      <c r="TYS182" s="11"/>
      <c r="TYT182" s="12"/>
      <c r="TZC182" s="11"/>
      <c r="TZD182" s="12"/>
      <c r="TZM182" s="11"/>
      <c r="TZN182" s="12"/>
      <c r="TZW182" s="11"/>
      <c r="TZX182" s="12"/>
      <c r="UAG182" s="11"/>
      <c r="UAH182" s="12"/>
      <c r="UAQ182" s="11"/>
      <c r="UAR182" s="12"/>
      <c r="UBA182" s="11"/>
      <c r="UBB182" s="12"/>
      <c r="UBK182" s="11"/>
      <c r="UBL182" s="12"/>
      <c r="UBU182" s="11"/>
      <c r="UBV182" s="12"/>
      <c r="UCE182" s="11"/>
      <c r="UCF182" s="12"/>
      <c r="UCO182" s="11"/>
      <c r="UCP182" s="12"/>
      <c r="UCY182" s="11"/>
      <c r="UCZ182" s="12"/>
      <c r="UDI182" s="11"/>
      <c r="UDJ182" s="12"/>
      <c r="UDS182" s="11"/>
      <c r="UDT182" s="12"/>
      <c r="UEC182" s="11"/>
      <c r="UED182" s="12"/>
      <c r="UEM182" s="11"/>
      <c r="UEN182" s="12"/>
      <c r="UEW182" s="11"/>
      <c r="UEX182" s="12"/>
      <c r="UFG182" s="11"/>
      <c r="UFH182" s="12"/>
      <c r="UFQ182" s="11"/>
      <c r="UFR182" s="12"/>
      <c r="UGA182" s="11"/>
      <c r="UGB182" s="12"/>
      <c r="UGK182" s="11"/>
      <c r="UGL182" s="12"/>
      <c r="UGU182" s="11"/>
      <c r="UGV182" s="12"/>
      <c r="UHE182" s="11"/>
      <c r="UHF182" s="12"/>
      <c r="UHO182" s="11"/>
      <c r="UHP182" s="12"/>
      <c r="UHY182" s="11"/>
      <c r="UHZ182" s="12"/>
      <c r="UII182" s="11"/>
      <c r="UIJ182" s="12"/>
      <c r="UIS182" s="11"/>
      <c r="UIT182" s="12"/>
      <c r="UJC182" s="11"/>
      <c r="UJD182" s="12"/>
      <c r="UJM182" s="11"/>
      <c r="UJN182" s="12"/>
      <c r="UJW182" s="11"/>
      <c r="UJX182" s="12"/>
      <c r="UKG182" s="11"/>
      <c r="UKH182" s="12"/>
      <c r="UKQ182" s="11"/>
      <c r="UKR182" s="12"/>
      <c r="ULA182" s="11"/>
      <c r="ULB182" s="12"/>
      <c r="ULK182" s="11"/>
      <c r="ULL182" s="12"/>
      <c r="ULU182" s="11"/>
      <c r="ULV182" s="12"/>
      <c r="UME182" s="11"/>
      <c r="UMF182" s="12"/>
      <c r="UMO182" s="11"/>
      <c r="UMP182" s="12"/>
      <c r="UMY182" s="11"/>
      <c r="UMZ182" s="12"/>
      <c r="UNI182" s="11"/>
      <c r="UNJ182" s="12"/>
      <c r="UNS182" s="11"/>
      <c r="UNT182" s="12"/>
      <c r="UOC182" s="11"/>
      <c r="UOD182" s="12"/>
      <c r="UOM182" s="11"/>
      <c r="UON182" s="12"/>
      <c r="UOW182" s="11"/>
      <c r="UOX182" s="12"/>
      <c r="UPG182" s="11"/>
      <c r="UPH182" s="12"/>
      <c r="UPQ182" s="11"/>
      <c r="UPR182" s="12"/>
      <c r="UQA182" s="11"/>
      <c r="UQB182" s="12"/>
      <c r="UQK182" s="11"/>
      <c r="UQL182" s="12"/>
      <c r="UQU182" s="11"/>
      <c r="UQV182" s="12"/>
      <c r="URE182" s="11"/>
      <c r="URF182" s="12"/>
      <c r="URO182" s="11"/>
      <c r="URP182" s="12"/>
      <c r="URY182" s="11"/>
      <c r="URZ182" s="12"/>
      <c r="USI182" s="11"/>
      <c r="USJ182" s="12"/>
      <c r="USS182" s="11"/>
      <c r="UST182" s="12"/>
      <c r="UTC182" s="11"/>
      <c r="UTD182" s="12"/>
      <c r="UTM182" s="11"/>
      <c r="UTN182" s="12"/>
      <c r="UTW182" s="11"/>
      <c r="UTX182" s="12"/>
      <c r="UUG182" s="11"/>
      <c r="UUH182" s="12"/>
      <c r="UUQ182" s="11"/>
      <c r="UUR182" s="12"/>
      <c r="UVA182" s="11"/>
      <c r="UVB182" s="12"/>
      <c r="UVK182" s="11"/>
      <c r="UVL182" s="12"/>
      <c r="UVU182" s="11"/>
      <c r="UVV182" s="12"/>
      <c r="UWE182" s="11"/>
      <c r="UWF182" s="12"/>
      <c r="UWO182" s="11"/>
      <c r="UWP182" s="12"/>
      <c r="UWY182" s="11"/>
      <c r="UWZ182" s="12"/>
      <c r="UXI182" s="11"/>
      <c r="UXJ182" s="12"/>
      <c r="UXS182" s="11"/>
      <c r="UXT182" s="12"/>
      <c r="UYC182" s="11"/>
      <c r="UYD182" s="12"/>
      <c r="UYM182" s="11"/>
      <c r="UYN182" s="12"/>
      <c r="UYW182" s="11"/>
      <c r="UYX182" s="12"/>
      <c r="UZG182" s="11"/>
      <c r="UZH182" s="12"/>
      <c r="UZQ182" s="11"/>
      <c r="UZR182" s="12"/>
      <c r="VAA182" s="11"/>
      <c r="VAB182" s="12"/>
      <c r="VAK182" s="11"/>
      <c r="VAL182" s="12"/>
      <c r="VAU182" s="11"/>
      <c r="VAV182" s="12"/>
      <c r="VBE182" s="11"/>
      <c r="VBF182" s="12"/>
      <c r="VBO182" s="11"/>
      <c r="VBP182" s="12"/>
      <c r="VBY182" s="11"/>
      <c r="VBZ182" s="12"/>
      <c r="VCI182" s="11"/>
      <c r="VCJ182" s="12"/>
      <c r="VCS182" s="11"/>
      <c r="VCT182" s="12"/>
      <c r="VDC182" s="11"/>
      <c r="VDD182" s="12"/>
      <c r="VDM182" s="11"/>
      <c r="VDN182" s="12"/>
      <c r="VDW182" s="11"/>
      <c r="VDX182" s="12"/>
      <c r="VEG182" s="11"/>
      <c r="VEH182" s="12"/>
      <c r="VEQ182" s="11"/>
      <c r="VER182" s="12"/>
      <c r="VFA182" s="11"/>
      <c r="VFB182" s="12"/>
      <c r="VFK182" s="11"/>
      <c r="VFL182" s="12"/>
      <c r="VFU182" s="11"/>
      <c r="VFV182" s="12"/>
      <c r="VGE182" s="11"/>
      <c r="VGF182" s="12"/>
      <c r="VGO182" s="11"/>
      <c r="VGP182" s="12"/>
      <c r="VGY182" s="11"/>
      <c r="VGZ182" s="12"/>
      <c r="VHI182" s="11"/>
      <c r="VHJ182" s="12"/>
      <c r="VHS182" s="11"/>
      <c r="VHT182" s="12"/>
      <c r="VIC182" s="11"/>
      <c r="VID182" s="12"/>
      <c r="VIM182" s="11"/>
      <c r="VIN182" s="12"/>
      <c r="VIW182" s="11"/>
      <c r="VIX182" s="12"/>
      <c r="VJG182" s="11"/>
      <c r="VJH182" s="12"/>
      <c r="VJQ182" s="11"/>
      <c r="VJR182" s="12"/>
      <c r="VKA182" s="11"/>
      <c r="VKB182" s="12"/>
      <c r="VKK182" s="11"/>
      <c r="VKL182" s="12"/>
      <c r="VKU182" s="11"/>
      <c r="VKV182" s="12"/>
      <c r="VLE182" s="11"/>
      <c r="VLF182" s="12"/>
      <c r="VLO182" s="11"/>
      <c r="VLP182" s="12"/>
      <c r="VLY182" s="11"/>
      <c r="VLZ182" s="12"/>
      <c r="VMI182" s="11"/>
      <c r="VMJ182" s="12"/>
      <c r="VMS182" s="11"/>
      <c r="VMT182" s="12"/>
      <c r="VNC182" s="11"/>
      <c r="VND182" s="12"/>
      <c r="VNM182" s="11"/>
      <c r="VNN182" s="12"/>
      <c r="VNW182" s="11"/>
      <c r="VNX182" s="12"/>
      <c r="VOG182" s="11"/>
      <c r="VOH182" s="12"/>
      <c r="VOQ182" s="11"/>
      <c r="VOR182" s="12"/>
      <c r="VPA182" s="11"/>
      <c r="VPB182" s="12"/>
      <c r="VPK182" s="11"/>
      <c r="VPL182" s="12"/>
      <c r="VPU182" s="11"/>
      <c r="VPV182" s="12"/>
      <c r="VQE182" s="11"/>
      <c r="VQF182" s="12"/>
      <c r="VQO182" s="11"/>
      <c r="VQP182" s="12"/>
      <c r="VQY182" s="11"/>
      <c r="VQZ182" s="12"/>
      <c r="VRI182" s="11"/>
      <c r="VRJ182" s="12"/>
      <c r="VRS182" s="11"/>
      <c r="VRT182" s="12"/>
      <c r="VSC182" s="11"/>
      <c r="VSD182" s="12"/>
      <c r="VSM182" s="11"/>
      <c r="VSN182" s="12"/>
      <c r="VSW182" s="11"/>
      <c r="VSX182" s="12"/>
      <c r="VTG182" s="11"/>
      <c r="VTH182" s="12"/>
      <c r="VTQ182" s="11"/>
      <c r="VTR182" s="12"/>
      <c r="VUA182" s="11"/>
      <c r="VUB182" s="12"/>
      <c r="VUK182" s="11"/>
      <c r="VUL182" s="12"/>
      <c r="VUU182" s="11"/>
      <c r="VUV182" s="12"/>
      <c r="VVE182" s="11"/>
      <c r="VVF182" s="12"/>
      <c r="VVO182" s="11"/>
      <c r="VVP182" s="12"/>
      <c r="VVY182" s="11"/>
      <c r="VVZ182" s="12"/>
      <c r="VWI182" s="11"/>
      <c r="VWJ182" s="12"/>
      <c r="VWS182" s="11"/>
      <c r="VWT182" s="12"/>
      <c r="VXC182" s="11"/>
      <c r="VXD182" s="12"/>
      <c r="VXM182" s="11"/>
      <c r="VXN182" s="12"/>
      <c r="VXW182" s="11"/>
      <c r="VXX182" s="12"/>
      <c r="VYG182" s="11"/>
      <c r="VYH182" s="12"/>
      <c r="VYQ182" s="11"/>
      <c r="VYR182" s="12"/>
      <c r="VZA182" s="11"/>
      <c r="VZB182" s="12"/>
      <c r="VZK182" s="11"/>
      <c r="VZL182" s="12"/>
      <c r="VZU182" s="11"/>
      <c r="VZV182" s="12"/>
      <c r="WAE182" s="11"/>
      <c r="WAF182" s="12"/>
      <c r="WAO182" s="11"/>
      <c r="WAP182" s="12"/>
      <c r="WAY182" s="11"/>
      <c r="WAZ182" s="12"/>
      <c r="WBI182" s="11"/>
      <c r="WBJ182" s="12"/>
      <c r="WBS182" s="11"/>
      <c r="WBT182" s="12"/>
      <c r="WCC182" s="11"/>
      <c r="WCD182" s="12"/>
      <c r="WCM182" s="11"/>
      <c r="WCN182" s="12"/>
      <c r="WCW182" s="11"/>
      <c r="WCX182" s="12"/>
      <c r="WDG182" s="11"/>
      <c r="WDH182" s="12"/>
      <c r="WDQ182" s="11"/>
      <c r="WDR182" s="12"/>
      <c r="WEA182" s="11"/>
      <c r="WEB182" s="12"/>
      <c r="WEK182" s="11"/>
      <c r="WEL182" s="12"/>
      <c r="WEU182" s="11"/>
      <c r="WEV182" s="12"/>
      <c r="WFE182" s="11"/>
      <c r="WFF182" s="12"/>
      <c r="WFO182" s="11"/>
      <c r="WFP182" s="12"/>
      <c r="WFY182" s="11"/>
      <c r="WFZ182" s="12"/>
      <c r="WGI182" s="11"/>
      <c r="WGJ182" s="12"/>
      <c r="WGS182" s="11"/>
      <c r="WGT182" s="12"/>
      <c r="WHC182" s="11"/>
      <c r="WHD182" s="12"/>
      <c r="WHM182" s="11"/>
      <c r="WHN182" s="12"/>
      <c r="WHW182" s="11"/>
      <c r="WHX182" s="12"/>
      <c r="WIG182" s="11"/>
      <c r="WIH182" s="12"/>
      <c r="WIQ182" s="11"/>
      <c r="WIR182" s="12"/>
      <c r="WJA182" s="11"/>
      <c r="WJB182" s="12"/>
      <c r="WJK182" s="11"/>
      <c r="WJL182" s="12"/>
      <c r="WJU182" s="11"/>
      <c r="WJV182" s="12"/>
      <c r="WKE182" s="11"/>
      <c r="WKF182" s="12"/>
      <c r="WKO182" s="11"/>
      <c r="WKP182" s="12"/>
      <c r="WKY182" s="11"/>
      <c r="WKZ182" s="12"/>
      <c r="WLI182" s="11"/>
      <c r="WLJ182" s="12"/>
      <c r="WLS182" s="11"/>
      <c r="WLT182" s="12"/>
      <c r="WMC182" s="11"/>
      <c r="WMD182" s="12"/>
      <c r="WMM182" s="11"/>
      <c r="WMN182" s="12"/>
      <c r="WMW182" s="11"/>
      <c r="WMX182" s="12"/>
      <c r="WNG182" s="11"/>
      <c r="WNH182" s="12"/>
      <c r="WNQ182" s="11"/>
      <c r="WNR182" s="12"/>
      <c r="WOA182" s="11"/>
      <c r="WOB182" s="12"/>
      <c r="WOK182" s="11"/>
      <c r="WOL182" s="12"/>
      <c r="WOU182" s="11"/>
      <c r="WOV182" s="12"/>
      <c r="WPE182" s="11"/>
      <c r="WPF182" s="12"/>
      <c r="WPO182" s="11"/>
      <c r="WPP182" s="12"/>
      <c r="WPY182" s="11"/>
      <c r="WPZ182" s="12"/>
      <c r="WQI182" s="11"/>
      <c r="WQJ182" s="12"/>
      <c r="WQS182" s="11"/>
      <c r="WQT182" s="12"/>
      <c r="WRC182" s="11"/>
      <c r="WRD182" s="12"/>
      <c r="WRM182" s="11"/>
      <c r="WRN182" s="12"/>
      <c r="WRW182" s="11"/>
      <c r="WRX182" s="12"/>
      <c r="WSG182" s="11"/>
      <c r="WSH182" s="12"/>
      <c r="WSQ182" s="11"/>
      <c r="WSR182" s="12"/>
      <c r="WTA182" s="11"/>
      <c r="WTB182" s="12"/>
      <c r="WTK182" s="11"/>
      <c r="WTL182" s="12"/>
      <c r="WTU182" s="11"/>
      <c r="WTV182" s="12"/>
      <c r="WUE182" s="11"/>
      <c r="WUF182" s="12"/>
      <c r="WUO182" s="11"/>
      <c r="WUP182" s="12"/>
      <c r="WUY182" s="11"/>
      <c r="WUZ182" s="12"/>
      <c r="WVI182" s="11"/>
      <c r="WVJ182" s="12"/>
      <c r="WVS182" s="11"/>
      <c r="WVT182" s="12"/>
      <c r="WWC182" s="11"/>
      <c r="WWD182" s="12"/>
      <c r="WWM182" s="11"/>
      <c r="WWN182" s="12"/>
      <c r="WWW182" s="11"/>
      <c r="WWX182" s="12"/>
      <c r="WXG182" s="11"/>
      <c r="WXH182" s="12"/>
      <c r="WXQ182" s="11"/>
      <c r="WXR182" s="12"/>
      <c r="WYA182" s="11"/>
      <c r="WYB182" s="12"/>
      <c r="WYK182" s="11"/>
      <c r="WYL182" s="12"/>
      <c r="WYU182" s="11"/>
      <c r="WYV182" s="12"/>
      <c r="WZE182" s="11"/>
      <c r="WZF182" s="12"/>
      <c r="WZO182" s="11"/>
      <c r="WZP182" s="12"/>
      <c r="WZY182" s="11"/>
      <c r="WZZ182" s="12"/>
      <c r="XAI182" s="11"/>
      <c r="XAJ182" s="12"/>
      <c r="XAS182" s="11"/>
      <c r="XAT182" s="12"/>
      <c r="XBC182" s="11"/>
      <c r="XBD182" s="12"/>
      <c r="XBM182" s="11"/>
      <c r="XBN182" s="12"/>
      <c r="XBW182" s="11"/>
      <c r="XBX182" s="12"/>
      <c r="XCG182" s="11"/>
      <c r="XCH182" s="12"/>
      <c r="XCQ182" s="11"/>
      <c r="XCR182" s="12"/>
      <c r="XDA182" s="11"/>
      <c r="XDB182" s="12"/>
      <c r="XDK182" s="11"/>
      <c r="XDL182" s="12"/>
      <c r="XDU182" s="11"/>
      <c r="XDV182" s="12"/>
      <c r="XEE182" s="11"/>
      <c r="XEF182" s="12"/>
      <c r="XEO182" s="11"/>
      <c r="XEP182" s="12"/>
      <c r="XEY182" s="11"/>
      <c r="XEZ182" s="12"/>
    </row>
    <row r="183" spans="1:1020 1029:2040 2049:3070 3079:4090 4099:5120 5129:6140 6149:7160 7169:8190 8199:9210 9219:10240 10249:11260 11269:12280 12289:13310 13319:14330 14339:15360 15369:16380" s="10" customFormat="1" ht="27.6" x14ac:dyDescent="0.3">
      <c r="A183"/>
      <c r="B183"/>
      <c r="C183"/>
      <c r="D183"/>
      <c r="E183"/>
      <c r="F183"/>
      <c r="G183"/>
      <c r="H183" s="32" t="s">
        <v>9</v>
      </c>
      <c r="I183" s="33" t="s">
        <v>14</v>
      </c>
      <c r="J183" s="34" t="s">
        <v>15</v>
      </c>
      <c r="K183" s="35" t="s">
        <v>290</v>
      </c>
      <c r="L183" s="33" t="s">
        <v>273</v>
      </c>
      <c r="M183" s="33"/>
      <c r="N183" s="36"/>
      <c r="O183" s="33">
        <v>3</v>
      </c>
      <c r="P183" s="33">
        <f>IF(Tabela1[[#This Row],[Status]]="✔️",Tabela1[[#This Row],[Peso]],IF(Tabela1[[#This Row],[Status]]="✔️✔️",Tabela1[[#This Row],[Peso]]/2,0))</f>
        <v>0</v>
      </c>
      <c r="Q18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3" s="33" t="s">
        <v>264</v>
      </c>
      <c r="S183" s="37" t="s">
        <v>263</v>
      </c>
      <c r="T183" s="12"/>
      <c r="AC183" s="11"/>
      <c r="AD183" s="12"/>
      <c r="AM183" s="11"/>
      <c r="AN183" s="12"/>
      <c r="AW183" s="11"/>
      <c r="AX183" s="12"/>
      <c r="BG183" s="11"/>
      <c r="BH183" s="12"/>
      <c r="BQ183" s="11"/>
      <c r="BR183" s="12"/>
      <c r="CA183" s="11"/>
      <c r="CB183" s="12"/>
      <c r="CK183" s="11"/>
      <c r="CL183" s="12"/>
      <c r="CU183" s="11"/>
      <c r="CV183" s="12"/>
      <c r="DE183" s="11"/>
      <c r="DF183" s="12"/>
      <c r="DO183" s="11"/>
      <c r="DP183" s="12"/>
      <c r="DY183" s="11"/>
      <c r="DZ183" s="12"/>
      <c r="EI183" s="11"/>
      <c r="EJ183" s="12"/>
      <c r="ES183" s="11"/>
      <c r="ET183" s="12"/>
      <c r="FC183" s="11"/>
      <c r="FD183" s="12"/>
      <c r="FM183" s="11"/>
      <c r="FN183" s="12"/>
      <c r="FW183" s="11"/>
      <c r="FX183" s="12"/>
      <c r="GG183" s="11"/>
      <c r="GH183" s="12"/>
      <c r="GQ183" s="11"/>
      <c r="GR183" s="12"/>
      <c r="HA183" s="11"/>
      <c r="HB183" s="12"/>
      <c r="HK183" s="11"/>
      <c r="HL183" s="12"/>
      <c r="HU183" s="11"/>
      <c r="HV183" s="12"/>
      <c r="IE183" s="11"/>
      <c r="IF183" s="12"/>
      <c r="IO183" s="11"/>
      <c r="IP183" s="12"/>
      <c r="IY183" s="11"/>
      <c r="IZ183" s="12"/>
      <c r="JI183" s="11"/>
      <c r="JJ183" s="12"/>
      <c r="JS183" s="11"/>
      <c r="JT183" s="12"/>
      <c r="KC183" s="11"/>
      <c r="KD183" s="12"/>
      <c r="KM183" s="11"/>
      <c r="KN183" s="12"/>
      <c r="KW183" s="11"/>
      <c r="KX183" s="12"/>
      <c r="LG183" s="11"/>
      <c r="LH183" s="12"/>
      <c r="LQ183" s="11"/>
      <c r="LR183" s="12"/>
      <c r="MA183" s="11"/>
      <c r="MB183" s="12"/>
      <c r="MK183" s="11"/>
      <c r="ML183" s="12"/>
      <c r="MU183" s="11"/>
      <c r="MV183" s="12"/>
      <c r="NE183" s="11"/>
      <c r="NF183" s="12"/>
      <c r="NO183" s="11"/>
      <c r="NP183" s="12"/>
      <c r="NY183" s="11"/>
      <c r="NZ183" s="12"/>
      <c r="OI183" s="11"/>
      <c r="OJ183" s="12"/>
      <c r="OS183" s="11"/>
      <c r="OT183" s="12"/>
      <c r="PC183" s="11"/>
      <c r="PD183" s="12"/>
      <c r="PM183" s="11"/>
      <c r="PN183" s="12"/>
      <c r="PW183" s="11"/>
      <c r="PX183" s="12"/>
      <c r="QG183" s="11"/>
      <c r="QH183" s="12"/>
      <c r="QQ183" s="11"/>
      <c r="QR183" s="12"/>
      <c r="RA183" s="11"/>
      <c r="RB183" s="12"/>
      <c r="RK183" s="11"/>
      <c r="RL183" s="12"/>
      <c r="RU183" s="11"/>
      <c r="RV183" s="12"/>
      <c r="SE183" s="11"/>
      <c r="SF183" s="12"/>
      <c r="SO183" s="11"/>
      <c r="SP183" s="12"/>
      <c r="SY183" s="11"/>
      <c r="SZ183" s="12"/>
      <c r="TI183" s="11"/>
      <c r="TJ183" s="12"/>
      <c r="TS183" s="11"/>
      <c r="TT183" s="12"/>
      <c r="UC183" s="11"/>
      <c r="UD183" s="12"/>
      <c r="UM183" s="11"/>
      <c r="UN183" s="12"/>
      <c r="UW183" s="11"/>
      <c r="UX183" s="12"/>
      <c r="VG183" s="11"/>
      <c r="VH183" s="12"/>
      <c r="VQ183" s="11"/>
      <c r="VR183" s="12"/>
      <c r="WA183" s="11"/>
      <c r="WB183" s="12"/>
      <c r="WK183" s="11"/>
      <c r="WL183" s="12"/>
      <c r="WU183" s="11"/>
      <c r="WV183" s="12"/>
      <c r="XE183" s="11"/>
      <c r="XF183" s="12"/>
      <c r="XO183" s="11"/>
      <c r="XP183" s="12"/>
      <c r="XY183" s="11"/>
      <c r="XZ183" s="12"/>
      <c r="YI183" s="11"/>
      <c r="YJ183" s="12"/>
      <c r="YS183" s="11"/>
      <c r="YT183" s="12"/>
      <c r="ZC183" s="11"/>
      <c r="ZD183" s="12"/>
      <c r="ZM183" s="11"/>
      <c r="ZN183" s="12"/>
      <c r="ZW183" s="11"/>
      <c r="ZX183" s="12"/>
      <c r="AAG183" s="11"/>
      <c r="AAH183" s="12"/>
      <c r="AAQ183" s="11"/>
      <c r="AAR183" s="12"/>
      <c r="ABA183" s="11"/>
      <c r="ABB183" s="12"/>
      <c r="ABK183" s="11"/>
      <c r="ABL183" s="12"/>
      <c r="ABU183" s="11"/>
      <c r="ABV183" s="12"/>
      <c r="ACE183" s="11"/>
      <c r="ACF183" s="12"/>
      <c r="ACO183" s="11"/>
      <c r="ACP183" s="12"/>
      <c r="ACY183" s="11"/>
      <c r="ACZ183" s="12"/>
      <c r="ADI183" s="11"/>
      <c r="ADJ183" s="12"/>
      <c r="ADS183" s="11"/>
      <c r="ADT183" s="12"/>
      <c r="AEC183" s="11"/>
      <c r="AED183" s="12"/>
      <c r="AEM183" s="11"/>
      <c r="AEN183" s="12"/>
      <c r="AEW183" s="11"/>
      <c r="AEX183" s="12"/>
      <c r="AFG183" s="11"/>
      <c r="AFH183" s="12"/>
      <c r="AFQ183" s="11"/>
      <c r="AFR183" s="12"/>
      <c r="AGA183" s="11"/>
      <c r="AGB183" s="12"/>
      <c r="AGK183" s="11"/>
      <c r="AGL183" s="12"/>
      <c r="AGU183" s="11"/>
      <c r="AGV183" s="12"/>
      <c r="AHE183" s="11"/>
      <c r="AHF183" s="12"/>
      <c r="AHO183" s="11"/>
      <c r="AHP183" s="12"/>
      <c r="AHY183" s="11"/>
      <c r="AHZ183" s="12"/>
      <c r="AII183" s="11"/>
      <c r="AIJ183" s="12"/>
      <c r="AIS183" s="11"/>
      <c r="AIT183" s="12"/>
      <c r="AJC183" s="11"/>
      <c r="AJD183" s="12"/>
      <c r="AJM183" s="11"/>
      <c r="AJN183" s="12"/>
      <c r="AJW183" s="11"/>
      <c r="AJX183" s="12"/>
      <c r="AKG183" s="11"/>
      <c r="AKH183" s="12"/>
      <c r="AKQ183" s="11"/>
      <c r="AKR183" s="12"/>
      <c r="ALA183" s="11"/>
      <c r="ALB183" s="12"/>
      <c r="ALK183" s="11"/>
      <c r="ALL183" s="12"/>
      <c r="ALU183" s="11"/>
      <c r="ALV183" s="12"/>
      <c r="AME183" s="11"/>
      <c r="AMF183" s="12"/>
      <c r="AMO183" s="11"/>
      <c r="AMP183" s="12"/>
      <c r="AMY183" s="11"/>
      <c r="AMZ183" s="12"/>
      <c r="ANI183" s="11"/>
      <c r="ANJ183" s="12"/>
      <c r="ANS183" s="11"/>
      <c r="ANT183" s="12"/>
      <c r="AOC183" s="11"/>
      <c r="AOD183" s="12"/>
      <c r="AOM183" s="11"/>
      <c r="AON183" s="12"/>
      <c r="AOW183" s="11"/>
      <c r="AOX183" s="12"/>
      <c r="APG183" s="11"/>
      <c r="APH183" s="12"/>
      <c r="APQ183" s="11"/>
      <c r="APR183" s="12"/>
      <c r="AQA183" s="11"/>
      <c r="AQB183" s="12"/>
      <c r="AQK183" s="11"/>
      <c r="AQL183" s="12"/>
      <c r="AQU183" s="11"/>
      <c r="AQV183" s="12"/>
      <c r="ARE183" s="11"/>
      <c r="ARF183" s="12"/>
      <c r="ARO183" s="11"/>
      <c r="ARP183" s="12"/>
      <c r="ARY183" s="11"/>
      <c r="ARZ183" s="12"/>
      <c r="ASI183" s="11"/>
      <c r="ASJ183" s="12"/>
      <c r="ASS183" s="11"/>
      <c r="AST183" s="12"/>
      <c r="ATC183" s="11"/>
      <c r="ATD183" s="12"/>
      <c r="ATM183" s="11"/>
      <c r="ATN183" s="12"/>
      <c r="ATW183" s="11"/>
      <c r="ATX183" s="12"/>
      <c r="AUG183" s="11"/>
      <c r="AUH183" s="12"/>
      <c r="AUQ183" s="11"/>
      <c r="AUR183" s="12"/>
      <c r="AVA183" s="11"/>
      <c r="AVB183" s="12"/>
      <c r="AVK183" s="11"/>
      <c r="AVL183" s="12"/>
      <c r="AVU183" s="11"/>
      <c r="AVV183" s="12"/>
      <c r="AWE183" s="11"/>
      <c r="AWF183" s="12"/>
      <c r="AWO183" s="11"/>
      <c r="AWP183" s="12"/>
      <c r="AWY183" s="11"/>
      <c r="AWZ183" s="12"/>
      <c r="AXI183" s="11"/>
      <c r="AXJ183" s="12"/>
      <c r="AXS183" s="11"/>
      <c r="AXT183" s="12"/>
      <c r="AYC183" s="11"/>
      <c r="AYD183" s="12"/>
      <c r="AYM183" s="11"/>
      <c r="AYN183" s="12"/>
      <c r="AYW183" s="11"/>
      <c r="AYX183" s="12"/>
      <c r="AZG183" s="11"/>
      <c r="AZH183" s="12"/>
      <c r="AZQ183" s="11"/>
      <c r="AZR183" s="12"/>
      <c r="BAA183" s="11"/>
      <c r="BAB183" s="12"/>
      <c r="BAK183" s="11"/>
      <c r="BAL183" s="12"/>
      <c r="BAU183" s="11"/>
      <c r="BAV183" s="12"/>
      <c r="BBE183" s="11"/>
      <c r="BBF183" s="12"/>
      <c r="BBO183" s="11"/>
      <c r="BBP183" s="12"/>
      <c r="BBY183" s="11"/>
      <c r="BBZ183" s="12"/>
      <c r="BCI183" s="11"/>
      <c r="BCJ183" s="12"/>
      <c r="BCS183" s="11"/>
      <c r="BCT183" s="12"/>
      <c r="BDC183" s="11"/>
      <c r="BDD183" s="12"/>
      <c r="BDM183" s="11"/>
      <c r="BDN183" s="12"/>
      <c r="BDW183" s="11"/>
      <c r="BDX183" s="12"/>
      <c r="BEG183" s="11"/>
      <c r="BEH183" s="12"/>
      <c r="BEQ183" s="11"/>
      <c r="BER183" s="12"/>
      <c r="BFA183" s="11"/>
      <c r="BFB183" s="12"/>
      <c r="BFK183" s="11"/>
      <c r="BFL183" s="12"/>
      <c r="BFU183" s="11"/>
      <c r="BFV183" s="12"/>
      <c r="BGE183" s="11"/>
      <c r="BGF183" s="12"/>
      <c r="BGO183" s="11"/>
      <c r="BGP183" s="12"/>
      <c r="BGY183" s="11"/>
      <c r="BGZ183" s="12"/>
      <c r="BHI183" s="11"/>
      <c r="BHJ183" s="12"/>
      <c r="BHS183" s="11"/>
      <c r="BHT183" s="12"/>
      <c r="BIC183" s="11"/>
      <c r="BID183" s="12"/>
      <c r="BIM183" s="11"/>
      <c r="BIN183" s="12"/>
      <c r="BIW183" s="11"/>
      <c r="BIX183" s="12"/>
      <c r="BJG183" s="11"/>
      <c r="BJH183" s="12"/>
      <c r="BJQ183" s="11"/>
      <c r="BJR183" s="12"/>
      <c r="BKA183" s="11"/>
      <c r="BKB183" s="12"/>
      <c r="BKK183" s="11"/>
      <c r="BKL183" s="12"/>
      <c r="BKU183" s="11"/>
      <c r="BKV183" s="12"/>
      <c r="BLE183" s="11"/>
      <c r="BLF183" s="12"/>
      <c r="BLO183" s="11"/>
      <c r="BLP183" s="12"/>
      <c r="BLY183" s="11"/>
      <c r="BLZ183" s="12"/>
      <c r="BMI183" s="11"/>
      <c r="BMJ183" s="12"/>
      <c r="BMS183" s="11"/>
      <c r="BMT183" s="12"/>
      <c r="BNC183" s="11"/>
      <c r="BND183" s="12"/>
      <c r="BNM183" s="11"/>
      <c r="BNN183" s="12"/>
      <c r="BNW183" s="11"/>
      <c r="BNX183" s="12"/>
      <c r="BOG183" s="11"/>
      <c r="BOH183" s="12"/>
      <c r="BOQ183" s="11"/>
      <c r="BOR183" s="12"/>
      <c r="BPA183" s="11"/>
      <c r="BPB183" s="12"/>
      <c r="BPK183" s="11"/>
      <c r="BPL183" s="12"/>
      <c r="BPU183" s="11"/>
      <c r="BPV183" s="12"/>
      <c r="BQE183" s="11"/>
      <c r="BQF183" s="12"/>
      <c r="BQO183" s="11"/>
      <c r="BQP183" s="12"/>
      <c r="BQY183" s="11"/>
      <c r="BQZ183" s="12"/>
      <c r="BRI183" s="11"/>
      <c r="BRJ183" s="12"/>
      <c r="BRS183" s="11"/>
      <c r="BRT183" s="12"/>
      <c r="BSC183" s="11"/>
      <c r="BSD183" s="12"/>
      <c r="BSM183" s="11"/>
      <c r="BSN183" s="12"/>
      <c r="BSW183" s="11"/>
      <c r="BSX183" s="12"/>
      <c r="BTG183" s="11"/>
      <c r="BTH183" s="12"/>
      <c r="BTQ183" s="11"/>
      <c r="BTR183" s="12"/>
      <c r="BUA183" s="11"/>
      <c r="BUB183" s="12"/>
      <c r="BUK183" s="11"/>
      <c r="BUL183" s="12"/>
      <c r="BUU183" s="11"/>
      <c r="BUV183" s="12"/>
      <c r="BVE183" s="11"/>
      <c r="BVF183" s="12"/>
      <c r="BVO183" s="11"/>
      <c r="BVP183" s="12"/>
      <c r="BVY183" s="11"/>
      <c r="BVZ183" s="12"/>
      <c r="BWI183" s="11"/>
      <c r="BWJ183" s="12"/>
      <c r="BWS183" s="11"/>
      <c r="BWT183" s="12"/>
      <c r="BXC183" s="11"/>
      <c r="BXD183" s="12"/>
      <c r="BXM183" s="11"/>
      <c r="BXN183" s="12"/>
      <c r="BXW183" s="11"/>
      <c r="BXX183" s="12"/>
      <c r="BYG183" s="11"/>
      <c r="BYH183" s="12"/>
      <c r="BYQ183" s="11"/>
      <c r="BYR183" s="12"/>
      <c r="BZA183" s="11"/>
      <c r="BZB183" s="12"/>
      <c r="BZK183" s="11"/>
      <c r="BZL183" s="12"/>
      <c r="BZU183" s="11"/>
      <c r="BZV183" s="12"/>
      <c r="CAE183" s="11"/>
      <c r="CAF183" s="12"/>
      <c r="CAO183" s="11"/>
      <c r="CAP183" s="12"/>
      <c r="CAY183" s="11"/>
      <c r="CAZ183" s="12"/>
      <c r="CBI183" s="11"/>
      <c r="CBJ183" s="12"/>
      <c r="CBS183" s="11"/>
      <c r="CBT183" s="12"/>
      <c r="CCC183" s="11"/>
      <c r="CCD183" s="12"/>
      <c r="CCM183" s="11"/>
      <c r="CCN183" s="12"/>
      <c r="CCW183" s="11"/>
      <c r="CCX183" s="12"/>
      <c r="CDG183" s="11"/>
      <c r="CDH183" s="12"/>
      <c r="CDQ183" s="11"/>
      <c r="CDR183" s="12"/>
      <c r="CEA183" s="11"/>
      <c r="CEB183" s="12"/>
      <c r="CEK183" s="11"/>
      <c r="CEL183" s="12"/>
      <c r="CEU183" s="11"/>
      <c r="CEV183" s="12"/>
      <c r="CFE183" s="11"/>
      <c r="CFF183" s="12"/>
      <c r="CFO183" s="11"/>
      <c r="CFP183" s="12"/>
      <c r="CFY183" s="11"/>
      <c r="CFZ183" s="12"/>
      <c r="CGI183" s="11"/>
      <c r="CGJ183" s="12"/>
      <c r="CGS183" s="11"/>
      <c r="CGT183" s="12"/>
      <c r="CHC183" s="11"/>
      <c r="CHD183" s="12"/>
      <c r="CHM183" s="11"/>
      <c r="CHN183" s="12"/>
      <c r="CHW183" s="11"/>
      <c r="CHX183" s="12"/>
      <c r="CIG183" s="11"/>
      <c r="CIH183" s="12"/>
      <c r="CIQ183" s="11"/>
      <c r="CIR183" s="12"/>
      <c r="CJA183" s="11"/>
      <c r="CJB183" s="12"/>
      <c r="CJK183" s="11"/>
      <c r="CJL183" s="12"/>
      <c r="CJU183" s="11"/>
      <c r="CJV183" s="12"/>
      <c r="CKE183" s="11"/>
      <c r="CKF183" s="12"/>
      <c r="CKO183" s="11"/>
      <c r="CKP183" s="12"/>
      <c r="CKY183" s="11"/>
      <c r="CKZ183" s="12"/>
      <c r="CLI183" s="11"/>
      <c r="CLJ183" s="12"/>
      <c r="CLS183" s="11"/>
      <c r="CLT183" s="12"/>
      <c r="CMC183" s="11"/>
      <c r="CMD183" s="12"/>
      <c r="CMM183" s="11"/>
      <c r="CMN183" s="12"/>
      <c r="CMW183" s="11"/>
      <c r="CMX183" s="12"/>
      <c r="CNG183" s="11"/>
      <c r="CNH183" s="12"/>
      <c r="CNQ183" s="11"/>
      <c r="CNR183" s="12"/>
      <c r="COA183" s="11"/>
      <c r="COB183" s="12"/>
      <c r="COK183" s="11"/>
      <c r="COL183" s="12"/>
      <c r="COU183" s="11"/>
      <c r="COV183" s="12"/>
      <c r="CPE183" s="11"/>
      <c r="CPF183" s="12"/>
      <c r="CPO183" s="11"/>
      <c r="CPP183" s="12"/>
      <c r="CPY183" s="11"/>
      <c r="CPZ183" s="12"/>
      <c r="CQI183" s="11"/>
      <c r="CQJ183" s="12"/>
      <c r="CQS183" s="11"/>
      <c r="CQT183" s="12"/>
      <c r="CRC183" s="11"/>
      <c r="CRD183" s="12"/>
      <c r="CRM183" s="11"/>
      <c r="CRN183" s="12"/>
      <c r="CRW183" s="11"/>
      <c r="CRX183" s="12"/>
      <c r="CSG183" s="11"/>
      <c r="CSH183" s="12"/>
      <c r="CSQ183" s="11"/>
      <c r="CSR183" s="12"/>
      <c r="CTA183" s="11"/>
      <c r="CTB183" s="12"/>
      <c r="CTK183" s="11"/>
      <c r="CTL183" s="12"/>
      <c r="CTU183" s="11"/>
      <c r="CTV183" s="12"/>
      <c r="CUE183" s="11"/>
      <c r="CUF183" s="12"/>
      <c r="CUO183" s="11"/>
      <c r="CUP183" s="12"/>
      <c r="CUY183" s="11"/>
      <c r="CUZ183" s="12"/>
      <c r="CVI183" s="11"/>
      <c r="CVJ183" s="12"/>
      <c r="CVS183" s="11"/>
      <c r="CVT183" s="12"/>
      <c r="CWC183" s="11"/>
      <c r="CWD183" s="12"/>
      <c r="CWM183" s="11"/>
      <c r="CWN183" s="12"/>
      <c r="CWW183" s="11"/>
      <c r="CWX183" s="12"/>
      <c r="CXG183" s="11"/>
      <c r="CXH183" s="12"/>
      <c r="CXQ183" s="11"/>
      <c r="CXR183" s="12"/>
      <c r="CYA183" s="11"/>
      <c r="CYB183" s="12"/>
      <c r="CYK183" s="11"/>
      <c r="CYL183" s="12"/>
      <c r="CYU183" s="11"/>
      <c r="CYV183" s="12"/>
      <c r="CZE183" s="11"/>
      <c r="CZF183" s="12"/>
      <c r="CZO183" s="11"/>
      <c r="CZP183" s="12"/>
      <c r="CZY183" s="11"/>
      <c r="CZZ183" s="12"/>
      <c r="DAI183" s="11"/>
      <c r="DAJ183" s="12"/>
      <c r="DAS183" s="11"/>
      <c r="DAT183" s="12"/>
      <c r="DBC183" s="11"/>
      <c r="DBD183" s="12"/>
      <c r="DBM183" s="11"/>
      <c r="DBN183" s="12"/>
      <c r="DBW183" s="11"/>
      <c r="DBX183" s="12"/>
      <c r="DCG183" s="11"/>
      <c r="DCH183" s="12"/>
      <c r="DCQ183" s="11"/>
      <c r="DCR183" s="12"/>
      <c r="DDA183" s="11"/>
      <c r="DDB183" s="12"/>
      <c r="DDK183" s="11"/>
      <c r="DDL183" s="12"/>
      <c r="DDU183" s="11"/>
      <c r="DDV183" s="12"/>
      <c r="DEE183" s="11"/>
      <c r="DEF183" s="12"/>
      <c r="DEO183" s="11"/>
      <c r="DEP183" s="12"/>
      <c r="DEY183" s="11"/>
      <c r="DEZ183" s="12"/>
      <c r="DFI183" s="11"/>
      <c r="DFJ183" s="12"/>
      <c r="DFS183" s="11"/>
      <c r="DFT183" s="12"/>
      <c r="DGC183" s="11"/>
      <c r="DGD183" s="12"/>
      <c r="DGM183" s="11"/>
      <c r="DGN183" s="12"/>
      <c r="DGW183" s="11"/>
      <c r="DGX183" s="12"/>
      <c r="DHG183" s="11"/>
      <c r="DHH183" s="12"/>
      <c r="DHQ183" s="11"/>
      <c r="DHR183" s="12"/>
      <c r="DIA183" s="11"/>
      <c r="DIB183" s="12"/>
      <c r="DIK183" s="11"/>
      <c r="DIL183" s="12"/>
      <c r="DIU183" s="11"/>
      <c r="DIV183" s="12"/>
      <c r="DJE183" s="11"/>
      <c r="DJF183" s="12"/>
      <c r="DJO183" s="11"/>
      <c r="DJP183" s="12"/>
      <c r="DJY183" s="11"/>
      <c r="DJZ183" s="12"/>
      <c r="DKI183" s="11"/>
      <c r="DKJ183" s="12"/>
      <c r="DKS183" s="11"/>
      <c r="DKT183" s="12"/>
      <c r="DLC183" s="11"/>
      <c r="DLD183" s="12"/>
      <c r="DLM183" s="11"/>
      <c r="DLN183" s="12"/>
      <c r="DLW183" s="11"/>
      <c r="DLX183" s="12"/>
      <c r="DMG183" s="11"/>
      <c r="DMH183" s="12"/>
      <c r="DMQ183" s="11"/>
      <c r="DMR183" s="12"/>
      <c r="DNA183" s="11"/>
      <c r="DNB183" s="12"/>
      <c r="DNK183" s="11"/>
      <c r="DNL183" s="12"/>
      <c r="DNU183" s="11"/>
      <c r="DNV183" s="12"/>
      <c r="DOE183" s="11"/>
      <c r="DOF183" s="12"/>
      <c r="DOO183" s="11"/>
      <c r="DOP183" s="12"/>
      <c r="DOY183" s="11"/>
      <c r="DOZ183" s="12"/>
      <c r="DPI183" s="11"/>
      <c r="DPJ183" s="12"/>
      <c r="DPS183" s="11"/>
      <c r="DPT183" s="12"/>
      <c r="DQC183" s="11"/>
      <c r="DQD183" s="12"/>
      <c r="DQM183" s="11"/>
      <c r="DQN183" s="12"/>
      <c r="DQW183" s="11"/>
      <c r="DQX183" s="12"/>
      <c r="DRG183" s="11"/>
      <c r="DRH183" s="12"/>
      <c r="DRQ183" s="11"/>
      <c r="DRR183" s="12"/>
      <c r="DSA183" s="11"/>
      <c r="DSB183" s="12"/>
      <c r="DSK183" s="11"/>
      <c r="DSL183" s="12"/>
      <c r="DSU183" s="11"/>
      <c r="DSV183" s="12"/>
      <c r="DTE183" s="11"/>
      <c r="DTF183" s="12"/>
      <c r="DTO183" s="11"/>
      <c r="DTP183" s="12"/>
      <c r="DTY183" s="11"/>
      <c r="DTZ183" s="12"/>
      <c r="DUI183" s="11"/>
      <c r="DUJ183" s="12"/>
      <c r="DUS183" s="11"/>
      <c r="DUT183" s="12"/>
      <c r="DVC183" s="11"/>
      <c r="DVD183" s="12"/>
      <c r="DVM183" s="11"/>
      <c r="DVN183" s="12"/>
      <c r="DVW183" s="11"/>
      <c r="DVX183" s="12"/>
      <c r="DWG183" s="11"/>
      <c r="DWH183" s="12"/>
      <c r="DWQ183" s="11"/>
      <c r="DWR183" s="12"/>
      <c r="DXA183" s="11"/>
      <c r="DXB183" s="12"/>
      <c r="DXK183" s="11"/>
      <c r="DXL183" s="12"/>
      <c r="DXU183" s="11"/>
      <c r="DXV183" s="12"/>
      <c r="DYE183" s="11"/>
      <c r="DYF183" s="12"/>
      <c r="DYO183" s="11"/>
      <c r="DYP183" s="12"/>
      <c r="DYY183" s="11"/>
      <c r="DYZ183" s="12"/>
      <c r="DZI183" s="11"/>
      <c r="DZJ183" s="12"/>
      <c r="DZS183" s="11"/>
      <c r="DZT183" s="12"/>
      <c r="EAC183" s="11"/>
      <c r="EAD183" s="12"/>
      <c r="EAM183" s="11"/>
      <c r="EAN183" s="12"/>
      <c r="EAW183" s="11"/>
      <c r="EAX183" s="12"/>
      <c r="EBG183" s="11"/>
      <c r="EBH183" s="12"/>
      <c r="EBQ183" s="11"/>
      <c r="EBR183" s="12"/>
      <c r="ECA183" s="11"/>
      <c r="ECB183" s="12"/>
      <c r="ECK183" s="11"/>
      <c r="ECL183" s="12"/>
      <c r="ECU183" s="11"/>
      <c r="ECV183" s="12"/>
      <c r="EDE183" s="11"/>
      <c r="EDF183" s="12"/>
      <c r="EDO183" s="11"/>
      <c r="EDP183" s="12"/>
      <c r="EDY183" s="11"/>
      <c r="EDZ183" s="12"/>
      <c r="EEI183" s="11"/>
      <c r="EEJ183" s="12"/>
      <c r="EES183" s="11"/>
      <c r="EET183" s="12"/>
      <c r="EFC183" s="11"/>
      <c r="EFD183" s="12"/>
      <c r="EFM183" s="11"/>
      <c r="EFN183" s="12"/>
      <c r="EFW183" s="11"/>
      <c r="EFX183" s="12"/>
      <c r="EGG183" s="11"/>
      <c r="EGH183" s="12"/>
      <c r="EGQ183" s="11"/>
      <c r="EGR183" s="12"/>
      <c r="EHA183" s="11"/>
      <c r="EHB183" s="12"/>
      <c r="EHK183" s="11"/>
      <c r="EHL183" s="12"/>
      <c r="EHU183" s="11"/>
      <c r="EHV183" s="12"/>
      <c r="EIE183" s="11"/>
      <c r="EIF183" s="12"/>
      <c r="EIO183" s="11"/>
      <c r="EIP183" s="12"/>
      <c r="EIY183" s="11"/>
      <c r="EIZ183" s="12"/>
      <c r="EJI183" s="11"/>
      <c r="EJJ183" s="12"/>
      <c r="EJS183" s="11"/>
      <c r="EJT183" s="12"/>
      <c r="EKC183" s="11"/>
      <c r="EKD183" s="12"/>
      <c r="EKM183" s="11"/>
      <c r="EKN183" s="12"/>
      <c r="EKW183" s="11"/>
      <c r="EKX183" s="12"/>
      <c r="ELG183" s="11"/>
      <c r="ELH183" s="12"/>
      <c r="ELQ183" s="11"/>
      <c r="ELR183" s="12"/>
      <c r="EMA183" s="11"/>
      <c r="EMB183" s="12"/>
      <c r="EMK183" s="11"/>
      <c r="EML183" s="12"/>
      <c r="EMU183" s="11"/>
      <c r="EMV183" s="12"/>
      <c r="ENE183" s="11"/>
      <c r="ENF183" s="12"/>
      <c r="ENO183" s="11"/>
      <c r="ENP183" s="12"/>
      <c r="ENY183" s="11"/>
      <c r="ENZ183" s="12"/>
      <c r="EOI183" s="11"/>
      <c r="EOJ183" s="12"/>
      <c r="EOS183" s="11"/>
      <c r="EOT183" s="12"/>
      <c r="EPC183" s="11"/>
      <c r="EPD183" s="12"/>
      <c r="EPM183" s="11"/>
      <c r="EPN183" s="12"/>
      <c r="EPW183" s="11"/>
      <c r="EPX183" s="12"/>
      <c r="EQG183" s="11"/>
      <c r="EQH183" s="12"/>
      <c r="EQQ183" s="11"/>
      <c r="EQR183" s="12"/>
      <c r="ERA183" s="11"/>
      <c r="ERB183" s="12"/>
      <c r="ERK183" s="11"/>
      <c r="ERL183" s="12"/>
      <c r="ERU183" s="11"/>
      <c r="ERV183" s="12"/>
      <c r="ESE183" s="11"/>
      <c r="ESF183" s="12"/>
      <c r="ESO183" s="11"/>
      <c r="ESP183" s="12"/>
      <c r="ESY183" s="11"/>
      <c r="ESZ183" s="12"/>
      <c r="ETI183" s="11"/>
      <c r="ETJ183" s="12"/>
      <c r="ETS183" s="11"/>
      <c r="ETT183" s="12"/>
      <c r="EUC183" s="11"/>
      <c r="EUD183" s="12"/>
      <c r="EUM183" s="11"/>
      <c r="EUN183" s="12"/>
      <c r="EUW183" s="11"/>
      <c r="EUX183" s="12"/>
      <c r="EVG183" s="11"/>
      <c r="EVH183" s="12"/>
      <c r="EVQ183" s="11"/>
      <c r="EVR183" s="12"/>
      <c r="EWA183" s="11"/>
      <c r="EWB183" s="12"/>
      <c r="EWK183" s="11"/>
      <c r="EWL183" s="12"/>
      <c r="EWU183" s="11"/>
      <c r="EWV183" s="12"/>
      <c r="EXE183" s="11"/>
      <c r="EXF183" s="12"/>
      <c r="EXO183" s="11"/>
      <c r="EXP183" s="12"/>
      <c r="EXY183" s="11"/>
      <c r="EXZ183" s="12"/>
      <c r="EYI183" s="11"/>
      <c r="EYJ183" s="12"/>
      <c r="EYS183" s="11"/>
      <c r="EYT183" s="12"/>
      <c r="EZC183" s="11"/>
      <c r="EZD183" s="12"/>
      <c r="EZM183" s="11"/>
      <c r="EZN183" s="12"/>
      <c r="EZW183" s="11"/>
      <c r="EZX183" s="12"/>
      <c r="FAG183" s="11"/>
      <c r="FAH183" s="12"/>
      <c r="FAQ183" s="11"/>
      <c r="FAR183" s="12"/>
      <c r="FBA183" s="11"/>
      <c r="FBB183" s="12"/>
      <c r="FBK183" s="11"/>
      <c r="FBL183" s="12"/>
      <c r="FBU183" s="11"/>
      <c r="FBV183" s="12"/>
      <c r="FCE183" s="11"/>
      <c r="FCF183" s="12"/>
      <c r="FCO183" s="11"/>
      <c r="FCP183" s="12"/>
      <c r="FCY183" s="11"/>
      <c r="FCZ183" s="12"/>
      <c r="FDI183" s="11"/>
      <c r="FDJ183" s="12"/>
      <c r="FDS183" s="11"/>
      <c r="FDT183" s="12"/>
      <c r="FEC183" s="11"/>
      <c r="FED183" s="12"/>
      <c r="FEM183" s="11"/>
      <c r="FEN183" s="12"/>
      <c r="FEW183" s="11"/>
      <c r="FEX183" s="12"/>
      <c r="FFG183" s="11"/>
      <c r="FFH183" s="12"/>
      <c r="FFQ183" s="11"/>
      <c r="FFR183" s="12"/>
      <c r="FGA183" s="11"/>
      <c r="FGB183" s="12"/>
      <c r="FGK183" s="11"/>
      <c r="FGL183" s="12"/>
      <c r="FGU183" s="11"/>
      <c r="FGV183" s="12"/>
      <c r="FHE183" s="11"/>
      <c r="FHF183" s="12"/>
      <c r="FHO183" s="11"/>
      <c r="FHP183" s="12"/>
      <c r="FHY183" s="11"/>
      <c r="FHZ183" s="12"/>
      <c r="FII183" s="11"/>
      <c r="FIJ183" s="12"/>
      <c r="FIS183" s="11"/>
      <c r="FIT183" s="12"/>
      <c r="FJC183" s="11"/>
      <c r="FJD183" s="12"/>
      <c r="FJM183" s="11"/>
      <c r="FJN183" s="12"/>
      <c r="FJW183" s="11"/>
      <c r="FJX183" s="12"/>
      <c r="FKG183" s="11"/>
      <c r="FKH183" s="12"/>
      <c r="FKQ183" s="11"/>
      <c r="FKR183" s="12"/>
      <c r="FLA183" s="11"/>
      <c r="FLB183" s="12"/>
      <c r="FLK183" s="11"/>
      <c r="FLL183" s="12"/>
      <c r="FLU183" s="11"/>
      <c r="FLV183" s="12"/>
      <c r="FME183" s="11"/>
      <c r="FMF183" s="12"/>
      <c r="FMO183" s="11"/>
      <c r="FMP183" s="12"/>
      <c r="FMY183" s="11"/>
      <c r="FMZ183" s="12"/>
      <c r="FNI183" s="11"/>
      <c r="FNJ183" s="12"/>
      <c r="FNS183" s="11"/>
      <c r="FNT183" s="12"/>
      <c r="FOC183" s="11"/>
      <c r="FOD183" s="12"/>
      <c r="FOM183" s="11"/>
      <c r="FON183" s="12"/>
      <c r="FOW183" s="11"/>
      <c r="FOX183" s="12"/>
      <c r="FPG183" s="11"/>
      <c r="FPH183" s="12"/>
      <c r="FPQ183" s="11"/>
      <c r="FPR183" s="12"/>
      <c r="FQA183" s="11"/>
      <c r="FQB183" s="12"/>
      <c r="FQK183" s="11"/>
      <c r="FQL183" s="12"/>
      <c r="FQU183" s="11"/>
      <c r="FQV183" s="12"/>
      <c r="FRE183" s="11"/>
      <c r="FRF183" s="12"/>
      <c r="FRO183" s="11"/>
      <c r="FRP183" s="12"/>
      <c r="FRY183" s="11"/>
      <c r="FRZ183" s="12"/>
      <c r="FSI183" s="11"/>
      <c r="FSJ183" s="12"/>
      <c r="FSS183" s="11"/>
      <c r="FST183" s="12"/>
      <c r="FTC183" s="11"/>
      <c r="FTD183" s="12"/>
      <c r="FTM183" s="11"/>
      <c r="FTN183" s="12"/>
      <c r="FTW183" s="11"/>
      <c r="FTX183" s="12"/>
      <c r="FUG183" s="11"/>
      <c r="FUH183" s="12"/>
      <c r="FUQ183" s="11"/>
      <c r="FUR183" s="12"/>
      <c r="FVA183" s="11"/>
      <c r="FVB183" s="12"/>
      <c r="FVK183" s="11"/>
      <c r="FVL183" s="12"/>
      <c r="FVU183" s="11"/>
      <c r="FVV183" s="12"/>
      <c r="FWE183" s="11"/>
      <c r="FWF183" s="12"/>
      <c r="FWO183" s="11"/>
      <c r="FWP183" s="12"/>
      <c r="FWY183" s="11"/>
      <c r="FWZ183" s="12"/>
      <c r="FXI183" s="11"/>
      <c r="FXJ183" s="12"/>
      <c r="FXS183" s="11"/>
      <c r="FXT183" s="12"/>
      <c r="FYC183" s="11"/>
      <c r="FYD183" s="12"/>
      <c r="FYM183" s="11"/>
      <c r="FYN183" s="12"/>
      <c r="FYW183" s="11"/>
      <c r="FYX183" s="12"/>
      <c r="FZG183" s="11"/>
      <c r="FZH183" s="12"/>
      <c r="FZQ183" s="11"/>
      <c r="FZR183" s="12"/>
      <c r="GAA183" s="11"/>
      <c r="GAB183" s="12"/>
      <c r="GAK183" s="11"/>
      <c r="GAL183" s="12"/>
      <c r="GAU183" s="11"/>
      <c r="GAV183" s="12"/>
      <c r="GBE183" s="11"/>
      <c r="GBF183" s="12"/>
      <c r="GBO183" s="11"/>
      <c r="GBP183" s="12"/>
      <c r="GBY183" s="11"/>
      <c r="GBZ183" s="12"/>
      <c r="GCI183" s="11"/>
      <c r="GCJ183" s="12"/>
      <c r="GCS183" s="11"/>
      <c r="GCT183" s="12"/>
      <c r="GDC183" s="11"/>
      <c r="GDD183" s="12"/>
      <c r="GDM183" s="11"/>
      <c r="GDN183" s="12"/>
      <c r="GDW183" s="11"/>
      <c r="GDX183" s="12"/>
      <c r="GEG183" s="11"/>
      <c r="GEH183" s="12"/>
      <c r="GEQ183" s="11"/>
      <c r="GER183" s="12"/>
      <c r="GFA183" s="11"/>
      <c r="GFB183" s="12"/>
      <c r="GFK183" s="11"/>
      <c r="GFL183" s="12"/>
      <c r="GFU183" s="11"/>
      <c r="GFV183" s="12"/>
      <c r="GGE183" s="11"/>
      <c r="GGF183" s="12"/>
      <c r="GGO183" s="11"/>
      <c r="GGP183" s="12"/>
      <c r="GGY183" s="11"/>
      <c r="GGZ183" s="12"/>
      <c r="GHI183" s="11"/>
      <c r="GHJ183" s="12"/>
      <c r="GHS183" s="11"/>
      <c r="GHT183" s="12"/>
      <c r="GIC183" s="11"/>
      <c r="GID183" s="12"/>
      <c r="GIM183" s="11"/>
      <c r="GIN183" s="12"/>
      <c r="GIW183" s="11"/>
      <c r="GIX183" s="12"/>
      <c r="GJG183" s="11"/>
      <c r="GJH183" s="12"/>
      <c r="GJQ183" s="11"/>
      <c r="GJR183" s="12"/>
      <c r="GKA183" s="11"/>
      <c r="GKB183" s="12"/>
      <c r="GKK183" s="11"/>
      <c r="GKL183" s="12"/>
      <c r="GKU183" s="11"/>
      <c r="GKV183" s="12"/>
      <c r="GLE183" s="11"/>
      <c r="GLF183" s="12"/>
      <c r="GLO183" s="11"/>
      <c r="GLP183" s="12"/>
      <c r="GLY183" s="11"/>
      <c r="GLZ183" s="12"/>
      <c r="GMI183" s="11"/>
      <c r="GMJ183" s="12"/>
      <c r="GMS183" s="11"/>
      <c r="GMT183" s="12"/>
      <c r="GNC183" s="11"/>
      <c r="GND183" s="12"/>
      <c r="GNM183" s="11"/>
      <c r="GNN183" s="12"/>
      <c r="GNW183" s="11"/>
      <c r="GNX183" s="12"/>
      <c r="GOG183" s="11"/>
      <c r="GOH183" s="12"/>
      <c r="GOQ183" s="11"/>
      <c r="GOR183" s="12"/>
      <c r="GPA183" s="11"/>
      <c r="GPB183" s="12"/>
      <c r="GPK183" s="11"/>
      <c r="GPL183" s="12"/>
      <c r="GPU183" s="11"/>
      <c r="GPV183" s="12"/>
      <c r="GQE183" s="11"/>
      <c r="GQF183" s="12"/>
      <c r="GQO183" s="11"/>
      <c r="GQP183" s="12"/>
      <c r="GQY183" s="11"/>
      <c r="GQZ183" s="12"/>
      <c r="GRI183" s="11"/>
      <c r="GRJ183" s="12"/>
      <c r="GRS183" s="11"/>
      <c r="GRT183" s="12"/>
      <c r="GSC183" s="11"/>
      <c r="GSD183" s="12"/>
      <c r="GSM183" s="11"/>
      <c r="GSN183" s="12"/>
      <c r="GSW183" s="11"/>
      <c r="GSX183" s="12"/>
      <c r="GTG183" s="11"/>
      <c r="GTH183" s="12"/>
      <c r="GTQ183" s="11"/>
      <c r="GTR183" s="12"/>
      <c r="GUA183" s="11"/>
      <c r="GUB183" s="12"/>
      <c r="GUK183" s="11"/>
      <c r="GUL183" s="12"/>
      <c r="GUU183" s="11"/>
      <c r="GUV183" s="12"/>
      <c r="GVE183" s="11"/>
      <c r="GVF183" s="12"/>
      <c r="GVO183" s="11"/>
      <c r="GVP183" s="12"/>
      <c r="GVY183" s="11"/>
      <c r="GVZ183" s="12"/>
      <c r="GWI183" s="11"/>
      <c r="GWJ183" s="12"/>
      <c r="GWS183" s="11"/>
      <c r="GWT183" s="12"/>
      <c r="GXC183" s="11"/>
      <c r="GXD183" s="12"/>
      <c r="GXM183" s="11"/>
      <c r="GXN183" s="12"/>
      <c r="GXW183" s="11"/>
      <c r="GXX183" s="12"/>
      <c r="GYG183" s="11"/>
      <c r="GYH183" s="12"/>
      <c r="GYQ183" s="11"/>
      <c r="GYR183" s="12"/>
      <c r="GZA183" s="11"/>
      <c r="GZB183" s="12"/>
      <c r="GZK183" s="11"/>
      <c r="GZL183" s="12"/>
      <c r="GZU183" s="11"/>
      <c r="GZV183" s="12"/>
      <c r="HAE183" s="11"/>
      <c r="HAF183" s="12"/>
      <c r="HAO183" s="11"/>
      <c r="HAP183" s="12"/>
      <c r="HAY183" s="11"/>
      <c r="HAZ183" s="12"/>
      <c r="HBI183" s="11"/>
      <c r="HBJ183" s="12"/>
      <c r="HBS183" s="11"/>
      <c r="HBT183" s="12"/>
      <c r="HCC183" s="11"/>
      <c r="HCD183" s="12"/>
      <c r="HCM183" s="11"/>
      <c r="HCN183" s="12"/>
      <c r="HCW183" s="11"/>
      <c r="HCX183" s="12"/>
      <c r="HDG183" s="11"/>
      <c r="HDH183" s="12"/>
      <c r="HDQ183" s="11"/>
      <c r="HDR183" s="12"/>
      <c r="HEA183" s="11"/>
      <c r="HEB183" s="12"/>
      <c r="HEK183" s="11"/>
      <c r="HEL183" s="12"/>
      <c r="HEU183" s="11"/>
      <c r="HEV183" s="12"/>
      <c r="HFE183" s="11"/>
      <c r="HFF183" s="12"/>
      <c r="HFO183" s="11"/>
      <c r="HFP183" s="12"/>
      <c r="HFY183" s="11"/>
      <c r="HFZ183" s="12"/>
      <c r="HGI183" s="11"/>
      <c r="HGJ183" s="12"/>
      <c r="HGS183" s="11"/>
      <c r="HGT183" s="12"/>
      <c r="HHC183" s="11"/>
      <c r="HHD183" s="12"/>
      <c r="HHM183" s="11"/>
      <c r="HHN183" s="12"/>
      <c r="HHW183" s="11"/>
      <c r="HHX183" s="12"/>
      <c r="HIG183" s="11"/>
      <c r="HIH183" s="12"/>
      <c r="HIQ183" s="11"/>
      <c r="HIR183" s="12"/>
      <c r="HJA183" s="11"/>
      <c r="HJB183" s="12"/>
      <c r="HJK183" s="11"/>
      <c r="HJL183" s="12"/>
      <c r="HJU183" s="11"/>
      <c r="HJV183" s="12"/>
      <c r="HKE183" s="11"/>
      <c r="HKF183" s="12"/>
      <c r="HKO183" s="11"/>
      <c r="HKP183" s="12"/>
      <c r="HKY183" s="11"/>
      <c r="HKZ183" s="12"/>
      <c r="HLI183" s="11"/>
      <c r="HLJ183" s="12"/>
      <c r="HLS183" s="11"/>
      <c r="HLT183" s="12"/>
      <c r="HMC183" s="11"/>
      <c r="HMD183" s="12"/>
      <c r="HMM183" s="11"/>
      <c r="HMN183" s="12"/>
      <c r="HMW183" s="11"/>
      <c r="HMX183" s="12"/>
      <c r="HNG183" s="11"/>
      <c r="HNH183" s="12"/>
      <c r="HNQ183" s="11"/>
      <c r="HNR183" s="12"/>
      <c r="HOA183" s="11"/>
      <c r="HOB183" s="12"/>
      <c r="HOK183" s="11"/>
      <c r="HOL183" s="12"/>
      <c r="HOU183" s="11"/>
      <c r="HOV183" s="12"/>
      <c r="HPE183" s="11"/>
      <c r="HPF183" s="12"/>
      <c r="HPO183" s="11"/>
      <c r="HPP183" s="12"/>
      <c r="HPY183" s="11"/>
      <c r="HPZ183" s="12"/>
      <c r="HQI183" s="11"/>
      <c r="HQJ183" s="12"/>
      <c r="HQS183" s="11"/>
      <c r="HQT183" s="12"/>
      <c r="HRC183" s="11"/>
      <c r="HRD183" s="12"/>
      <c r="HRM183" s="11"/>
      <c r="HRN183" s="12"/>
      <c r="HRW183" s="11"/>
      <c r="HRX183" s="12"/>
      <c r="HSG183" s="11"/>
      <c r="HSH183" s="12"/>
      <c r="HSQ183" s="11"/>
      <c r="HSR183" s="12"/>
      <c r="HTA183" s="11"/>
      <c r="HTB183" s="12"/>
      <c r="HTK183" s="11"/>
      <c r="HTL183" s="12"/>
      <c r="HTU183" s="11"/>
      <c r="HTV183" s="12"/>
      <c r="HUE183" s="11"/>
      <c r="HUF183" s="12"/>
      <c r="HUO183" s="11"/>
      <c r="HUP183" s="12"/>
      <c r="HUY183" s="11"/>
      <c r="HUZ183" s="12"/>
      <c r="HVI183" s="11"/>
      <c r="HVJ183" s="12"/>
      <c r="HVS183" s="11"/>
      <c r="HVT183" s="12"/>
      <c r="HWC183" s="11"/>
      <c r="HWD183" s="12"/>
      <c r="HWM183" s="11"/>
      <c r="HWN183" s="12"/>
      <c r="HWW183" s="11"/>
      <c r="HWX183" s="12"/>
      <c r="HXG183" s="11"/>
      <c r="HXH183" s="12"/>
      <c r="HXQ183" s="11"/>
      <c r="HXR183" s="12"/>
      <c r="HYA183" s="11"/>
      <c r="HYB183" s="12"/>
      <c r="HYK183" s="11"/>
      <c r="HYL183" s="12"/>
      <c r="HYU183" s="11"/>
      <c r="HYV183" s="12"/>
      <c r="HZE183" s="11"/>
      <c r="HZF183" s="12"/>
      <c r="HZO183" s="11"/>
      <c r="HZP183" s="12"/>
      <c r="HZY183" s="11"/>
      <c r="HZZ183" s="12"/>
      <c r="IAI183" s="11"/>
      <c r="IAJ183" s="12"/>
      <c r="IAS183" s="11"/>
      <c r="IAT183" s="12"/>
      <c r="IBC183" s="11"/>
      <c r="IBD183" s="12"/>
      <c r="IBM183" s="11"/>
      <c r="IBN183" s="12"/>
      <c r="IBW183" s="11"/>
      <c r="IBX183" s="12"/>
      <c r="ICG183" s="11"/>
      <c r="ICH183" s="12"/>
      <c r="ICQ183" s="11"/>
      <c r="ICR183" s="12"/>
      <c r="IDA183" s="11"/>
      <c r="IDB183" s="12"/>
      <c r="IDK183" s="11"/>
      <c r="IDL183" s="12"/>
      <c r="IDU183" s="11"/>
      <c r="IDV183" s="12"/>
      <c r="IEE183" s="11"/>
      <c r="IEF183" s="12"/>
      <c r="IEO183" s="11"/>
      <c r="IEP183" s="12"/>
      <c r="IEY183" s="11"/>
      <c r="IEZ183" s="12"/>
      <c r="IFI183" s="11"/>
      <c r="IFJ183" s="12"/>
      <c r="IFS183" s="11"/>
      <c r="IFT183" s="12"/>
      <c r="IGC183" s="11"/>
      <c r="IGD183" s="12"/>
      <c r="IGM183" s="11"/>
      <c r="IGN183" s="12"/>
      <c r="IGW183" s="11"/>
      <c r="IGX183" s="12"/>
      <c r="IHG183" s="11"/>
      <c r="IHH183" s="12"/>
      <c r="IHQ183" s="11"/>
      <c r="IHR183" s="12"/>
      <c r="IIA183" s="11"/>
      <c r="IIB183" s="12"/>
      <c r="IIK183" s="11"/>
      <c r="IIL183" s="12"/>
      <c r="IIU183" s="11"/>
      <c r="IIV183" s="12"/>
      <c r="IJE183" s="11"/>
      <c r="IJF183" s="12"/>
      <c r="IJO183" s="11"/>
      <c r="IJP183" s="12"/>
      <c r="IJY183" s="11"/>
      <c r="IJZ183" s="12"/>
      <c r="IKI183" s="11"/>
      <c r="IKJ183" s="12"/>
      <c r="IKS183" s="11"/>
      <c r="IKT183" s="12"/>
      <c r="ILC183" s="11"/>
      <c r="ILD183" s="12"/>
      <c r="ILM183" s="11"/>
      <c r="ILN183" s="12"/>
      <c r="ILW183" s="11"/>
      <c r="ILX183" s="12"/>
      <c r="IMG183" s="11"/>
      <c r="IMH183" s="12"/>
      <c r="IMQ183" s="11"/>
      <c r="IMR183" s="12"/>
      <c r="INA183" s="11"/>
      <c r="INB183" s="12"/>
      <c r="INK183" s="11"/>
      <c r="INL183" s="12"/>
      <c r="INU183" s="11"/>
      <c r="INV183" s="12"/>
      <c r="IOE183" s="11"/>
      <c r="IOF183" s="12"/>
      <c r="IOO183" s="11"/>
      <c r="IOP183" s="12"/>
      <c r="IOY183" s="11"/>
      <c r="IOZ183" s="12"/>
      <c r="IPI183" s="11"/>
      <c r="IPJ183" s="12"/>
      <c r="IPS183" s="11"/>
      <c r="IPT183" s="12"/>
      <c r="IQC183" s="11"/>
      <c r="IQD183" s="12"/>
      <c r="IQM183" s="11"/>
      <c r="IQN183" s="12"/>
      <c r="IQW183" s="11"/>
      <c r="IQX183" s="12"/>
      <c r="IRG183" s="11"/>
      <c r="IRH183" s="12"/>
      <c r="IRQ183" s="11"/>
      <c r="IRR183" s="12"/>
      <c r="ISA183" s="11"/>
      <c r="ISB183" s="12"/>
      <c r="ISK183" s="11"/>
      <c r="ISL183" s="12"/>
      <c r="ISU183" s="11"/>
      <c r="ISV183" s="12"/>
      <c r="ITE183" s="11"/>
      <c r="ITF183" s="12"/>
      <c r="ITO183" s="11"/>
      <c r="ITP183" s="12"/>
      <c r="ITY183" s="11"/>
      <c r="ITZ183" s="12"/>
      <c r="IUI183" s="11"/>
      <c r="IUJ183" s="12"/>
      <c r="IUS183" s="11"/>
      <c r="IUT183" s="12"/>
      <c r="IVC183" s="11"/>
      <c r="IVD183" s="12"/>
      <c r="IVM183" s="11"/>
      <c r="IVN183" s="12"/>
      <c r="IVW183" s="11"/>
      <c r="IVX183" s="12"/>
      <c r="IWG183" s="11"/>
      <c r="IWH183" s="12"/>
      <c r="IWQ183" s="11"/>
      <c r="IWR183" s="12"/>
      <c r="IXA183" s="11"/>
      <c r="IXB183" s="12"/>
      <c r="IXK183" s="11"/>
      <c r="IXL183" s="12"/>
      <c r="IXU183" s="11"/>
      <c r="IXV183" s="12"/>
      <c r="IYE183" s="11"/>
      <c r="IYF183" s="12"/>
      <c r="IYO183" s="11"/>
      <c r="IYP183" s="12"/>
      <c r="IYY183" s="11"/>
      <c r="IYZ183" s="12"/>
      <c r="IZI183" s="11"/>
      <c r="IZJ183" s="12"/>
      <c r="IZS183" s="11"/>
      <c r="IZT183" s="12"/>
      <c r="JAC183" s="11"/>
      <c r="JAD183" s="12"/>
      <c r="JAM183" s="11"/>
      <c r="JAN183" s="12"/>
      <c r="JAW183" s="11"/>
      <c r="JAX183" s="12"/>
      <c r="JBG183" s="11"/>
      <c r="JBH183" s="12"/>
      <c r="JBQ183" s="11"/>
      <c r="JBR183" s="12"/>
      <c r="JCA183" s="11"/>
      <c r="JCB183" s="12"/>
      <c r="JCK183" s="11"/>
      <c r="JCL183" s="12"/>
      <c r="JCU183" s="11"/>
      <c r="JCV183" s="12"/>
      <c r="JDE183" s="11"/>
      <c r="JDF183" s="12"/>
      <c r="JDO183" s="11"/>
      <c r="JDP183" s="12"/>
      <c r="JDY183" s="11"/>
      <c r="JDZ183" s="12"/>
      <c r="JEI183" s="11"/>
      <c r="JEJ183" s="12"/>
      <c r="JES183" s="11"/>
      <c r="JET183" s="12"/>
      <c r="JFC183" s="11"/>
      <c r="JFD183" s="12"/>
      <c r="JFM183" s="11"/>
      <c r="JFN183" s="12"/>
      <c r="JFW183" s="11"/>
      <c r="JFX183" s="12"/>
      <c r="JGG183" s="11"/>
      <c r="JGH183" s="12"/>
      <c r="JGQ183" s="11"/>
      <c r="JGR183" s="12"/>
      <c r="JHA183" s="11"/>
      <c r="JHB183" s="12"/>
      <c r="JHK183" s="11"/>
      <c r="JHL183" s="12"/>
      <c r="JHU183" s="11"/>
      <c r="JHV183" s="12"/>
      <c r="JIE183" s="11"/>
      <c r="JIF183" s="12"/>
      <c r="JIO183" s="11"/>
      <c r="JIP183" s="12"/>
      <c r="JIY183" s="11"/>
      <c r="JIZ183" s="12"/>
      <c r="JJI183" s="11"/>
      <c r="JJJ183" s="12"/>
      <c r="JJS183" s="11"/>
      <c r="JJT183" s="12"/>
      <c r="JKC183" s="11"/>
      <c r="JKD183" s="12"/>
      <c r="JKM183" s="11"/>
      <c r="JKN183" s="12"/>
      <c r="JKW183" s="11"/>
      <c r="JKX183" s="12"/>
      <c r="JLG183" s="11"/>
      <c r="JLH183" s="12"/>
      <c r="JLQ183" s="11"/>
      <c r="JLR183" s="12"/>
      <c r="JMA183" s="11"/>
      <c r="JMB183" s="12"/>
      <c r="JMK183" s="11"/>
      <c r="JML183" s="12"/>
      <c r="JMU183" s="11"/>
      <c r="JMV183" s="12"/>
      <c r="JNE183" s="11"/>
      <c r="JNF183" s="12"/>
      <c r="JNO183" s="11"/>
      <c r="JNP183" s="12"/>
      <c r="JNY183" s="11"/>
      <c r="JNZ183" s="12"/>
      <c r="JOI183" s="11"/>
      <c r="JOJ183" s="12"/>
      <c r="JOS183" s="11"/>
      <c r="JOT183" s="12"/>
      <c r="JPC183" s="11"/>
      <c r="JPD183" s="12"/>
      <c r="JPM183" s="11"/>
      <c r="JPN183" s="12"/>
      <c r="JPW183" s="11"/>
      <c r="JPX183" s="12"/>
      <c r="JQG183" s="11"/>
      <c r="JQH183" s="12"/>
      <c r="JQQ183" s="11"/>
      <c r="JQR183" s="12"/>
      <c r="JRA183" s="11"/>
      <c r="JRB183" s="12"/>
      <c r="JRK183" s="11"/>
      <c r="JRL183" s="12"/>
      <c r="JRU183" s="11"/>
      <c r="JRV183" s="12"/>
      <c r="JSE183" s="11"/>
      <c r="JSF183" s="12"/>
      <c r="JSO183" s="11"/>
      <c r="JSP183" s="12"/>
      <c r="JSY183" s="11"/>
      <c r="JSZ183" s="12"/>
      <c r="JTI183" s="11"/>
      <c r="JTJ183" s="12"/>
      <c r="JTS183" s="11"/>
      <c r="JTT183" s="12"/>
      <c r="JUC183" s="11"/>
      <c r="JUD183" s="12"/>
      <c r="JUM183" s="11"/>
      <c r="JUN183" s="12"/>
      <c r="JUW183" s="11"/>
      <c r="JUX183" s="12"/>
      <c r="JVG183" s="11"/>
      <c r="JVH183" s="12"/>
      <c r="JVQ183" s="11"/>
      <c r="JVR183" s="12"/>
      <c r="JWA183" s="11"/>
      <c r="JWB183" s="12"/>
      <c r="JWK183" s="11"/>
      <c r="JWL183" s="12"/>
      <c r="JWU183" s="11"/>
      <c r="JWV183" s="12"/>
      <c r="JXE183" s="11"/>
      <c r="JXF183" s="12"/>
      <c r="JXO183" s="11"/>
      <c r="JXP183" s="12"/>
      <c r="JXY183" s="11"/>
      <c r="JXZ183" s="12"/>
      <c r="JYI183" s="11"/>
      <c r="JYJ183" s="12"/>
      <c r="JYS183" s="11"/>
      <c r="JYT183" s="12"/>
      <c r="JZC183" s="11"/>
      <c r="JZD183" s="12"/>
      <c r="JZM183" s="11"/>
      <c r="JZN183" s="12"/>
      <c r="JZW183" s="11"/>
      <c r="JZX183" s="12"/>
      <c r="KAG183" s="11"/>
      <c r="KAH183" s="12"/>
      <c r="KAQ183" s="11"/>
      <c r="KAR183" s="12"/>
      <c r="KBA183" s="11"/>
      <c r="KBB183" s="12"/>
      <c r="KBK183" s="11"/>
      <c r="KBL183" s="12"/>
      <c r="KBU183" s="11"/>
      <c r="KBV183" s="12"/>
      <c r="KCE183" s="11"/>
      <c r="KCF183" s="12"/>
      <c r="KCO183" s="11"/>
      <c r="KCP183" s="12"/>
      <c r="KCY183" s="11"/>
      <c r="KCZ183" s="12"/>
      <c r="KDI183" s="11"/>
      <c r="KDJ183" s="12"/>
      <c r="KDS183" s="11"/>
      <c r="KDT183" s="12"/>
      <c r="KEC183" s="11"/>
      <c r="KED183" s="12"/>
      <c r="KEM183" s="11"/>
      <c r="KEN183" s="12"/>
      <c r="KEW183" s="11"/>
      <c r="KEX183" s="12"/>
      <c r="KFG183" s="11"/>
      <c r="KFH183" s="12"/>
      <c r="KFQ183" s="11"/>
      <c r="KFR183" s="12"/>
      <c r="KGA183" s="11"/>
      <c r="KGB183" s="12"/>
      <c r="KGK183" s="11"/>
      <c r="KGL183" s="12"/>
      <c r="KGU183" s="11"/>
      <c r="KGV183" s="12"/>
      <c r="KHE183" s="11"/>
      <c r="KHF183" s="12"/>
      <c r="KHO183" s="11"/>
      <c r="KHP183" s="12"/>
      <c r="KHY183" s="11"/>
      <c r="KHZ183" s="12"/>
      <c r="KII183" s="11"/>
      <c r="KIJ183" s="12"/>
      <c r="KIS183" s="11"/>
      <c r="KIT183" s="12"/>
      <c r="KJC183" s="11"/>
      <c r="KJD183" s="12"/>
      <c r="KJM183" s="11"/>
      <c r="KJN183" s="12"/>
      <c r="KJW183" s="11"/>
      <c r="KJX183" s="12"/>
      <c r="KKG183" s="11"/>
      <c r="KKH183" s="12"/>
      <c r="KKQ183" s="11"/>
      <c r="KKR183" s="12"/>
      <c r="KLA183" s="11"/>
      <c r="KLB183" s="12"/>
      <c r="KLK183" s="11"/>
      <c r="KLL183" s="12"/>
      <c r="KLU183" s="11"/>
      <c r="KLV183" s="12"/>
      <c r="KME183" s="11"/>
      <c r="KMF183" s="12"/>
      <c r="KMO183" s="11"/>
      <c r="KMP183" s="12"/>
      <c r="KMY183" s="11"/>
      <c r="KMZ183" s="12"/>
      <c r="KNI183" s="11"/>
      <c r="KNJ183" s="12"/>
      <c r="KNS183" s="11"/>
      <c r="KNT183" s="12"/>
      <c r="KOC183" s="11"/>
      <c r="KOD183" s="12"/>
      <c r="KOM183" s="11"/>
      <c r="KON183" s="12"/>
      <c r="KOW183" s="11"/>
      <c r="KOX183" s="12"/>
      <c r="KPG183" s="11"/>
      <c r="KPH183" s="12"/>
      <c r="KPQ183" s="11"/>
      <c r="KPR183" s="12"/>
      <c r="KQA183" s="11"/>
      <c r="KQB183" s="12"/>
      <c r="KQK183" s="11"/>
      <c r="KQL183" s="12"/>
      <c r="KQU183" s="11"/>
      <c r="KQV183" s="12"/>
      <c r="KRE183" s="11"/>
      <c r="KRF183" s="12"/>
      <c r="KRO183" s="11"/>
      <c r="KRP183" s="12"/>
      <c r="KRY183" s="11"/>
      <c r="KRZ183" s="12"/>
      <c r="KSI183" s="11"/>
      <c r="KSJ183" s="12"/>
      <c r="KSS183" s="11"/>
      <c r="KST183" s="12"/>
      <c r="KTC183" s="11"/>
      <c r="KTD183" s="12"/>
      <c r="KTM183" s="11"/>
      <c r="KTN183" s="12"/>
      <c r="KTW183" s="11"/>
      <c r="KTX183" s="12"/>
      <c r="KUG183" s="11"/>
      <c r="KUH183" s="12"/>
      <c r="KUQ183" s="11"/>
      <c r="KUR183" s="12"/>
      <c r="KVA183" s="11"/>
      <c r="KVB183" s="12"/>
      <c r="KVK183" s="11"/>
      <c r="KVL183" s="12"/>
      <c r="KVU183" s="11"/>
      <c r="KVV183" s="12"/>
      <c r="KWE183" s="11"/>
      <c r="KWF183" s="12"/>
      <c r="KWO183" s="11"/>
      <c r="KWP183" s="12"/>
      <c r="KWY183" s="11"/>
      <c r="KWZ183" s="12"/>
      <c r="KXI183" s="11"/>
      <c r="KXJ183" s="12"/>
      <c r="KXS183" s="11"/>
      <c r="KXT183" s="12"/>
      <c r="KYC183" s="11"/>
      <c r="KYD183" s="12"/>
      <c r="KYM183" s="11"/>
      <c r="KYN183" s="12"/>
      <c r="KYW183" s="11"/>
      <c r="KYX183" s="12"/>
      <c r="KZG183" s="11"/>
      <c r="KZH183" s="12"/>
      <c r="KZQ183" s="11"/>
      <c r="KZR183" s="12"/>
      <c r="LAA183" s="11"/>
      <c r="LAB183" s="12"/>
      <c r="LAK183" s="11"/>
      <c r="LAL183" s="12"/>
      <c r="LAU183" s="11"/>
      <c r="LAV183" s="12"/>
      <c r="LBE183" s="11"/>
      <c r="LBF183" s="12"/>
      <c r="LBO183" s="11"/>
      <c r="LBP183" s="12"/>
      <c r="LBY183" s="11"/>
      <c r="LBZ183" s="12"/>
      <c r="LCI183" s="11"/>
      <c r="LCJ183" s="12"/>
      <c r="LCS183" s="11"/>
      <c r="LCT183" s="12"/>
      <c r="LDC183" s="11"/>
      <c r="LDD183" s="12"/>
      <c r="LDM183" s="11"/>
      <c r="LDN183" s="12"/>
      <c r="LDW183" s="11"/>
      <c r="LDX183" s="12"/>
      <c r="LEG183" s="11"/>
      <c r="LEH183" s="12"/>
      <c r="LEQ183" s="11"/>
      <c r="LER183" s="12"/>
      <c r="LFA183" s="11"/>
      <c r="LFB183" s="12"/>
      <c r="LFK183" s="11"/>
      <c r="LFL183" s="12"/>
      <c r="LFU183" s="11"/>
      <c r="LFV183" s="12"/>
      <c r="LGE183" s="11"/>
      <c r="LGF183" s="12"/>
      <c r="LGO183" s="11"/>
      <c r="LGP183" s="12"/>
      <c r="LGY183" s="11"/>
      <c r="LGZ183" s="12"/>
      <c r="LHI183" s="11"/>
      <c r="LHJ183" s="12"/>
      <c r="LHS183" s="11"/>
      <c r="LHT183" s="12"/>
      <c r="LIC183" s="11"/>
      <c r="LID183" s="12"/>
      <c r="LIM183" s="11"/>
      <c r="LIN183" s="12"/>
      <c r="LIW183" s="11"/>
      <c r="LIX183" s="12"/>
      <c r="LJG183" s="11"/>
      <c r="LJH183" s="12"/>
      <c r="LJQ183" s="11"/>
      <c r="LJR183" s="12"/>
      <c r="LKA183" s="11"/>
      <c r="LKB183" s="12"/>
      <c r="LKK183" s="11"/>
      <c r="LKL183" s="12"/>
      <c r="LKU183" s="11"/>
      <c r="LKV183" s="12"/>
      <c r="LLE183" s="11"/>
      <c r="LLF183" s="12"/>
      <c r="LLO183" s="11"/>
      <c r="LLP183" s="12"/>
      <c r="LLY183" s="11"/>
      <c r="LLZ183" s="12"/>
      <c r="LMI183" s="11"/>
      <c r="LMJ183" s="12"/>
      <c r="LMS183" s="11"/>
      <c r="LMT183" s="12"/>
      <c r="LNC183" s="11"/>
      <c r="LND183" s="12"/>
      <c r="LNM183" s="11"/>
      <c r="LNN183" s="12"/>
      <c r="LNW183" s="11"/>
      <c r="LNX183" s="12"/>
      <c r="LOG183" s="11"/>
      <c r="LOH183" s="12"/>
      <c r="LOQ183" s="11"/>
      <c r="LOR183" s="12"/>
      <c r="LPA183" s="11"/>
      <c r="LPB183" s="12"/>
      <c r="LPK183" s="11"/>
      <c r="LPL183" s="12"/>
      <c r="LPU183" s="11"/>
      <c r="LPV183" s="12"/>
      <c r="LQE183" s="11"/>
      <c r="LQF183" s="12"/>
      <c r="LQO183" s="11"/>
      <c r="LQP183" s="12"/>
      <c r="LQY183" s="11"/>
      <c r="LQZ183" s="12"/>
      <c r="LRI183" s="11"/>
      <c r="LRJ183" s="12"/>
      <c r="LRS183" s="11"/>
      <c r="LRT183" s="12"/>
      <c r="LSC183" s="11"/>
      <c r="LSD183" s="12"/>
      <c r="LSM183" s="11"/>
      <c r="LSN183" s="12"/>
      <c r="LSW183" s="11"/>
      <c r="LSX183" s="12"/>
      <c r="LTG183" s="11"/>
      <c r="LTH183" s="12"/>
      <c r="LTQ183" s="11"/>
      <c r="LTR183" s="12"/>
      <c r="LUA183" s="11"/>
      <c r="LUB183" s="12"/>
      <c r="LUK183" s="11"/>
      <c r="LUL183" s="12"/>
      <c r="LUU183" s="11"/>
      <c r="LUV183" s="12"/>
      <c r="LVE183" s="11"/>
      <c r="LVF183" s="12"/>
      <c r="LVO183" s="11"/>
      <c r="LVP183" s="12"/>
      <c r="LVY183" s="11"/>
      <c r="LVZ183" s="12"/>
      <c r="LWI183" s="11"/>
      <c r="LWJ183" s="12"/>
      <c r="LWS183" s="11"/>
      <c r="LWT183" s="12"/>
      <c r="LXC183" s="11"/>
      <c r="LXD183" s="12"/>
      <c r="LXM183" s="11"/>
      <c r="LXN183" s="12"/>
      <c r="LXW183" s="11"/>
      <c r="LXX183" s="12"/>
      <c r="LYG183" s="11"/>
      <c r="LYH183" s="12"/>
      <c r="LYQ183" s="11"/>
      <c r="LYR183" s="12"/>
      <c r="LZA183" s="11"/>
      <c r="LZB183" s="12"/>
      <c r="LZK183" s="11"/>
      <c r="LZL183" s="12"/>
      <c r="LZU183" s="11"/>
      <c r="LZV183" s="12"/>
      <c r="MAE183" s="11"/>
      <c r="MAF183" s="12"/>
      <c r="MAO183" s="11"/>
      <c r="MAP183" s="12"/>
      <c r="MAY183" s="11"/>
      <c r="MAZ183" s="12"/>
      <c r="MBI183" s="11"/>
      <c r="MBJ183" s="12"/>
      <c r="MBS183" s="11"/>
      <c r="MBT183" s="12"/>
      <c r="MCC183" s="11"/>
      <c r="MCD183" s="12"/>
      <c r="MCM183" s="11"/>
      <c r="MCN183" s="12"/>
      <c r="MCW183" s="11"/>
      <c r="MCX183" s="12"/>
      <c r="MDG183" s="11"/>
      <c r="MDH183" s="12"/>
      <c r="MDQ183" s="11"/>
      <c r="MDR183" s="12"/>
      <c r="MEA183" s="11"/>
      <c r="MEB183" s="12"/>
      <c r="MEK183" s="11"/>
      <c r="MEL183" s="12"/>
      <c r="MEU183" s="11"/>
      <c r="MEV183" s="12"/>
      <c r="MFE183" s="11"/>
      <c r="MFF183" s="12"/>
      <c r="MFO183" s="11"/>
      <c r="MFP183" s="12"/>
      <c r="MFY183" s="11"/>
      <c r="MFZ183" s="12"/>
      <c r="MGI183" s="11"/>
      <c r="MGJ183" s="12"/>
      <c r="MGS183" s="11"/>
      <c r="MGT183" s="12"/>
      <c r="MHC183" s="11"/>
      <c r="MHD183" s="12"/>
      <c r="MHM183" s="11"/>
      <c r="MHN183" s="12"/>
      <c r="MHW183" s="11"/>
      <c r="MHX183" s="12"/>
      <c r="MIG183" s="11"/>
      <c r="MIH183" s="12"/>
      <c r="MIQ183" s="11"/>
      <c r="MIR183" s="12"/>
      <c r="MJA183" s="11"/>
      <c r="MJB183" s="12"/>
      <c r="MJK183" s="11"/>
      <c r="MJL183" s="12"/>
      <c r="MJU183" s="11"/>
      <c r="MJV183" s="12"/>
      <c r="MKE183" s="11"/>
      <c r="MKF183" s="12"/>
      <c r="MKO183" s="11"/>
      <c r="MKP183" s="12"/>
      <c r="MKY183" s="11"/>
      <c r="MKZ183" s="12"/>
      <c r="MLI183" s="11"/>
      <c r="MLJ183" s="12"/>
      <c r="MLS183" s="11"/>
      <c r="MLT183" s="12"/>
      <c r="MMC183" s="11"/>
      <c r="MMD183" s="12"/>
      <c r="MMM183" s="11"/>
      <c r="MMN183" s="12"/>
      <c r="MMW183" s="11"/>
      <c r="MMX183" s="12"/>
      <c r="MNG183" s="11"/>
      <c r="MNH183" s="12"/>
      <c r="MNQ183" s="11"/>
      <c r="MNR183" s="12"/>
      <c r="MOA183" s="11"/>
      <c r="MOB183" s="12"/>
      <c r="MOK183" s="11"/>
      <c r="MOL183" s="12"/>
      <c r="MOU183" s="11"/>
      <c r="MOV183" s="12"/>
      <c r="MPE183" s="11"/>
      <c r="MPF183" s="12"/>
      <c r="MPO183" s="11"/>
      <c r="MPP183" s="12"/>
      <c r="MPY183" s="11"/>
      <c r="MPZ183" s="12"/>
      <c r="MQI183" s="11"/>
      <c r="MQJ183" s="12"/>
      <c r="MQS183" s="11"/>
      <c r="MQT183" s="12"/>
      <c r="MRC183" s="11"/>
      <c r="MRD183" s="12"/>
      <c r="MRM183" s="11"/>
      <c r="MRN183" s="12"/>
      <c r="MRW183" s="11"/>
      <c r="MRX183" s="12"/>
      <c r="MSG183" s="11"/>
      <c r="MSH183" s="12"/>
      <c r="MSQ183" s="11"/>
      <c r="MSR183" s="12"/>
      <c r="MTA183" s="11"/>
      <c r="MTB183" s="12"/>
      <c r="MTK183" s="11"/>
      <c r="MTL183" s="12"/>
      <c r="MTU183" s="11"/>
      <c r="MTV183" s="12"/>
      <c r="MUE183" s="11"/>
      <c r="MUF183" s="12"/>
      <c r="MUO183" s="11"/>
      <c r="MUP183" s="12"/>
      <c r="MUY183" s="11"/>
      <c r="MUZ183" s="12"/>
      <c r="MVI183" s="11"/>
      <c r="MVJ183" s="12"/>
      <c r="MVS183" s="11"/>
      <c r="MVT183" s="12"/>
      <c r="MWC183" s="11"/>
      <c r="MWD183" s="12"/>
      <c r="MWM183" s="11"/>
      <c r="MWN183" s="12"/>
      <c r="MWW183" s="11"/>
      <c r="MWX183" s="12"/>
      <c r="MXG183" s="11"/>
      <c r="MXH183" s="12"/>
      <c r="MXQ183" s="11"/>
      <c r="MXR183" s="12"/>
      <c r="MYA183" s="11"/>
      <c r="MYB183" s="12"/>
      <c r="MYK183" s="11"/>
      <c r="MYL183" s="12"/>
      <c r="MYU183" s="11"/>
      <c r="MYV183" s="12"/>
      <c r="MZE183" s="11"/>
      <c r="MZF183" s="12"/>
      <c r="MZO183" s="11"/>
      <c r="MZP183" s="12"/>
      <c r="MZY183" s="11"/>
      <c r="MZZ183" s="12"/>
      <c r="NAI183" s="11"/>
      <c r="NAJ183" s="12"/>
      <c r="NAS183" s="11"/>
      <c r="NAT183" s="12"/>
      <c r="NBC183" s="11"/>
      <c r="NBD183" s="12"/>
      <c r="NBM183" s="11"/>
      <c r="NBN183" s="12"/>
      <c r="NBW183" s="11"/>
      <c r="NBX183" s="12"/>
      <c r="NCG183" s="11"/>
      <c r="NCH183" s="12"/>
      <c r="NCQ183" s="11"/>
      <c r="NCR183" s="12"/>
      <c r="NDA183" s="11"/>
      <c r="NDB183" s="12"/>
      <c r="NDK183" s="11"/>
      <c r="NDL183" s="12"/>
      <c r="NDU183" s="11"/>
      <c r="NDV183" s="12"/>
      <c r="NEE183" s="11"/>
      <c r="NEF183" s="12"/>
      <c r="NEO183" s="11"/>
      <c r="NEP183" s="12"/>
      <c r="NEY183" s="11"/>
      <c r="NEZ183" s="12"/>
      <c r="NFI183" s="11"/>
      <c r="NFJ183" s="12"/>
      <c r="NFS183" s="11"/>
      <c r="NFT183" s="12"/>
      <c r="NGC183" s="11"/>
      <c r="NGD183" s="12"/>
      <c r="NGM183" s="11"/>
      <c r="NGN183" s="12"/>
      <c r="NGW183" s="11"/>
      <c r="NGX183" s="12"/>
      <c r="NHG183" s="11"/>
      <c r="NHH183" s="12"/>
      <c r="NHQ183" s="11"/>
      <c r="NHR183" s="12"/>
      <c r="NIA183" s="11"/>
      <c r="NIB183" s="12"/>
      <c r="NIK183" s="11"/>
      <c r="NIL183" s="12"/>
      <c r="NIU183" s="11"/>
      <c r="NIV183" s="12"/>
      <c r="NJE183" s="11"/>
      <c r="NJF183" s="12"/>
      <c r="NJO183" s="11"/>
      <c r="NJP183" s="12"/>
      <c r="NJY183" s="11"/>
      <c r="NJZ183" s="12"/>
      <c r="NKI183" s="11"/>
      <c r="NKJ183" s="12"/>
      <c r="NKS183" s="11"/>
      <c r="NKT183" s="12"/>
      <c r="NLC183" s="11"/>
      <c r="NLD183" s="12"/>
      <c r="NLM183" s="11"/>
      <c r="NLN183" s="12"/>
      <c r="NLW183" s="11"/>
      <c r="NLX183" s="12"/>
      <c r="NMG183" s="11"/>
      <c r="NMH183" s="12"/>
      <c r="NMQ183" s="11"/>
      <c r="NMR183" s="12"/>
      <c r="NNA183" s="11"/>
      <c r="NNB183" s="12"/>
      <c r="NNK183" s="11"/>
      <c r="NNL183" s="12"/>
      <c r="NNU183" s="11"/>
      <c r="NNV183" s="12"/>
      <c r="NOE183" s="11"/>
      <c r="NOF183" s="12"/>
      <c r="NOO183" s="11"/>
      <c r="NOP183" s="12"/>
      <c r="NOY183" s="11"/>
      <c r="NOZ183" s="12"/>
      <c r="NPI183" s="11"/>
      <c r="NPJ183" s="12"/>
      <c r="NPS183" s="11"/>
      <c r="NPT183" s="12"/>
      <c r="NQC183" s="11"/>
      <c r="NQD183" s="12"/>
      <c r="NQM183" s="11"/>
      <c r="NQN183" s="12"/>
      <c r="NQW183" s="11"/>
      <c r="NQX183" s="12"/>
      <c r="NRG183" s="11"/>
      <c r="NRH183" s="12"/>
      <c r="NRQ183" s="11"/>
      <c r="NRR183" s="12"/>
      <c r="NSA183" s="11"/>
      <c r="NSB183" s="12"/>
      <c r="NSK183" s="11"/>
      <c r="NSL183" s="12"/>
      <c r="NSU183" s="11"/>
      <c r="NSV183" s="12"/>
      <c r="NTE183" s="11"/>
      <c r="NTF183" s="12"/>
      <c r="NTO183" s="11"/>
      <c r="NTP183" s="12"/>
      <c r="NTY183" s="11"/>
      <c r="NTZ183" s="12"/>
      <c r="NUI183" s="11"/>
      <c r="NUJ183" s="12"/>
      <c r="NUS183" s="11"/>
      <c r="NUT183" s="12"/>
      <c r="NVC183" s="11"/>
      <c r="NVD183" s="12"/>
      <c r="NVM183" s="11"/>
      <c r="NVN183" s="12"/>
      <c r="NVW183" s="11"/>
      <c r="NVX183" s="12"/>
      <c r="NWG183" s="11"/>
      <c r="NWH183" s="12"/>
      <c r="NWQ183" s="11"/>
      <c r="NWR183" s="12"/>
      <c r="NXA183" s="11"/>
      <c r="NXB183" s="12"/>
      <c r="NXK183" s="11"/>
      <c r="NXL183" s="12"/>
      <c r="NXU183" s="11"/>
      <c r="NXV183" s="12"/>
      <c r="NYE183" s="11"/>
      <c r="NYF183" s="12"/>
      <c r="NYO183" s="11"/>
      <c r="NYP183" s="12"/>
      <c r="NYY183" s="11"/>
      <c r="NYZ183" s="12"/>
      <c r="NZI183" s="11"/>
      <c r="NZJ183" s="12"/>
      <c r="NZS183" s="11"/>
      <c r="NZT183" s="12"/>
      <c r="OAC183" s="11"/>
      <c r="OAD183" s="12"/>
      <c r="OAM183" s="11"/>
      <c r="OAN183" s="12"/>
      <c r="OAW183" s="11"/>
      <c r="OAX183" s="12"/>
      <c r="OBG183" s="11"/>
      <c r="OBH183" s="12"/>
      <c r="OBQ183" s="11"/>
      <c r="OBR183" s="12"/>
      <c r="OCA183" s="11"/>
      <c r="OCB183" s="12"/>
      <c r="OCK183" s="11"/>
      <c r="OCL183" s="12"/>
      <c r="OCU183" s="11"/>
      <c r="OCV183" s="12"/>
      <c r="ODE183" s="11"/>
      <c r="ODF183" s="12"/>
      <c r="ODO183" s="11"/>
      <c r="ODP183" s="12"/>
      <c r="ODY183" s="11"/>
      <c r="ODZ183" s="12"/>
      <c r="OEI183" s="11"/>
      <c r="OEJ183" s="12"/>
      <c r="OES183" s="11"/>
      <c r="OET183" s="12"/>
      <c r="OFC183" s="11"/>
      <c r="OFD183" s="12"/>
      <c r="OFM183" s="11"/>
      <c r="OFN183" s="12"/>
      <c r="OFW183" s="11"/>
      <c r="OFX183" s="12"/>
      <c r="OGG183" s="11"/>
      <c r="OGH183" s="12"/>
      <c r="OGQ183" s="11"/>
      <c r="OGR183" s="12"/>
      <c r="OHA183" s="11"/>
      <c r="OHB183" s="12"/>
      <c r="OHK183" s="11"/>
      <c r="OHL183" s="12"/>
      <c r="OHU183" s="11"/>
      <c r="OHV183" s="12"/>
      <c r="OIE183" s="11"/>
      <c r="OIF183" s="12"/>
      <c r="OIO183" s="11"/>
      <c r="OIP183" s="12"/>
      <c r="OIY183" s="11"/>
      <c r="OIZ183" s="12"/>
      <c r="OJI183" s="11"/>
      <c r="OJJ183" s="12"/>
      <c r="OJS183" s="11"/>
      <c r="OJT183" s="12"/>
      <c r="OKC183" s="11"/>
      <c r="OKD183" s="12"/>
      <c r="OKM183" s="11"/>
      <c r="OKN183" s="12"/>
      <c r="OKW183" s="11"/>
      <c r="OKX183" s="12"/>
      <c r="OLG183" s="11"/>
      <c r="OLH183" s="12"/>
      <c r="OLQ183" s="11"/>
      <c r="OLR183" s="12"/>
      <c r="OMA183" s="11"/>
      <c r="OMB183" s="12"/>
      <c r="OMK183" s="11"/>
      <c r="OML183" s="12"/>
      <c r="OMU183" s="11"/>
      <c r="OMV183" s="12"/>
      <c r="ONE183" s="11"/>
      <c r="ONF183" s="12"/>
      <c r="ONO183" s="11"/>
      <c r="ONP183" s="12"/>
      <c r="ONY183" s="11"/>
      <c r="ONZ183" s="12"/>
      <c r="OOI183" s="11"/>
      <c r="OOJ183" s="12"/>
      <c r="OOS183" s="11"/>
      <c r="OOT183" s="12"/>
      <c r="OPC183" s="11"/>
      <c r="OPD183" s="12"/>
      <c r="OPM183" s="11"/>
      <c r="OPN183" s="12"/>
      <c r="OPW183" s="11"/>
      <c r="OPX183" s="12"/>
      <c r="OQG183" s="11"/>
      <c r="OQH183" s="12"/>
      <c r="OQQ183" s="11"/>
      <c r="OQR183" s="12"/>
      <c r="ORA183" s="11"/>
      <c r="ORB183" s="12"/>
      <c r="ORK183" s="11"/>
      <c r="ORL183" s="12"/>
      <c r="ORU183" s="11"/>
      <c r="ORV183" s="12"/>
      <c r="OSE183" s="11"/>
      <c r="OSF183" s="12"/>
      <c r="OSO183" s="11"/>
      <c r="OSP183" s="12"/>
      <c r="OSY183" s="11"/>
      <c r="OSZ183" s="12"/>
      <c r="OTI183" s="11"/>
      <c r="OTJ183" s="12"/>
      <c r="OTS183" s="11"/>
      <c r="OTT183" s="12"/>
      <c r="OUC183" s="11"/>
      <c r="OUD183" s="12"/>
      <c r="OUM183" s="11"/>
      <c r="OUN183" s="12"/>
      <c r="OUW183" s="11"/>
      <c r="OUX183" s="12"/>
      <c r="OVG183" s="11"/>
      <c r="OVH183" s="12"/>
      <c r="OVQ183" s="11"/>
      <c r="OVR183" s="12"/>
      <c r="OWA183" s="11"/>
      <c r="OWB183" s="12"/>
      <c r="OWK183" s="11"/>
      <c r="OWL183" s="12"/>
      <c r="OWU183" s="11"/>
      <c r="OWV183" s="12"/>
      <c r="OXE183" s="11"/>
      <c r="OXF183" s="12"/>
      <c r="OXO183" s="11"/>
      <c r="OXP183" s="12"/>
      <c r="OXY183" s="11"/>
      <c r="OXZ183" s="12"/>
      <c r="OYI183" s="11"/>
      <c r="OYJ183" s="12"/>
      <c r="OYS183" s="11"/>
      <c r="OYT183" s="12"/>
      <c r="OZC183" s="11"/>
      <c r="OZD183" s="12"/>
      <c r="OZM183" s="11"/>
      <c r="OZN183" s="12"/>
      <c r="OZW183" s="11"/>
      <c r="OZX183" s="12"/>
      <c r="PAG183" s="11"/>
      <c r="PAH183" s="12"/>
      <c r="PAQ183" s="11"/>
      <c r="PAR183" s="12"/>
      <c r="PBA183" s="11"/>
      <c r="PBB183" s="12"/>
      <c r="PBK183" s="11"/>
      <c r="PBL183" s="12"/>
      <c r="PBU183" s="11"/>
      <c r="PBV183" s="12"/>
      <c r="PCE183" s="11"/>
      <c r="PCF183" s="12"/>
      <c r="PCO183" s="11"/>
      <c r="PCP183" s="12"/>
      <c r="PCY183" s="11"/>
      <c r="PCZ183" s="12"/>
      <c r="PDI183" s="11"/>
      <c r="PDJ183" s="12"/>
      <c r="PDS183" s="11"/>
      <c r="PDT183" s="12"/>
      <c r="PEC183" s="11"/>
      <c r="PED183" s="12"/>
      <c r="PEM183" s="11"/>
      <c r="PEN183" s="12"/>
      <c r="PEW183" s="11"/>
      <c r="PEX183" s="12"/>
      <c r="PFG183" s="11"/>
      <c r="PFH183" s="12"/>
      <c r="PFQ183" s="11"/>
      <c r="PFR183" s="12"/>
      <c r="PGA183" s="11"/>
      <c r="PGB183" s="12"/>
      <c r="PGK183" s="11"/>
      <c r="PGL183" s="12"/>
      <c r="PGU183" s="11"/>
      <c r="PGV183" s="12"/>
      <c r="PHE183" s="11"/>
      <c r="PHF183" s="12"/>
      <c r="PHO183" s="11"/>
      <c r="PHP183" s="12"/>
      <c r="PHY183" s="11"/>
      <c r="PHZ183" s="12"/>
      <c r="PII183" s="11"/>
      <c r="PIJ183" s="12"/>
      <c r="PIS183" s="11"/>
      <c r="PIT183" s="12"/>
      <c r="PJC183" s="11"/>
      <c r="PJD183" s="12"/>
      <c r="PJM183" s="11"/>
      <c r="PJN183" s="12"/>
      <c r="PJW183" s="11"/>
      <c r="PJX183" s="12"/>
      <c r="PKG183" s="11"/>
      <c r="PKH183" s="12"/>
      <c r="PKQ183" s="11"/>
      <c r="PKR183" s="12"/>
      <c r="PLA183" s="11"/>
      <c r="PLB183" s="12"/>
      <c r="PLK183" s="11"/>
      <c r="PLL183" s="12"/>
      <c r="PLU183" s="11"/>
      <c r="PLV183" s="12"/>
      <c r="PME183" s="11"/>
      <c r="PMF183" s="12"/>
      <c r="PMO183" s="11"/>
      <c r="PMP183" s="12"/>
      <c r="PMY183" s="11"/>
      <c r="PMZ183" s="12"/>
      <c r="PNI183" s="11"/>
      <c r="PNJ183" s="12"/>
      <c r="PNS183" s="11"/>
      <c r="PNT183" s="12"/>
      <c r="POC183" s="11"/>
      <c r="POD183" s="12"/>
      <c r="POM183" s="11"/>
      <c r="PON183" s="12"/>
      <c r="POW183" s="11"/>
      <c r="POX183" s="12"/>
      <c r="PPG183" s="11"/>
      <c r="PPH183" s="12"/>
      <c r="PPQ183" s="11"/>
      <c r="PPR183" s="12"/>
      <c r="PQA183" s="11"/>
      <c r="PQB183" s="12"/>
      <c r="PQK183" s="11"/>
      <c r="PQL183" s="12"/>
      <c r="PQU183" s="11"/>
      <c r="PQV183" s="12"/>
      <c r="PRE183" s="11"/>
      <c r="PRF183" s="12"/>
      <c r="PRO183" s="11"/>
      <c r="PRP183" s="12"/>
      <c r="PRY183" s="11"/>
      <c r="PRZ183" s="12"/>
      <c r="PSI183" s="11"/>
      <c r="PSJ183" s="12"/>
      <c r="PSS183" s="11"/>
      <c r="PST183" s="12"/>
      <c r="PTC183" s="11"/>
      <c r="PTD183" s="12"/>
      <c r="PTM183" s="11"/>
      <c r="PTN183" s="12"/>
      <c r="PTW183" s="11"/>
      <c r="PTX183" s="12"/>
      <c r="PUG183" s="11"/>
      <c r="PUH183" s="12"/>
      <c r="PUQ183" s="11"/>
      <c r="PUR183" s="12"/>
      <c r="PVA183" s="11"/>
      <c r="PVB183" s="12"/>
      <c r="PVK183" s="11"/>
      <c r="PVL183" s="12"/>
      <c r="PVU183" s="11"/>
      <c r="PVV183" s="12"/>
      <c r="PWE183" s="11"/>
      <c r="PWF183" s="12"/>
      <c r="PWO183" s="11"/>
      <c r="PWP183" s="12"/>
      <c r="PWY183" s="11"/>
      <c r="PWZ183" s="12"/>
      <c r="PXI183" s="11"/>
      <c r="PXJ183" s="12"/>
      <c r="PXS183" s="11"/>
      <c r="PXT183" s="12"/>
      <c r="PYC183" s="11"/>
      <c r="PYD183" s="12"/>
      <c r="PYM183" s="11"/>
      <c r="PYN183" s="12"/>
      <c r="PYW183" s="11"/>
      <c r="PYX183" s="12"/>
      <c r="PZG183" s="11"/>
      <c r="PZH183" s="12"/>
      <c r="PZQ183" s="11"/>
      <c r="PZR183" s="12"/>
      <c r="QAA183" s="11"/>
      <c r="QAB183" s="12"/>
      <c r="QAK183" s="11"/>
      <c r="QAL183" s="12"/>
      <c r="QAU183" s="11"/>
      <c r="QAV183" s="12"/>
      <c r="QBE183" s="11"/>
      <c r="QBF183" s="12"/>
      <c r="QBO183" s="11"/>
      <c r="QBP183" s="12"/>
      <c r="QBY183" s="11"/>
      <c r="QBZ183" s="12"/>
      <c r="QCI183" s="11"/>
      <c r="QCJ183" s="12"/>
      <c r="QCS183" s="11"/>
      <c r="QCT183" s="12"/>
      <c r="QDC183" s="11"/>
      <c r="QDD183" s="12"/>
      <c r="QDM183" s="11"/>
      <c r="QDN183" s="12"/>
      <c r="QDW183" s="11"/>
      <c r="QDX183" s="12"/>
      <c r="QEG183" s="11"/>
      <c r="QEH183" s="12"/>
      <c r="QEQ183" s="11"/>
      <c r="QER183" s="12"/>
      <c r="QFA183" s="11"/>
      <c r="QFB183" s="12"/>
      <c r="QFK183" s="11"/>
      <c r="QFL183" s="12"/>
      <c r="QFU183" s="11"/>
      <c r="QFV183" s="12"/>
      <c r="QGE183" s="11"/>
      <c r="QGF183" s="12"/>
      <c r="QGO183" s="11"/>
      <c r="QGP183" s="12"/>
      <c r="QGY183" s="11"/>
      <c r="QGZ183" s="12"/>
      <c r="QHI183" s="11"/>
      <c r="QHJ183" s="12"/>
      <c r="QHS183" s="11"/>
      <c r="QHT183" s="12"/>
      <c r="QIC183" s="11"/>
      <c r="QID183" s="12"/>
      <c r="QIM183" s="11"/>
      <c r="QIN183" s="12"/>
      <c r="QIW183" s="11"/>
      <c r="QIX183" s="12"/>
      <c r="QJG183" s="11"/>
      <c r="QJH183" s="12"/>
      <c r="QJQ183" s="11"/>
      <c r="QJR183" s="12"/>
      <c r="QKA183" s="11"/>
      <c r="QKB183" s="12"/>
      <c r="QKK183" s="11"/>
      <c r="QKL183" s="12"/>
      <c r="QKU183" s="11"/>
      <c r="QKV183" s="12"/>
      <c r="QLE183" s="11"/>
      <c r="QLF183" s="12"/>
      <c r="QLO183" s="11"/>
      <c r="QLP183" s="12"/>
      <c r="QLY183" s="11"/>
      <c r="QLZ183" s="12"/>
      <c r="QMI183" s="11"/>
      <c r="QMJ183" s="12"/>
      <c r="QMS183" s="11"/>
      <c r="QMT183" s="12"/>
      <c r="QNC183" s="11"/>
      <c r="QND183" s="12"/>
      <c r="QNM183" s="11"/>
      <c r="QNN183" s="12"/>
      <c r="QNW183" s="11"/>
      <c r="QNX183" s="12"/>
      <c r="QOG183" s="11"/>
      <c r="QOH183" s="12"/>
      <c r="QOQ183" s="11"/>
      <c r="QOR183" s="12"/>
      <c r="QPA183" s="11"/>
      <c r="QPB183" s="12"/>
      <c r="QPK183" s="11"/>
      <c r="QPL183" s="12"/>
      <c r="QPU183" s="11"/>
      <c r="QPV183" s="12"/>
      <c r="QQE183" s="11"/>
      <c r="QQF183" s="12"/>
      <c r="QQO183" s="11"/>
      <c r="QQP183" s="12"/>
      <c r="QQY183" s="11"/>
      <c r="QQZ183" s="12"/>
      <c r="QRI183" s="11"/>
      <c r="QRJ183" s="12"/>
      <c r="QRS183" s="11"/>
      <c r="QRT183" s="12"/>
      <c r="QSC183" s="11"/>
      <c r="QSD183" s="12"/>
      <c r="QSM183" s="11"/>
      <c r="QSN183" s="12"/>
      <c r="QSW183" s="11"/>
      <c r="QSX183" s="12"/>
      <c r="QTG183" s="11"/>
      <c r="QTH183" s="12"/>
      <c r="QTQ183" s="11"/>
      <c r="QTR183" s="12"/>
      <c r="QUA183" s="11"/>
      <c r="QUB183" s="12"/>
      <c r="QUK183" s="11"/>
      <c r="QUL183" s="12"/>
      <c r="QUU183" s="11"/>
      <c r="QUV183" s="12"/>
      <c r="QVE183" s="11"/>
      <c r="QVF183" s="12"/>
      <c r="QVO183" s="11"/>
      <c r="QVP183" s="12"/>
      <c r="QVY183" s="11"/>
      <c r="QVZ183" s="12"/>
      <c r="QWI183" s="11"/>
      <c r="QWJ183" s="12"/>
      <c r="QWS183" s="11"/>
      <c r="QWT183" s="12"/>
      <c r="QXC183" s="11"/>
      <c r="QXD183" s="12"/>
      <c r="QXM183" s="11"/>
      <c r="QXN183" s="12"/>
      <c r="QXW183" s="11"/>
      <c r="QXX183" s="12"/>
      <c r="QYG183" s="11"/>
      <c r="QYH183" s="12"/>
      <c r="QYQ183" s="11"/>
      <c r="QYR183" s="12"/>
      <c r="QZA183" s="11"/>
      <c r="QZB183" s="12"/>
      <c r="QZK183" s="11"/>
      <c r="QZL183" s="12"/>
      <c r="QZU183" s="11"/>
      <c r="QZV183" s="12"/>
      <c r="RAE183" s="11"/>
      <c r="RAF183" s="12"/>
      <c r="RAO183" s="11"/>
      <c r="RAP183" s="12"/>
      <c r="RAY183" s="11"/>
      <c r="RAZ183" s="12"/>
      <c r="RBI183" s="11"/>
      <c r="RBJ183" s="12"/>
      <c r="RBS183" s="11"/>
      <c r="RBT183" s="12"/>
      <c r="RCC183" s="11"/>
      <c r="RCD183" s="12"/>
      <c r="RCM183" s="11"/>
      <c r="RCN183" s="12"/>
      <c r="RCW183" s="11"/>
      <c r="RCX183" s="12"/>
      <c r="RDG183" s="11"/>
      <c r="RDH183" s="12"/>
      <c r="RDQ183" s="11"/>
      <c r="RDR183" s="12"/>
      <c r="REA183" s="11"/>
      <c r="REB183" s="12"/>
      <c r="REK183" s="11"/>
      <c r="REL183" s="12"/>
      <c r="REU183" s="11"/>
      <c r="REV183" s="12"/>
      <c r="RFE183" s="11"/>
      <c r="RFF183" s="12"/>
      <c r="RFO183" s="11"/>
      <c r="RFP183" s="12"/>
      <c r="RFY183" s="11"/>
      <c r="RFZ183" s="12"/>
      <c r="RGI183" s="11"/>
      <c r="RGJ183" s="12"/>
      <c r="RGS183" s="11"/>
      <c r="RGT183" s="12"/>
      <c r="RHC183" s="11"/>
      <c r="RHD183" s="12"/>
      <c r="RHM183" s="11"/>
      <c r="RHN183" s="12"/>
      <c r="RHW183" s="11"/>
      <c r="RHX183" s="12"/>
      <c r="RIG183" s="11"/>
      <c r="RIH183" s="12"/>
      <c r="RIQ183" s="11"/>
      <c r="RIR183" s="12"/>
      <c r="RJA183" s="11"/>
      <c r="RJB183" s="12"/>
      <c r="RJK183" s="11"/>
      <c r="RJL183" s="12"/>
      <c r="RJU183" s="11"/>
      <c r="RJV183" s="12"/>
      <c r="RKE183" s="11"/>
      <c r="RKF183" s="12"/>
      <c r="RKO183" s="11"/>
      <c r="RKP183" s="12"/>
      <c r="RKY183" s="11"/>
      <c r="RKZ183" s="12"/>
      <c r="RLI183" s="11"/>
      <c r="RLJ183" s="12"/>
      <c r="RLS183" s="11"/>
      <c r="RLT183" s="12"/>
      <c r="RMC183" s="11"/>
      <c r="RMD183" s="12"/>
      <c r="RMM183" s="11"/>
      <c r="RMN183" s="12"/>
      <c r="RMW183" s="11"/>
      <c r="RMX183" s="12"/>
      <c r="RNG183" s="11"/>
      <c r="RNH183" s="12"/>
      <c r="RNQ183" s="11"/>
      <c r="RNR183" s="12"/>
      <c r="ROA183" s="11"/>
      <c r="ROB183" s="12"/>
      <c r="ROK183" s="11"/>
      <c r="ROL183" s="12"/>
      <c r="ROU183" s="11"/>
      <c r="ROV183" s="12"/>
      <c r="RPE183" s="11"/>
      <c r="RPF183" s="12"/>
      <c r="RPO183" s="11"/>
      <c r="RPP183" s="12"/>
      <c r="RPY183" s="11"/>
      <c r="RPZ183" s="12"/>
      <c r="RQI183" s="11"/>
      <c r="RQJ183" s="12"/>
      <c r="RQS183" s="11"/>
      <c r="RQT183" s="12"/>
      <c r="RRC183" s="11"/>
      <c r="RRD183" s="12"/>
      <c r="RRM183" s="11"/>
      <c r="RRN183" s="12"/>
      <c r="RRW183" s="11"/>
      <c r="RRX183" s="12"/>
      <c r="RSG183" s="11"/>
      <c r="RSH183" s="12"/>
      <c r="RSQ183" s="11"/>
      <c r="RSR183" s="12"/>
      <c r="RTA183" s="11"/>
      <c r="RTB183" s="12"/>
      <c r="RTK183" s="11"/>
      <c r="RTL183" s="12"/>
      <c r="RTU183" s="11"/>
      <c r="RTV183" s="12"/>
      <c r="RUE183" s="11"/>
      <c r="RUF183" s="12"/>
      <c r="RUO183" s="11"/>
      <c r="RUP183" s="12"/>
      <c r="RUY183" s="11"/>
      <c r="RUZ183" s="12"/>
      <c r="RVI183" s="11"/>
      <c r="RVJ183" s="12"/>
      <c r="RVS183" s="11"/>
      <c r="RVT183" s="12"/>
      <c r="RWC183" s="11"/>
      <c r="RWD183" s="12"/>
      <c r="RWM183" s="11"/>
      <c r="RWN183" s="12"/>
      <c r="RWW183" s="11"/>
      <c r="RWX183" s="12"/>
      <c r="RXG183" s="11"/>
      <c r="RXH183" s="12"/>
      <c r="RXQ183" s="11"/>
      <c r="RXR183" s="12"/>
      <c r="RYA183" s="11"/>
      <c r="RYB183" s="12"/>
      <c r="RYK183" s="11"/>
      <c r="RYL183" s="12"/>
      <c r="RYU183" s="11"/>
      <c r="RYV183" s="12"/>
      <c r="RZE183" s="11"/>
      <c r="RZF183" s="12"/>
      <c r="RZO183" s="11"/>
      <c r="RZP183" s="12"/>
      <c r="RZY183" s="11"/>
      <c r="RZZ183" s="12"/>
      <c r="SAI183" s="11"/>
      <c r="SAJ183" s="12"/>
      <c r="SAS183" s="11"/>
      <c r="SAT183" s="12"/>
      <c r="SBC183" s="11"/>
      <c r="SBD183" s="12"/>
      <c r="SBM183" s="11"/>
      <c r="SBN183" s="12"/>
      <c r="SBW183" s="11"/>
      <c r="SBX183" s="12"/>
      <c r="SCG183" s="11"/>
      <c r="SCH183" s="12"/>
      <c r="SCQ183" s="11"/>
      <c r="SCR183" s="12"/>
      <c r="SDA183" s="11"/>
      <c r="SDB183" s="12"/>
      <c r="SDK183" s="11"/>
      <c r="SDL183" s="12"/>
      <c r="SDU183" s="11"/>
      <c r="SDV183" s="12"/>
      <c r="SEE183" s="11"/>
      <c r="SEF183" s="12"/>
      <c r="SEO183" s="11"/>
      <c r="SEP183" s="12"/>
      <c r="SEY183" s="11"/>
      <c r="SEZ183" s="12"/>
      <c r="SFI183" s="11"/>
      <c r="SFJ183" s="12"/>
      <c r="SFS183" s="11"/>
      <c r="SFT183" s="12"/>
      <c r="SGC183" s="11"/>
      <c r="SGD183" s="12"/>
      <c r="SGM183" s="11"/>
      <c r="SGN183" s="12"/>
      <c r="SGW183" s="11"/>
      <c r="SGX183" s="12"/>
      <c r="SHG183" s="11"/>
      <c r="SHH183" s="12"/>
      <c r="SHQ183" s="11"/>
      <c r="SHR183" s="12"/>
      <c r="SIA183" s="11"/>
      <c r="SIB183" s="12"/>
      <c r="SIK183" s="11"/>
      <c r="SIL183" s="12"/>
      <c r="SIU183" s="11"/>
      <c r="SIV183" s="12"/>
      <c r="SJE183" s="11"/>
      <c r="SJF183" s="12"/>
      <c r="SJO183" s="11"/>
      <c r="SJP183" s="12"/>
      <c r="SJY183" s="11"/>
      <c r="SJZ183" s="12"/>
      <c r="SKI183" s="11"/>
      <c r="SKJ183" s="12"/>
      <c r="SKS183" s="11"/>
      <c r="SKT183" s="12"/>
      <c r="SLC183" s="11"/>
      <c r="SLD183" s="12"/>
      <c r="SLM183" s="11"/>
      <c r="SLN183" s="12"/>
      <c r="SLW183" s="11"/>
      <c r="SLX183" s="12"/>
      <c r="SMG183" s="11"/>
      <c r="SMH183" s="12"/>
      <c r="SMQ183" s="11"/>
      <c r="SMR183" s="12"/>
      <c r="SNA183" s="11"/>
      <c r="SNB183" s="12"/>
      <c r="SNK183" s="11"/>
      <c r="SNL183" s="12"/>
      <c r="SNU183" s="11"/>
      <c r="SNV183" s="12"/>
      <c r="SOE183" s="11"/>
      <c r="SOF183" s="12"/>
      <c r="SOO183" s="11"/>
      <c r="SOP183" s="12"/>
      <c r="SOY183" s="11"/>
      <c r="SOZ183" s="12"/>
      <c r="SPI183" s="11"/>
      <c r="SPJ183" s="12"/>
      <c r="SPS183" s="11"/>
      <c r="SPT183" s="12"/>
      <c r="SQC183" s="11"/>
      <c r="SQD183" s="12"/>
      <c r="SQM183" s="11"/>
      <c r="SQN183" s="12"/>
      <c r="SQW183" s="11"/>
      <c r="SQX183" s="12"/>
      <c r="SRG183" s="11"/>
      <c r="SRH183" s="12"/>
      <c r="SRQ183" s="11"/>
      <c r="SRR183" s="12"/>
      <c r="SSA183" s="11"/>
      <c r="SSB183" s="12"/>
      <c r="SSK183" s="11"/>
      <c r="SSL183" s="12"/>
      <c r="SSU183" s="11"/>
      <c r="SSV183" s="12"/>
      <c r="STE183" s="11"/>
      <c r="STF183" s="12"/>
      <c r="STO183" s="11"/>
      <c r="STP183" s="12"/>
      <c r="STY183" s="11"/>
      <c r="STZ183" s="12"/>
      <c r="SUI183" s="11"/>
      <c r="SUJ183" s="12"/>
      <c r="SUS183" s="11"/>
      <c r="SUT183" s="12"/>
      <c r="SVC183" s="11"/>
      <c r="SVD183" s="12"/>
      <c r="SVM183" s="11"/>
      <c r="SVN183" s="12"/>
      <c r="SVW183" s="11"/>
      <c r="SVX183" s="12"/>
      <c r="SWG183" s="11"/>
      <c r="SWH183" s="12"/>
      <c r="SWQ183" s="11"/>
      <c r="SWR183" s="12"/>
      <c r="SXA183" s="11"/>
      <c r="SXB183" s="12"/>
      <c r="SXK183" s="11"/>
      <c r="SXL183" s="12"/>
      <c r="SXU183" s="11"/>
      <c r="SXV183" s="12"/>
      <c r="SYE183" s="11"/>
      <c r="SYF183" s="12"/>
      <c r="SYO183" s="11"/>
      <c r="SYP183" s="12"/>
      <c r="SYY183" s="11"/>
      <c r="SYZ183" s="12"/>
      <c r="SZI183" s="11"/>
      <c r="SZJ183" s="12"/>
      <c r="SZS183" s="11"/>
      <c r="SZT183" s="12"/>
      <c r="TAC183" s="11"/>
      <c r="TAD183" s="12"/>
      <c r="TAM183" s="11"/>
      <c r="TAN183" s="12"/>
      <c r="TAW183" s="11"/>
      <c r="TAX183" s="12"/>
      <c r="TBG183" s="11"/>
      <c r="TBH183" s="12"/>
      <c r="TBQ183" s="11"/>
      <c r="TBR183" s="12"/>
      <c r="TCA183" s="11"/>
      <c r="TCB183" s="12"/>
      <c r="TCK183" s="11"/>
      <c r="TCL183" s="12"/>
      <c r="TCU183" s="11"/>
      <c r="TCV183" s="12"/>
      <c r="TDE183" s="11"/>
      <c r="TDF183" s="12"/>
      <c r="TDO183" s="11"/>
      <c r="TDP183" s="12"/>
      <c r="TDY183" s="11"/>
      <c r="TDZ183" s="12"/>
      <c r="TEI183" s="11"/>
      <c r="TEJ183" s="12"/>
      <c r="TES183" s="11"/>
      <c r="TET183" s="12"/>
      <c r="TFC183" s="11"/>
      <c r="TFD183" s="12"/>
      <c r="TFM183" s="11"/>
      <c r="TFN183" s="12"/>
      <c r="TFW183" s="11"/>
      <c r="TFX183" s="12"/>
      <c r="TGG183" s="11"/>
      <c r="TGH183" s="12"/>
      <c r="TGQ183" s="11"/>
      <c r="TGR183" s="12"/>
      <c r="THA183" s="11"/>
      <c r="THB183" s="12"/>
      <c r="THK183" s="11"/>
      <c r="THL183" s="12"/>
      <c r="THU183" s="11"/>
      <c r="THV183" s="12"/>
      <c r="TIE183" s="11"/>
      <c r="TIF183" s="12"/>
      <c r="TIO183" s="11"/>
      <c r="TIP183" s="12"/>
      <c r="TIY183" s="11"/>
      <c r="TIZ183" s="12"/>
      <c r="TJI183" s="11"/>
      <c r="TJJ183" s="12"/>
      <c r="TJS183" s="11"/>
      <c r="TJT183" s="12"/>
      <c r="TKC183" s="11"/>
      <c r="TKD183" s="12"/>
      <c r="TKM183" s="11"/>
      <c r="TKN183" s="12"/>
      <c r="TKW183" s="11"/>
      <c r="TKX183" s="12"/>
      <c r="TLG183" s="11"/>
      <c r="TLH183" s="12"/>
      <c r="TLQ183" s="11"/>
      <c r="TLR183" s="12"/>
      <c r="TMA183" s="11"/>
      <c r="TMB183" s="12"/>
      <c r="TMK183" s="11"/>
      <c r="TML183" s="12"/>
      <c r="TMU183" s="11"/>
      <c r="TMV183" s="12"/>
      <c r="TNE183" s="11"/>
      <c r="TNF183" s="12"/>
      <c r="TNO183" s="11"/>
      <c r="TNP183" s="12"/>
      <c r="TNY183" s="11"/>
      <c r="TNZ183" s="12"/>
      <c r="TOI183" s="11"/>
      <c r="TOJ183" s="12"/>
      <c r="TOS183" s="11"/>
      <c r="TOT183" s="12"/>
      <c r="TPC183" s="11"/>
      <c r="TPD183" s="12"/>
      <c r="TPM183" s="11"/>
      <c r="TPN183" s="12"/>
      <c r="TPW183" s="11"/>
      <c r="TPX183" s="12"/>
      <c r="TQG183" s="11"/>
      <c r="TQH183" s="12"/>
      <c r="TQQ183" s="11"/>
      <c r="TQR183" s="12"/>
      <c r="TRA183" s="11"/>
      <c r="TRB183" s="12"/>
      <c r="TRK183" s="11"/>
      <c r="TRL183" s="12"/>
      <c r="TRU183" s="11"/>
      <c r="TRV183" s="12"/>
      <c r="TSE183" s="11"/>
      <c r="TSF183" s="12"/>
      <c r="TSO183" s="11"/>
      <c r="TSP183" s="12"/>
      <c r="TSY183" s="11"/>
      <c r="TSZ183" s="12"/>
      <c r="TTI183" s="11"/>
      <c r="TTJ183" s="12"/>
      <c r="TTS183" s="11"/>
      <c r="TTT183" s="12"/>
      <c r="TUC183" s="11"/>
      <c r="TUD183" s="12"/>
      <c r="TUM183" s="11"/>
      <c r="TUN183" s="12"/>
      <c r="TUW183" s="11"/>
      <c r="TUX183" s="12"/>
      <c r="TVG183" s="11"/>
      <c r="TVH183" s="12"/>
      <c r="TVQ183" s="11"/>
      <c r="TVR183" s="12"/>
      <c r="TWA183" s="11"/>
      <c r="TWB183" s="12"/>
      <c r="TWK183" s="11"/>
      <c r="TWL183" s="12"/>
      <c r="TWU183" s="11"/>
      <c r="TWV183" s="12"/>
      <c r="TXE183" s="11"/>
      <c r="TXF183" s="12"/>
      <c r="TXO183" s="11"/>
      <c r="TXP183" s="12"/>
      <c r="TXY183" s="11"/>
      <c r="TXZ183" s="12"/>
      <c r="TYI183" s="11"/>
      <c r="TYJ183" s="12"/>
      <c r="TYS183" s="11"/>
      <c r="TYT183" s="12"/>
      <c r="TZC183" s="11"/>
      <c r="TZD183" s="12"/>
      <c r="TZM183" s="11"/>
      <c r="TZN183" s="12"/>
      <c r="TZW183" s="11"/>
      <c r="TZX183" s="12"/>
      <c r="UAG183" s="11"/>
      <c r="UAH183" s="12"/>
      <c r="UAQ183" s="11"/>
      <c r="UAR183" s="12"/>
      <c r="UBA183" s="11"/>
      <c r="UBB183" s="12"/>
      <c r="UBK183" s="11"/>
      <c r="UBL183" s="12"/>
      <c r="UBU183" s="11"/>
      <c r="UBV183" s="12"/>
      <c r="UCE183" s="11"/>
      <c r="UCF183" s="12"/>
      <c r="UCO183" s="11"/>
      <c r="UCP183" s="12"/>
      <c r="UCY183" s="11"/>
      <c r="UCZ183" s="12"/>
      <c r="UDI183" s="11"/>
      <c r="UDJ183" s="12"/>
      <c r="UDS183" s="11"/>
      <c r="UDT183" s="12"/>
      <c r="UEC183" s="11"/>
      <c r="UED183" s="12"/>
      <c r="UEM183" s="11"/>
      <c r="UEN183" s="12"/>
      <c r="UEW183" s="11"/>
      <c r="UEX183" s="12"/>
      <c r="UFG183" s="11"/>
      <c r="UFH183" s="12"/>
      <c r="UFQ183" s="11"/>
      <c r="UFR183" s="12"/>
      <c r="UGA183" s="11"/>
      <c r="UGB183" s="12"/>
      <c r="UGK183" s="11"/>
      <c r="UGL183" s="12"/>
      <c r="UGU183" s="11"/>
      <c r="UGV183" s="12"/>
      <c r="UHE183" s="11"/>
      <c r="UHF183" s="12"/>
      <c r="UHO183" s="11"/>
      <c r="UHP183" s="12"/>
      <c r="UHY183" s="11"/>
      <c r="UHZ183" s="12"/>
      <c r="UII183" s="11"/>
      <c r="UIJ183" s="12"/>
      <c r="UIS183" s="11"/>
      <c r="UIT183" s="12"/>
      <c r="UJC183" s="11"/>
      <c r="UJD183" s="12"/>
      <c r="UJM183" s="11"/>
      <c r="UJN183" s="12"/>
      <c r="UJW183" s="11"/>
      <c r="UJX183" s="12"/>
      <c r="UKG183" s="11"/>
      <c r="UKH183" s="12"/>
      <c r="UKQ183" s="11"/>
      <c r="UKR183" s="12"/>
      <c r="ULA183" s="11"/>
      <c r="ULB183" s="12"/>
      <c r="ULK183" s="11"/>
      <c r="ULL183" s="12"/>
      <c r="ULU183" s="11"/>
      <c r="ULV183" s="12"/>
      <c r="UME183" s="11"/>
      <c r="UMF183" s="12"/>
      <c r="UMO183" s="11"/>
      <c r="UMP183" s="12"/>
      <c r="UMY183" s="11"/>
      <c r="UMZ183" s="12"/>
      <c r="UNI183" s="11"/>
      <c r="UNJ183" s="12"/>
      <c r="UNS183" s="11"/>
      <c r="UNT183" s="12"/>
      <c r="UOC183" s="11"/>
      <c r="UOD183" s="12"/>
      <c r="UOM183" s="11"/>
      <c r="UON183" s="12"/>
      <c r="UOW183" s="11"/>
      <c r="UOX183" s="12"/>
      <c r="UPG183" s="11"/>
      <c r="UPH183" s="12"/>
      <c r="UPQ183" s="11"/>
      <c r="UPR183" s="12"/>
      <c r="UQA183" s="11"/>
      <c r="UQB183" s="12"/>
      <c r="UQK183" s="11"/>
      <c r="UQL183" s="12"/>
      <c r="UQU183" s="11"/>
      <c r="UQV183" s="12"/>
      <c r="URE183" s="11"/>
      <c r="URF183" s="12"/>
      <c r="URO183" s="11"/>
      <c r="URP183" s="12"/>
      <c r="URY183" s="11"/>
      <c r="URZ183" s="12"/>
      <c r="USI183" s="11"/>
      <c r="USJ183" s="12"/>
      <c r="USS183" s="11"/>
      <c r="UST183" s="12"/>
      <c r="UTC183" s="11"/>
      <c r="UTD183" s="12"/>
      <c r="UTM183" s="11"/>
      <c r="UTN183" s="12"/>
      <c r="UTW183" s="11"/>
      <c r="UTX183" s="12"/>
      <c r="UUG183" s="11"/>
      <c r="UUH183" s="12"/>
      <c r="UUQ183" s="11"/>
      <c r="UUR183" s="12"/>
      <c r="UVA183" s="11"/>
      <c r="UVB183" s="12"/>
      <c r="UVK183" s="11"/>
      <c r="UVL183" s="12"/>
      <c r="UVU183" s="11"/>
      <c r="UVV183" s="12"/>
      <c r="UWE183" s="11"/>
      <c r="UWF183" s="12"/>
      <c r="UWO183" s="11"/>
      <c r="UWP183" s="12"/>
      <c r="UWY183" s="11"/>
      <c r="UWZ183" s="12"/>
      <c r="UXI183" s="11"/>
      <c r="UXJ183" s="12"/>
      <c r="UXS183" s="11"/>
      <c r="UXT183" s="12"/>
      <c r="UYC183" s="11"/>
      <c r="UYD183" s="12"/>
      <c r="UYM183" s="11"/>
      <c r="UYN183" s="12"/>
      <c r="UYW183" s="11"/>
      <c r="UYX183" s="12"/>
      <c r="UZG183" s="11"/>
      <c r="UZH183" s="12"/>
      <c r="UZQ183" s="11"/>
      <c r="UZR183" s="12"/>
      <c r="VAA183" s="11"/>
      <c r="VAB183" s="12"/>
      <c r="VAK183" s="11"/>
      <c r="VAL183" s="12"/>
      <c r="VAU183" s="11"/>
      <c r="VAV183" s="12"/>
      <c r="VBE183" s="11"/>
      <c r="VBF183" s="12"/>
      <c r="VBO183" s="11"/>
      <c r="VBP183" s="12"/>
      <c r="VBY183" s="11"/>
      <c r="VBZ183" s="12"/>
      <c r="VCI183" s="11"/>
      <c r="VCJ183" s="12"/>
      <c r="VCS183" s="11"/>
      <c r="VCT183" s="12"/>
      <c r="VDC183" s="11"/>
      <c r="VDD183" s="12"/>
      <c r="VDM183" s="11"/>
      <c r="VDN183" s="12"/>
      <c r="VDW183" s="11"/>
      <c r="VDX183" s="12"/>
      <c r="VEG183" s="11"/>
      <c r="VEH183" s="12"/>
      <c r="VEQ183" s="11"/>
      <c r="VER183" s="12"/>
      <c r="VFA183" s="11"/>
      <c r="VFB183" s="12"/>
      <c r="VFK183" s="11"/>
      <c r="VFL183" s="12"/>
      <c r="VFU183" s="11"/>
      <c r="VFV183" s="12"/>
      <c r="VGE183" s="11"/>
      <c r="VGF183" s="12"/>
      <c r="VGO183" s="11"/>
      <c r="VGP183" s="12"/>
      <c r="VGY183" s="11"/>
      <c r="VGZ183" s="12"/>
      <c r="VHI183" s="11"/>
      <c r="VHJ183" s="12"/>
      <c r="VHS183" s="11"/>
      <c r="VHT183" s="12"/>
      <c r="VIC183" s="11"/>
      <c r="VID183" s="12"/>
      <c r="VIM183" s="11"/>
      <c r="VIN183" s="12"/>
      <c r="VIW183" s="11"/>
      <c r="VIX183" s="12"/>
      <c r="VJG183" s="11"/>
      <c r="VJH183" s="12"/>
      <c r="VJQ183" s="11"/>
      <c r="VJR183" s="12"/>
      <c r="VKA183" s="11"/>
      <c r="VKB183" s="12"/>
      <c r="VKK183" s="11"/>
      <c r="VKL183" s="12"/>
      <c r="VKU183" s="11"/>
      <c r="VKV183" s="12"/>
      <c r="VLE183" s="11"/>
      <c r="VLF183" s="12"/>
      <c r="VLO183" s="11"/>
      <c r="VLP183" s="12"/>
      <c r="VLY183" s="11"/>
      <c r="VLZ183" s="12"/>
      <c r="VMI183" s="11"/>
      <c r="VMJ183" s="12"/>
      <c r="VMS183" s="11"/>
      <c r="VMT183" s="12"/>
      <c r="VNC183" s="11"/>
      <c r="VND183" s="12"/>
      <c r="VNM183" s="11"/>
      <c r="VNN183" s="12"/>
      <c r="VNW183" s="11"/>
      <c r="VNX183" s="12"/>
      <c r="VOG183" s="11"/>
      <c r="VOH183" s="12"/>
      <c r="VOQ183" s="11"/>
      <c r="VOR183" s="12"/>
      <c r="VPA183" s="11"/>
      <c r="VPB183" s="12"/>
      <c r="VPK183" s="11"/>
      <c r="VPL183" s="12"/>
      <c r="VPU183" s="11"/>
      <c r="VPV183" s="12"/>
      <c r="VQE183" s="11"/>
      <c r="VQF183" s="12"/>
      <c r="VQO183" s="11"/>
      <c r="VQP183" s="12"/>
      <c r="VQY183" s="11"/>
      <c r="VQZ183" s="12"/>
      <c r="VRI183" s="11"/>
      <c r="VRJ183" s="12"/>
      <c r="VRS183" s="11"/>
      <c r="VRT183" s="12"/>
      <c r="VSC183" s="11"/>
      <c r="VSD183" s="12"/>
      <c r="VSM183" s="11"/>
      <c r="VSN183" s="12"/>
      <c r="VSW183" s="11"/>
      <c r="VSX183" s="12"/>
      <c r="VTG183" s="11"/>
      <c r="VTH183" s="12"/>
      <c r="VTQ183" s="11"/>
      <c r="VTR183" s="12"/>
      <c r="VUA183" s="11"/>
      <c r="VUB183" s="12"/>
      <c r="VUK183" s="11"/>
      <c r="VUL183" s="12"/>
      <c r="VUU183" s="11"/>
      <c r="VUV183" s="12"/>
      <c r="VVE183" s="11"/>
      <c r="VVF183" s="12"/>
      <c r="VVO183" s="11"/>
      <c r="VVP183" s="12"/>
      <c r="VVY183" s="11"/>
      <c r="VVZ183" s="12"/>
      <c r="VWI183" s="11"/>
      <c r="VWJ183" s="12"/>
      <c r="VWS183" s="11"/>
      <c r="VWT183" s="12"/>
      <c r="VXC183" s="11"/>
      <c r="VXD183" s="12"/>
      <c r="VXM183" s="11"/>
      <c r="VXN183" s="12"/>
      <c r="VXW183" s="11"/>
      <c r="VXX183" s="12"/>
      <c r="VYG183" s="11"/>
      <c r="VYH183" s="12"/>
      <c r="VYQ183" s="11"/>
      <c r="VYR183" s="12"/>
      <c r="VZA183" s="11"/>
      <c r="VZB183" s="12"/>
      <c r="VZK183" s="11"/>
      <c r="VZL183" s="12"/>
      <c r="VZU183" s="11"/>
      <c r="VZV183" s="12"/>
      <c r="WAE183" s="11"/>
      <c r="WAF183" s="12"/>
      <c r="WAO183" s="11"/>
      <c r="WAP183" s="12"/>
      <c r="WAY183" s="11"/>
      <c r="WAZ183" s="12"/>
      <c r="WBI183" s="11"/>
      <c r="WBJ183" s="12"/>
      <c r="WBS183" s="11"/>
      <c r="WBT183" s="12"/>
      <c r="WCC183" s="11"/>
      <c r="WCD183" s="12"/>
      <c r="WCM183" s="11"/>
      <c r="WCN183" s="12"/>
      <c r="WCW183" s="11"/>
      <c r="WCX183" s="12"/>
      <c r="WDG183" s="11"/>
      <c r="WDH183" s="12"/>
      <c r="WDQ183" s="11"/>
      <c r="WDR183" s="12"/>
      <c r="WEA183" s="11"/>
      <c r="WEB183" s="12"/>
      <c r="WEK183" s="11"/>
      <c r="WEL183" s="12"/>
      <c r="WEU183" s="11"/>
      <c r="WEV183" s="12"/>
      <c r="WFE183" s="11"/>
      <c r="WFF183" s="12"/>
      <c r="WFO183" s="11"/>
      <c r="WFP183" s="12"/>
      <c r="WFY183" s="11"/>
      <c r="WFZ183" s="12"/>
      <c r="WGI183" s="11"/>
      <c r="WGJ183" s="12"/>
      <c r="WGS183" s="11"/>
      <c r="WGT183" s="12"/>
      <c r="WHC183" s="11"/>
      <c r="WHD183" s="12"/>
      <c r="WHM183" s="11"/>
      <c r="WHN183" s="12"/>
      <c r="WHW183" s="11"/>
      <c r="WHX183" s="12"/>
      <c r="WIG183" s="11"/>
      <c r="WIH183" s="12"/>
      <c r="WIQ183" s="11"/>
      <c r="WIR183" s="12"/>
      <c r="WJA183" s="11"/>
      <c r="WJB183" s="12"/>
      <c r="WJK183" s="11"/>
      <c r="WJL183" s="12"/>
      <c r="WJU183" s="11"/>
      <c r="WJV183" s="12"/>
      <c r="WKE183" s="11"/>
      <c r="WKF183" s="12"/>
      <c r="WKO183" s="11"/>
      <c r="WKP183" s="12"/>
      <c r="WKY183" s="11"/>
      <c r="WKZ183" s="12"/>
      <c r="WLI183" s="11"/>
      <c r="WLJ183" s="12"/>
      <c r="WLS183" s="11"/>
      <c r="WLT183" s="12"/>
      <c r="WMC183" s="11"/>
      <c r="WMD183" s="12"/>
      <c r="WMM183" s="11"/>
      <c r="WMN183" s="12"/>
      <c r="WMW183" s="11"/>
      <c r="WMX183" s="12"/>
      <c r="WNG183" s="11"/>
      <c r="WNH183" s="12"/>
      <c r="WNQ183" s="11"/>
      <c r="WNR183" s="12"/>
      <c r="WOA183" s="11"/>
      <c r="WOB183" s="12"/>
      <c r="WOK183" s="11"/>
      <c r="WOL183" s="12"/>
      <c r="WOU183" s="11"/>
      <c r="WOV183" s="12"/>
      <c r="WPE183" s="11"/>
      <c r="WPF183" s="12"/>
      <c r="WPO183" s="11"/>
      <c r="WPP183" s="12"/>
      <c r="WPY183" s="11"/>
      <c r="WPZ183" s="12"/>
      <c r="WQI183" s="11"/>
      <c r="WQJ183" s="12"/>
      <c r="WQS183" s="11"/>
      <c r="WQT183" s="12"/>
      <c r="WRC183" s="11"/>
      <c r="WRD183" s="12"/>
      <c r="WRM183" s="11"/>
      <c r="WRN183" s="12"/>
      <c r="WRW183" s="11"/>
      <c r="WRX183" s="12"/>
      <c r="WSG183" s="11"/>
      <c r="WSH183" s="12"/>
      <c r="WSQ183" s="11"/>
      <c r="WSR183" s="12"/>
      <c r="WTA183" s="11"/>
      <c r="WTB183" s="12"/>
      <c r="WTK183" s="11"/>
      <c r="WTL183" s="12"/>
      <c r="WTU183" s="11"/>
      <c r="WTV183" s="12"/>
      <c r="WUE183" s="11"/>
      <c r="WUF183" s="12"/>
      <c r="WUO183" s="11"/>
      <c r="WUP183" s="12"/>
      <c r="WUY183" s="11"/>
      <c r="WUZ183" s="12"/>
      <c r="WVI183" s="11"/>
      <c r="WVJ183" s="12"/>
      <c r="WVS183" s="11"/>
      <c r="WVT183" s="12"/>
      <c r="WWC183" s="11"/>
      <c r="WWD183" s="12"/>
      <c r="WWM183" s="11"/>
      <c r="WWN183" s="12"/>
      <c r="WWW183" s="11"/>
      <c r="WWX183" s="12"/>
      <c r="WXG183" s="11"/>
      <c r="WXH183" s="12"/>
      <c r="WXQ183" s="11"/>
      <c r="WXR183" s="12"/>
      <c r="WYA183" s="11"/>
      <c r="WYB183" s="12"/>
      <c r="WYK183" s="11"/>
      <c r="WYL183" s="12"/>
      <c r="WYU183" s="11"/>
      <c r="WYV183" s="12"/>
      <c r="WZE183" s="11"/>
      <c r="WZF183" s="12"/>
      <c r="WZO183" s="11"/>
      <c r="WZP183" s="12"/>
      <c r="WZY183" s="11"/>
      <c r="WZZ183" s="12"/>
      <c r="XAI183" s="11"/>
      <c r="XAJ183" s="12"/>
      <c r="XAS183" s="11"/>
      <c r="XAT183" s="12"/>
      <c r="XBC183" s="11"/>
      <c r="XBD183" s="12"/>
      <c r="XBM183" s="11"/>
      <c r="XBN183" s="12"/>
      <c r="XBW183" s="11"/>
      <c r="XBX183" s="12"/>
      <c r="XCG183" s="11"/>
      <c r="XCH183" s="12"/>
      <c r="XCQ183" s="11"/>
      <c r="XCR183" s="12"/>
      <c r="XDA183" s="11"/>
      <c r="XDB183" s="12"/>
      <c r="XDK183" s="11"/>
      <c r="XDL183" s="12"/>
      <c r="XDU183" s="11"/>
      <c r="XDV183" s="12"/>
      <c r="XEE183" s="11"/>
      <c r="XEF183" s="12"/>
      <c r="XEO183" s="11"/>
      <c r="XEP183" s="12"/>
      <c r="XEY183" s="11"/>
      <c r="XEZ183" s="12"/>
    </row>
    <row r="184" spans="1:1020 1029:2040 2049:3070 3079:4090 4099:5120 5129:6140 6149:7160 7169:8190 8199:9210 9219:10240 10249:11260 11269:12280 12289:13310 13319:14330 14339:15360 15369:16380" s="10" customFormat="1" ht="27.6" x14ac:dyDescent="0.3">
      <c r="A184"/>
      <c r="B184"/>
      <c r="C184"/>
      <c r="D184"/>
      <c r="E184"/>
      <c r="F184"/>
      <c r="G184"/>
      <c r="H184" s="32" t="s">
        <v>9</v>
      </c>
      <c r="I184" s="33" t="s">
        <v>14</v>
      </c>
      <c r="J184" s="34" t="s">
        <v>16</v>
      </c>
      <c r="K184" s="35" t="s">
        <v>290</v>
      </c>
      <c r="L184" s="33" t="s">
        <v>274</v>
      </c>
      <c r="M184" s="33"/>
      <c r="N184" s="36"/>
      <c r="O184" s="33">
        <v>1</v>
      </c>
      <c r="P184" s="33">
        <f>IF(Tabela1[[#This Row],[Status]]="✔️",Tabela1[[#This Row],[Peso]],IF(Tabela1[[#This Row],[Status]]="✔️✔️",Tabela1[[#This Row],[Peso]]/2,0))</f>
        <v>0</v>
      </c>
      <c r="Q18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4" s="33" t="s">
        <v>264</v>
      </c>
      <c r="S184" s="37" t="s">
        <v>263</v>
      </c>
      <c r="T184" s="12"/>
      <c r="AC184" s="11"/>
      <c r="AD184" s="12"/>
      <c r="AM184" s="11"/>
      <c r="AN184" s="12"/>
      <c r="AW184" s="11"/>
      <c r="AX184" s="12"/>
      <c r="BG184" s="11"/>
      <c r="BH184" s="12"/>
      <c r="BQ184" s="11"/>
      <c r="BR184" s="12"/>
      <c r="CA184" s="11"/>
      <c r="CB184" s="12"/>
      <c r="CK184" s="11"/>
      <c r="CL184" s="12"/>
      <c r="CU184" s="11"/>
      <c r="CV184" s="12"/>
      <c r="DE184" s="11"/>
      <c r="DF184" s="12"/>
      <c r="DO184" s="11"/>
      <c r="DP184" s="12"/>
      <c r="DY184" s="11"/>
      <c r="DZ184" s="12"/>
      <c r="EI184" s="11"/>
      <c r="EJ184" s="12"/>
      <c r="ES184" s="11"/>
      <c r="ET184" s="12"/>
      <c r="FC184" s="11"/>
      <c r="FD184" s="12"/>
      <c r="FM184" s="11"/>
      <c r="FN184" s="12"/>
      <c r="FW184" s="11"/>
      <c r="FX184" s="12"/>
      <c r="GG184" s="11"/>
      <c r="GH184" s="12"/>
      <c r="GQ184" s="11"/>
      <c r="GR184" s="12"/>
      <c r="HA184" s="11"/>
      <c r="HB184" s="12"/>
      <c r="HK184" s="11"/>
      <c r="HL184" s="12"/>
      <c r="HU184" s="11"/>
      <c r="HV184" s="12"/>
      <c r="IE184" s="11"/>
      <c r="IF184" s="12"/>
      <c r="IO184" s="11"/>
      <c r="IP184" s="12"/>
      <c r="IY184" s="11"/>
      <c r="IZ184" s="12"/>
      <c r="JI184" s="11"/>
      <c r="JJ184" s="12"/>
      <c r="JS184" s="11"/>
      <c r="JT184" s="12"/>
      <c r="KC184" s="11"/>
      <c r="KD184" s="12"/>
      <c r="KM184" s="11"/>
      <c r="KN184" s="12"/>
      <c r="KW184" s="11"/>
      <c r="KX184" s="12"/>
      <c r="LG184" s="11"/>
      <c r="LH184" s="12"/>
      <c r="LQ184" s="11"/>
      <c r="LR184" s="12"/>
      <c r="MA184" s="11"/>
      <c r="MB184" s="12"/>
      <c r="MK184" s="11"/>
      <c r="ML184" s="12"/>
      <c r="MU184" s="11"/>
      <c r="MV184" s="12"/>
      <c r="NE184" s="11"/>
      <c r="NF184" s="12"/>
      <c r="NO184" s="11"/>
      <c r="NP184" s="12"/>
      <c r="NY184" s="11"/>
      <c r="NZ184" s="12"/>
      <c r="OI184" s="11"/>
      <c r="OJ184" s="12"/>
      <c r="OS184" s="11"/>
      <c r="OT184" s="12"/>
      <c r="PC184" s="11"/>
      <c r="PD184" s="12"/>
      <c r="PM184" s="11"/>
      <c r="PN184" s="12"/>
      <c r="PW184" s="11"/>
      <c r="PX184" s="12"/>
      <c r="QG184" s="11"/>
      <c r="QH184" s="12"/>
      <c r="QQ184" s="11"/>
      <c r="QR184" s="12"/>
      <c r="RA184" s="11"/>
      <c r="RB184" s="12"/>
      <c r="RK184" s="11"/>
      <c r="RL184" s="12"/>
      <c r="RU184" s="11"/>
      <c r="RV184" s="12"/>
      <c r="SE184" s="11"/>
      <c r="SF184" s="12"/>
      <c r="SO184" s="11"/>
      <c r="SP184" s="12"/>
      <c r="SY184" s="11"/>
      <c r="SZ184" s="12"/>
      <c r="TI184" s="11"/>
      <c r="TJ184" s="12"/>
      <c r="TS184" s="11"/>
      <c r="TT184" s="12"/>
      <c r="UC184" s="11"/>
      <c r="UD184" s="12"/>
      <c r="UM184" s="11"/>
      <c r="UN184" s="12"/>
      <c r="UW184" s="11"/>
      <c r="UX184" s="12"/>
      <c r="VG184" s="11"/>
      <c r="VH184" s="12"/>
      <c r="VQ184" s="11"/>
      <c r="VR184" s="12"/>
      <c r="WA184" s="11"/>
      <c r="WB184" s="12"/>
      <c r="WK184" s="11"/>
      <c r="WL184" s="12"/>
      <c r="WU184" s="11"/>
      <c r="WV184" s="12"/>
      <c r="XE184" s="11"/>
      <c r="XF184" s="12"/>
      <c r="XO184" s="11"/>
      <c r="XP184" s="12"/>
      <c r="XY184" s="11"/>
      <c r="XZ184" s="12"/>
      <c r="YI184" s="11"/>
      <c r="YJ184" s="12"/>
      <c r="YS184" s="11"/>
      <c r="YT184" s="12"/>
      <c r="ZC184" s="11"/>
      <c r="ZD184" s="12"/>
      <c r="ZM184" s="11"/>
      <c r="ZN184" s="12"/>
      <c r="ZW184" s="11"/>
      <c r="ZX184" s="12"/>
      <c r="AAG184" s="11"/>
      <c r="AAH184" s="12"/>
      <c r="AAQ184" s="11"/>
      <c r="AAR184" s="12"/>
      <c r="ABA184" s="11"/>
      <c r="ABB184" s="12"/>
      <c r="ABK184" s="11"/>
      <c r="ABL184" s="12"/>
      <c r="ABU184" s="11"/>
      <c r="ABV184" s="12"/>
      <c r="ACE184" s="11"/>
      <c r="ACF184" s="12"/>
      <c r="ACO184" s="11"/>
      <c r="ACP184" s="12"/>
      <c r="ACY184" s="11"/>
      <c r="ACZ184" s="12"/>
      <c r="ADI184" s="11"/>
      <c r="ADJ184" s="12"/>
      <c r="ADS184" s="11"/>
      <c r="ADT184" s="12"/>
      <c r="AEC184" s="11"/>
      <c r="AED184" s="12"/>
      <c r="AEM184" s="11"/>
      <c r="AEN184" s="12"/>
      <c r="AEW184" s="11"/>
      <c r="AEX184" s="12"/>
      <c r="AFG184" s="11"/>
      <c r="AFH184" s="12"/>
      <c r="AFQ184" s="11"/>
      <c r="AFR184" s="12"/>
      <c r="AGA184" s="11"/>
      <c r="AGB184" s="12"/>
      <c r="AGK184" s="11"/>
      <c r="AGL184" s="12"/>
      <c r="AGU184" s="11"/>
      <c r="AGV184" s="12"/>
      <c r="AHE184" s="11"/>
      <c r="AHF184" s="12"/>
      <c r="AHO184" s="11"/>
      <c r="AHP184" s="12"/>
      <c r="AHY184" s="11"/>
      <c r="AHZ184" s="12"/>
      <c r="AII184" s="11"/>
      <c r="AIJ184" s="12"/>
      <c r="AIS184" s="11"/>
      <c r="AIT184" s="12"/>
      <c r="AJC184" s="11"/>
      <c r="AJD184" s="12"/>
      <c r="AJM184" s="11"/>
      <c r="AJN184" s="12"/>
      <c r="AJW184" s="11"/>
      <c r="AJX184" s="12"/>
      <c r="AKG184" s="11"/>
      <c r="AKH184" s="12"/>
      <c r="AKQ184" s="11"/>
      <c r="AKR184" s="12"/>
      <c r="ALA184" s="11"/>
      <c r="ALB184" s="12"/>
      <c r="ALK184" s="11"/>
      <c r="ALL184" s="12"/>
      <c r="ALU184" s="11"/>
      <c r="ALV184" s="12"/>
      <c r="AME184" s="11"/>
      <c r="AMF184" s="12"/>
      <c r="AMO184" s="11"/>
      <c r="AMP184" s="12"/>
      <c r="AMY184" s="11"/>
      <c r="AMZ184" s="12"/>
      <c r="ANI184" s="11"/>
      <c r="ANJ184" s="12"/>
      <c r="ANS184" s="11"/>
      <c r="ANT184" s="12"/>
      <c r="AOC184" s="11"/>
      <c r="AOD184" s="12"/>
      <c r="AOM184" s="11"/>
      <c r="AON184" s="12"/>
      <c r="AOW184" s="11"/>
      <c r="AOX184" s="12"/>
      <c r="APG184" s="11"/>
      <c r="APH184" s="12"/>
      <c r="APQ184" s="11"/>
      <c r="APR184" s="12"/>
      <c r="AQA184" s="11"/>
      <c r="AQB184" s="12"/>
      <c r="AQK184" s="11"/>
      <c r="AQL184" s="12"/>
      <c r="AQU184" s="11"/>
      <c r="AQV184" s="12"/>
      <c r="ARE184" s="11"/>
      <c r="ARF184" s="12"/>
      <c r="ARO184" s="11"/>
      <c r="ARP184" s="12"/>
      <c r="ARY184" s="11"/>
      <c r="ARZ184" s="12"/>
      <c r="ASI184" s="11"/>
      <c r="ASJ184" s="12"/>
      <c r="ASS184" s="11"/>
      <c r="AST184" s="12"/>
      <c r="ATC184" s="11"/>
      <c r="ATD184" s="12"/>
      <c r="ATM184" s="11"/>
      <c r="ATN184" s="12"/>
      <c r="ATW184" s="11"/>
      <c r="ATX184" s="12"/>
      <c r="AUG184" s="11"/>
      <c r="AUH184" s="12"/>
      <c r="AUQ184" s="11"/>
      <c r="AUR184" s="12"/>
      <c r="AVA184" s="11"/>
      <c r="AVB184" s="12"/>
      <c r="AVK184" s="11"/>
      <c r="AVL184" s="12"/>
      <c r="AVU184" s="11"/>
      <c r="AVV184" s="12"/>
      <c r="AWE184" s="11"/>
      <c r="AWF184" s="12"/>
      <c r="AWO184" s="11"/>
      <c r="AWP184" s="12"/>
      <c r="AWY184" s="11"/>
      <c r="AWZ184" s="12"/>
      <c r="AXI184" s="11"/>
      <c r="AXJ184" s="12"/>
      <c r="AXS184" s="11"/>
      <c r="AXT184" s="12"/>
      <c r="AYC184" s="11"/>
      <c r="AYD184" s="12"/>
      <c r="AYM184" s="11"/>
      <c r="AYN184" s="12"/>
      <c r="AYW184" s="11"/>
      <c r="AYX184" s="12"/>
      <c r="AZG184" s="11"/>
      <c r="AZH184" s="12"/>
      <c r="AZQ184" s="11"/>
      <c r="AZR184" s="12"/>
      <c r="BAA184" s="11"/>
      <c r="BAB184" s="12"/>
      <c r="BAK184" s="11"/>
      <c r="BAL184" s="12"/>
      <c r="BAU184" s="11"/>
      <c r="BAV184" s="12"/>
      <c r="BBE184" s="11"/>
      <c r="BBF184" s="12"/>
      <c r="BBO184" s="11"/>
      <c r="BBP184" s="12"/>
      <c r="BBY184" s="11"/>
      <c r="BBZ184" s="12"/>
      <c r="BCI184" s="11"/>
      <c r="BCJ184" s="12"/>
      <c r="BCS184" s="11"/>
      <c r="BCT184" s="12"/>
      <c r="BDC184" s="11"/>
      <c r="BDD184" s="12"/>
      <c r="BDM184" s="11"/>
      <c r="BDN184" s="12"/>
      <c r="BDW184" s="11"/>
      <c r="BDX184" s="12"/>
      <c r="BEG184" s="11"/>
      <c r="BEH184" s="12"/>
      <c r="BEQ184" s="11"/>
      <c r="BER184" s="12"/>
      <c r="BFA184" s="11"/>
      <c r="BFB184" s="12"/>
      <c r="BFK184" s="11"/>
      <c r="BFL184" s="12"/>
      <c r="BFU184" s="11"/>
      <c r="BFV184" s="12"/>
      <c r="BGE184" s="11"/>
      <c r="BGF184" s="12"/>
      <c r="BGO184" s="11"/>
      <c r="BGP184" s="12"/>
      <c r="BGY184" s="11"/>
      <c r="BGZ184" s="12"/>
      <c r="BHI184" s="11"/>
      <c r="BHJ184" s="12"/>
      <c r="BHS184" s="11"/>
      <c r="BHT184" s="12"/>
      <c r="BIC184" s="11"/>
      <c r="BID184" s="12"/>
      <c r="BIM184" s="11"/>
      <c r="BIN184" s="12"/>
      <c r="BIW184" s="11"/>
      <c r="BIX184" s="12"/>
      <c r="BJG184" s="11"/>
      <c r="BJH184" s="12"/>
      <c r="BJQ184" s="11"/>
      <c r="BJR184" s="12"/>
      <c r="BKA184" s="11"/>
      <c r="BKB184" s="12"/>
      <c r="BKK184" s="11"/>
      <c r="BKL184" s="12"/>
      <c r="BKU184" s="11"/>
      <c r="BKV184" s="12"/>
      <c r="BLE184" s="11"/>
      <c r="BLF184" s="12"/>
      <c r="BLO184" s="11"/>
      <c r="BLP184" s="12"/>
      <c r="BLY184" s="11"/>
      <c r="BLZ184" s="12"/>
      <c r="BMI184" s="11"/>
      <c r="BMJ184" s="12"/>
      <c r="BMS184" s="11"/>
      <c r="BMT184" s="12"/>
      <c r="BNC184" s="11"/>
      <c r="BND184" s="12"/>
      <c r="BNM184" s="11"/>
      <c r="BNN184" s="12"/>
      <c r="BNW184" s="11"/>
      <c r="BNX184" s="12"/>
      <c r="BOG184" s="11"/>
      <c r="BOH184" s="12"/>
      <c r="BOQ184" s="11"/>
      <c r="BOR184" s="12"/>
      <c r="BPA184" s="11"/>
      <c r="BPB184" s="12"/>
      <c r="BPK184" s="11"/>
      <c r="BPL184" s="12"/>
      <c r="BPU184" s="11"/>
      <c r="BPV184" s="12"/>
      <c r="BQE184" s="11"/>
      <c r="BQF184" s="12"/>
      <c r="BQO184" s="11"/>
      <c r="BQP184" s="12"/>
      <c r="BQY184" s="11"/>
      <c r="BQZ184" s="12"/>
      <c r="BRI184" s="11"/>
      <c r="BRJ184" s="12"/>
      <c r="BRS184" s="11"/>
      <c r="BRT184" s="12"/>
      <c r="BSC184" s="11"/>
      <c r="BSD184" s="12"/>
      <c r="BSM184" s="11"/>
      <c r="BSN184" s="12"/>
      <c r="BSW184" s="11"/>
      <c r="BSX184" s="12"/>
      <c r="BTG184" s="11"/>
      <c r="BTH184" s="12"/>
      <c r="BTQ184" s="11"/>
      <c r="BTR184" s="12"/>
      <c r="BUA184" s="11"/>
      <c r="BUB184" s="12"/>
      <c r="BUK184" s="11"/>
      <c r="BUL184" s="12"/>
      <c r="BUU184" s="11"/>
      <c r="BUV184" s="12"/>
      <c r="BVE184" s="11"/>
      <c r="BVF184" s="12"/>
      <c r="BVO184" s="11"/>
      <c r="BVP184" s="12"/>
      <c r="BVY184" s="11"/>
      <c r="BVZ184" s="12"/>
      <c r="BWI184" s="11"/>
      <c r="BWJ184" s="12"/>
      <c r="BWS184" s="11"/>
      <c r="BWT184" s="12"/>
      <c r="BXC184" s="11"/>
      <c r="BXD184" s="12"/>
      <c r="BXM184" s="11"/>
      <c r="BXN184" s="12"/>
      <c r="BXW184" s="11"/>
      <c r="BXX184" s="12"/>
      <c r="BYG184" s="11"/>
      <c r="BYH184" s="12"/>
      <c r="BYQ184" s="11"/>
      <c r="BYR184" s="12"/>
      <c r="BZA184" s="11"/>
      <c r="BZB184" s="12"/>
      <c r="BZK184" s="11"/>
      <c r="BZL184" s="12"/>
      <c r="BZU184" s="11"/>
      <c r="BZV184" s="12"/>
      <c r="CAE184" s="11"/>
      <c r="CAF184" s="12"/>
      <c r="CAO184" s="11"/>
      <c r="CAP184" s="12"/>
      <c r="CAY184" s="11"/>
      <c r="CAZ184" s="12"/>
      <c r="CBI184" s="11"/>
      <c r="CBJ184" s="12"/>
      <c r="CBS184" s="11"/>
      <c r="CBT184" s="12"/>
      <c r="CCC184" s="11"/>
      <c r="CCD184" s="12"/>
      <c r="CCM184" s="11"/>
      <c r="CCN184" s="12"/>
      <c r="CCW184" s="11"/>
      <c r="CCX184" s="12"/>
      <c r="CDG184" s="11"/>
      <c r="CDH184" s="12"/>
      <c r="CDQ184" s="11"/>
      <c r="CDR184" s="12"/>
      <c r="CEA184" s="11"/>
      <c r="CEB184" s="12"/>
      <c r="CEK184" s="11"/>
      <c r="CEL184" s="12"/>
      <c r="CEU184" s="11"/>
      <c r="CEV184" s="12"/>
      <c r="CFE184" s="11"/>
      <c r="CFF184" s="12"/>
      <c r="CFO184" s="11"/>
      <c r="CFP184" s="12"/>
      <c r="CFY184" s="11"/>
      <c r="CFZ184" s="12"/>
      <c r="CGI184" s="11"/>
      <c r="CGJ184" s="12"/>
      <c r="CGS184" s="11"/>
      <c r="CGT184" s="12"/>
      <c r="CHC184" s="11"/>
      <c r="CHD184" s="12"/>
      <c r="CHM184" s="11"/>
      <c r="CHN184" s="12"/>
      <c r="CHW184" s="11"/>
      <c r="CHX184" s="12"/>
      <c r="CIG184" s="11"/>
      <c r="CIH184" s="12"/>
      <c r="CIQ184" s="11"/>
      <c r="CIR184" s="12"/>
      <c r="CJA184" s="11"/>
      <c r="CJB184" s="12"/>
      <c r="CJK184" s="11"/>
      <c r="CJL184" s="12"/>
      <c r="CJU184" s="11"/>
      <c r="CJV184" s="12"/>
      <c r="CKE184" s="11"/>
      <c r="CKF184" s="12"/>
      <c r="CKO184" s="11"/>
      <c r="CKP184" s="12"/>
      <c r="CKY184" s="11"/>
      <c r="CKZ184" s="12"/>
      <c r="CLI184" s="11"/>
      <c r="CLJ184" s="12"/>
      <c r="CLS184" s="11"/>
      <c r="CLT184" s="12"/>
      <c r="CMC184" s="11"/>
      <c r="CMD184" s="12"/>
      <c r="CMM184" s="11"/>
      <c r="CMN184" s="12"/>
      <c r="CMW184" s="11"/>
      <c r="CMX184" s="12"/>
      <c r="CNG184" s="11"/>
      <c r="CNH184" s="12"/>
      <c r="CNQ184" s="11"/>
      <c r="CNR184" s="12"/>
      <c r="COA184" s="11"/>
      <c r="COB184" s="12"/>
      <c r="COK184" s="11"/>
      <c r="COL184" s="12"/>
      <c r="COU184" s="11"/>
      <c r="COV184" s="12"/>
      <c r="CPE184" s="11"/>
      <c r="CPF184" s="12"/>
      <c r="CPO184" s="11"/>
      <c r="CPP184" s="12"/>
      <c r="CPY184" s="11"/>
      <c r="CPZ184" s="12"/>
      <c r="CQI184" s="11"/>
      <c r="CQJ184" s="12"/>
      <c r="CQS184" s="11"/>
      <c r="CQT184" s="12"/>
      <c r="CRC184" s="11"/>
      <c r="CRD184" s="12"/>
      <c r="CRM184" s="11"/>
      <c r="CRN184" s="12"/>
      <c r="CRW184" s="11"/>
      <c r="CRX184" s="12"/>
      <c r="CSG184" s="11"/>
      <c r="CSH184" s="12"/>
      <c r="CSQ184" s="11"/>
      <c r="CSR184" s="12"/>
      <c r="CTA184" s="11"/>
      <c r="CTB184" s="12"/>
      <c r="CTK184" s="11"/>
      <c r="CTL184" s="12"/>
      <c r="CTU184" s="11"/>
      <c r="CTV184" s="12"/>
      <c r="CUE184" s="11"/>
      <c r="CUF184" s="12"/>
      <c r="CUO184" s="11"/>
      <c r="CUP184" s="12"/>
      <c r="CUY184" s="11"/>
      <c r="CUZ184" s="12"/>
      <c r="CVI184" s="11"/>
      <c r="CVJ184" s="12"/>
      <c r="CVS184" s="11"/>
      <c r="CVT184" s="12"/>
      <c r="CWC184" s="11"/>
      <c r="CWD184" s="12"/>
      <c r="CWM184" s="11"/>
      <c r="CWN184" s="12"/>
      <c r="CWW184" s="11"/>
      <c r="CWX184" s="12"/>
      <c r="CXG184" s="11"/>
      <c r="CXH184" s="12"/>
      <c r="CXQ184" s="11"/>
      <c r="CXR184" s="12"/>
      <c r="CYA184" s="11"/>
      <c r="CYB184" s="12"/>
      <c r="CYK184" s="11"/>
      <c r="CYL184" s="12"/>
      <c r="CYU184" s="11"/>
      <c r="CYV184" s="12"/>
      <c r="CZE184" s="11"/>
      <c r="CZF184" s="12"/>
      <c r="CZO184" s="11"/>
      <c r="CZP184" s="12"/>
      <c r="CZY184" s="11"/>
      <c r="CZZ184" s="12"/>
      <c r="DAI184" s="11"/>
      <c r="DAJ184" s="12"/>
      <c r="DAS184" s="11"/>
      <c r="DAT184" s="12"/>
      <c r="DBC184" s="11"/>
      <c r="DBD184" s="12"/>
      <c r="DBM184" s="11"/>
      <c r="DBN184" s="12"/>
      <c r="DBW184" s="11"/>
      <c r="DBX184" s="12"/>
      <c r="DCG184" s="11"/>
      <c r="DCH184" s="12"/>
      <c r="DCQ184" s="11"/>
      <c r="DCR184" s="12"/>
      <c r="DDA184" s="11"/>
      <c r="DDB184" s="12"/>
      <c r="DDK184" s="11"/>
      <c r="DDL184" s="12"/>
      <c r="DDU184" s="11"/>
      <c r="DDV184" s="12"/>
      <c r="DEE184" s="11"/>
      <c r="DEF184" s="12"/>
      <c r="DEO184" s="11"/>
      <c r="DEP184" s="12"/>
      <c r="DEY184" s="11"/>
      <c r="DEZ184" s="12"/>
      <c r="DFI184" s="11"/>
      <c r="DFJ184" s="12"/>
      <c r="DFS184" s="11"/>
      <c r="DFT184" s="12"/>
      <c r="DGC184" s="11"/>
      <c r="DGD184" s="12"/>
      <c r="DGM184" s="11"/>
      <c r="DGN184" s="12"/>
      <c r="DGW184" s="11"/>
      <c r="DGX184" s="12"/>
      <c r="DHG184" s="11"/>
      <c r="DHH184" s="12"/>
      <c r="DHQ184" s="11"/>
      <c r="DHR184" s="12"/>
      <c r="DIA184" s="11"/>
      <c r="DIB184" s="12"/>
      <c r="DIK184" s="11"/>
      <c r="DIL184" s="12"/>
      <c r="DIU184" s="11"/>
      <c r="DIV184" s="12"/>
      <c r="DJE184" s="11"/>
      <c r="DJF184" s="12"/>
      <c r="DJO184" s="11"/>
      <c r="DJP184" s="12"/>
      <c r="DJY184" s="11"/>
      <c r="DJZ184" s="12"/>
      <c r="DKI184" s="11"/>
      <c r="DKJ184" s="12"/>
      <c r="DKS184" s="11"/>
      <c r="DKT184" s="12"/>
      <c r="DLC184" s="11"/>
      <c r="DLD184" s="12"/>
      <c r="DLM184" s="11"/>
      <c r="DLN184" s="12"/>
      <c r="DLW184" s="11"/>
      <c r="DLX184" s="12"/>
      <c r="DMG184" s="11"/>
      <c r="DMH184" s="12"/>
      <c r="DMQ184" s="11"/>
      <c r="DMR184" s="12"/>
      <c r="DNA184" s="11"/>
      <c r="DNB184" s="12"/>
      <c r="DNK184" s="11"/>
      <c r="DNL184" s="12"/>
      <c r="DNU184" s="11"/>
      <c r="DNV184" s="12"/>
      <c r="DOE184" s="11"/>
      <c r="DOF184" s="12"/>
      <c r="DOO184" s="11"/>
      <c r="DOP184" s="12"/>
      <c r="DOY184" s="11"/>
      <c r="DOZ184" s="12"/>
      <c r="DPI184" s="11"/>
      <c r="DPJ184" s="12"/>
      <c r="DPS184" s="11"/>
      <c r="DPT184" s="12"/>
      <c r="DQC184" s="11"/>
      <c r="DQD184" s="12"/>
      <c r="DQM184" s="11"/>
      <c r="DQN184" s="12"/>
      <c r="DQW184" s="11"/>
      <c r="DQX184" s="12"/>
      <c r="DRG184" s="11"/>
      <c r="DRH184" s="12"/>
      <c r="DRQ184" s="11"/>
      <c r="DRR184" s="12"/>
      <c r="DSA184" s="11"/>
      <c r="DSB184" s="12"/>
      <c r="DSK184" s="11"/>
      <c r="DSL184" s="12"/>
      <c r="DSU184" s="11"/>
      <c r="DSV184" s="12"/>
      <c r="DTE184" s="11"/>
      <c r="DTF184" s="12"/>
      <c r="DTO184" s="11"/>
      <c r="DTP184" s="12"/>
      <c r="DTY184" s="11"/>
      <c r="DTZ184" s="12"/>
      <c r="DUI184" s="11"/>
      <c r="DUJ184" s="12"/>
      <c r="DUS184" s="11"/>
      <c r="DUT184" s="12"/>
      <c r="DVC184" s="11"/>
      <c r="DVD184" s="12"/>
      <c r="DVM184" s="11"/>
      <c r="DVN184" s="12"/>
      <c r="DVW184" s="11"/>
      <c r="DVX184" s="12"/>
      <c r="DWG184" s="11"/>
      <c r="DWH184" s="12"/>
      <c r="DWQ184" s="11"/>
      <c r="DWR184" s="12"/>
      <c r="DXA184" s="11"/>
      <c r="DXB184" s="12"/>
      <c r="DXK184" s="11"/>
      <c r="DXL184" s="12"/>
      <c r="DXU184" s="11"/>
      <c r="DXV184" s="12"/>
      <c r="DYE184" s="11"/>
      <c r="DYF184" s="12"/>
      <c r="DYO184" s="11"/>
      <c r="DYP184" s="12"/>
      <c r="DYY184" s="11"/>
      <c r="DYZ184" s="12"/>
      <c r="DZI184" s="11"/>
      <c r="DZJ184" s="12"/>
      <c r="DZS184" s="11"/>
      <c r="DZT184" s="12"/>
      <c r="EAC184" s="11"/>
      <c r="EAD184" s="12"/>
      <c r="EAM184" s="11"/>
      <c r="EAN184" s="12"/>
      <c r="EAW184" s="11"/>
      <c r="EAX184" s="12"/>
      <c r="EBG184" s="11"/>
      <c r="EBH184" s="12"/>
      <c r="EBQ184" s="11"/>
      <c r="EBR184" s="12"/>
      <c r="ECA184" s="11"/>
      <c r="ECB184" s="12"/>
      <c r="ECK184" s="11"/>
      <c r="ECL184" s="12"/>
      <c r="ECU184" s="11"/>
      <c r="ECV184" s="12"/>
      <c r="EDE184" s="11"/>
      <c r="EDF184" s="12"/>
      <c r="EDO184" s="11"/>
      <c r="EDP184" s="12"/>
      <c r="EDY184" s="11"/>
      <c r="EDZ184" s="12"/>
      <c r="EEI184" s="11"/>
      <c r="EEJ184" s="12"/>
      <c r="EES184" s="11"/>
      <c r="EET184" s="12"/>
      <c r="EFC184" s="11"/>
      <c r="EFD184" s="12"/>
      <c r="EFM184" s="11"/>
      <c r="EFN184" s="12"/>
      <c r="EFW184" s="11"/>
      <c r="EFX184" s="12"/>
      <c r="EGG184" s="11"/>
      <c r="EGH184" s="12"/>
      <c r="EGQ184" s="11"/>
      <c r="EGR184" s="12"/>
      <c r="EHA184" s="11"/>
      <c r="EHB184" s="12"/>
      <c r="EHK184" s="11"/>
      <c r="EHL184" s="12"/>
      <c r="EHU184" s="11"/>
      <c r="EHV184" s="12"/>
      <c r="EIE184" s="11"/>
      <c r="EIF184" s="12"/>
      <c r="EIO184" s="11"/>
      <c r="EIP184" s="12"/>
      <c r="EIY184" s="11"/>
      <c r="EIZ184" s="12"/>
      <c r="EJI184" s="11"/>
      <c r="EJJ184" s="12"/>
      <c r="EJS184" s="11"/>
      <c r="EJT184" s="12"/>
      <c r="EKC184" s="11"/>
      <c r="EKD184" s="12"/>
      <c r="EKM184" s="11"/>
      <c r="EKN184" s="12"/>
      <c r="EKW184" s="11"/>
      <c r="EKX184" s="12"/>
      <c r="ELG184" s="11"/>
      <c r="ELH184" s="12"/>
      <c r="ELQ184" s="11"/>
      <c r="ELR184" s="12"/>
      <c r="EMA184" s="11"/>
      <c r="EMB184" s="12"/>
      <c r="EMK184" s="11"/>
      <c r="EML184" s="12"/>
      <c r="EMU184" s="11"/>
      <c r="EMV184" s="12"/>
      <c r="ENE184" s="11"/>
      <c r="ENF184" s="12"/>
      <c r="ENO184" s="11"/>
      <c r="ENP184" s="12"/>
      <c r="ENY184" s="11"/>
      <c r="ENZ184" s="12"/>
      <c r="EOI184" s="11"/>
      <c r="EOJ184" s="12"/>
      <c r="EOS184" s="11"/>
      <c r="EOT184" s="12"/>
      <c r="EPC184" s="11"/>
      <c r="EPD184" s="12"/>
      <c r="EPM184" s="11"/>
      <c r="EPN184" s="12"/>
      <c r="EPW184" s="11"/>
      <c r="EPX184" s="12"/>
      <c r="EQG184" s="11"/>
      <c r="EQH184" s="12"/>
      <c r="EQQ184" s="11"/>
      <c r="EQR184" s="12"/>
      <c r="ERA184" s="11"/>
      <c r="ERB184" s="12"/>
      <c r="ERK184" s="11"/>
      <c r="ERL184" s="12"/>
      <c r="ERU184" s="11"/>
      <c r="ERV184" s="12"/>
      <c r="ESE184" s="11"/>
      <c r="ESF184" s="12"/>
      <c r="ESO184" s="11"/>
      <c r="ESP184" s="12"/>
      <c r="ESY184" s="11"/>
      <c r="ESZ184" s="12"/>
      <c r="ETI184" s="11"/>
      <c r="ETJ184" s="12"/>
      <c r="ETS184" s="11"/>
      <c r="ETT184" s="12"/>
      <c r="EUC184" s="11"/>
      <c r="EUD184" s="12"/>
      <c r="EUM184" s="11"/>
      <c r="EUN184" s="12"/>
      <c r="EUW184" s="11"/>
      <c r="EUX184" s="12"/>
      <c r="EVG184" s="11"/>
      <c r="EVH184" s="12"/>
      <c r="EVQ184" s="11"/>
      <c r="EVR184" s="12"/>
      <c r="EWA184" s="11"/>
      <c r="EWB184" s="12"/>
      <c r="EWK184" s="11"/>
      <c r="EWL184" s="12"/>
      <c r="EWU184" s="11"/>
      <c r="EWV184" s="12"/>
      <c r="EXE184" s="11"/>
      <c r="EXF184" s="12"/>
      <c r="EXO184" s="11"/>
      <c r="EXP184" s="12"/>
      <c r="EXY184" s="11"/>
      <c r="EXZ184" s="12"/>
      <c r="EYI184" s="11"/>
      <c r="EYJ184" s="12"/>
      <c r="EYS184" s="11"/>
      <c r="EYT184" s="12"/>
      <c r="EZC184" s="11"/>
      <c r="EZD184" s="12"/>
      <c r="EZM184" s="11"/>
      <c r="EZN184" s="12"/>
      <c r="EZW184" s="11"/>
      <c r="EZX184" s="12"/>
      <c r="FAG184" s="11"/>
      <c r="FAH184" s="12"/>
      <c r="FAQ184" s="11"/>
      <c r="FAR184" s="12"/>
      <c r="FBA184" s="11"/>
      <c r="FBB184" s="12"/>
      <c r="FBK184" s="11"/>
      <c r="FBL184" s="12"/>
      <c r="FBU184" s="11"/>
      <c r="FBV184" s="12"/>
      <c r="FCE184" s="11"/>
      <c r="FCF184" s="12"/>
      <c r="FCO184" s="11"/>
      <c r="FCP184" s="12"/>
      <c r="FCY184" s="11"/>
      <c r="FCZ184" s="12"/>
      <c r="FDI184" s="11"/>
      <c r="FDJ184" s="12"/>
      <c r="FDS184" s="11"/>
      <c r="FDT184" s="12"/>
      <c r="FEC184" s="11"/>
      <c r="FED184" s="12"/>
      <c r="FEM184" s="11"/>
      <c r="FEN184" s="12"/>
      <c r="FEW184" s="11"/>
      <c r="FEX184" s="12"/>
      <c r="FFG184" s="11"/>
      <c r="FFH184" s="12"/>
      <c r="FFQ184" s="11"/>
      <c r="FFR184" s="12"/>
      <c r="FGA184" s="11"/>
      <c r="FGB184" s="12"/>
      <c r="FGK184" s="11"/>
      <c r="FGL184" s="12"/>
      <c r="FGU184" s="11"/>
      <c r="FGV184" s="12"/>
      <c r="FHE184" s="11"/>
      <c r="FHF184" s="12"/>
      <c r="FHO184" s="11"/>
      <c r="FHP184" s="12"/>
      <c r="FHY184" s="11"/>
      <c r="FHZ184" s="12"/>
      <c r="FII184" s="11"/>
      <c r="FIJ184" s="12"/>
      <c r="FIS184" s="11"/>
      <c r="FIT184" s="12"/>
      <c r="FJC184" s="11"/>
      <c r="FJD184" s="12"/>
      <c r="FJM184" s="11"/>
      <c r="FJN184" s="12"/>
      <c r="FJW184" s="11"/>
      <c r="FJX184" s="12"/>
      <c r="FKG184" s="11"/>
      <c r="FKH184" s="12"/>
      <c r="FKQ184" s="11"/>
      <c r="FKR184" s="12"/>
      <c r="FLA184" s="11"/>
      <c r="FLB184" s="12"/>
      <c r="FLK184" s="11"/>
      <c r="FLL184" s="12"/>
      <c r="FLU184" s="11"/>
      <c r="FLV184" s="12"/>
      <c r="FME184" s="11"/>
      <c r="FMF184" s="12"/>
      <c r="FMO184" s="11"/>
      <c r="FMP184" s="12"/>
      <c r="FMY184" s="11"/>
      <c r="FMZ184" s="12"/>
      <c r="FNI184" s="11"/>
      <c r="FNJ184" s="12"/>
      <c r="FNS184" s="11"/>
      <c r="FNT184" s="12"/>
      <c r="FOC184" s="11"/>
      <c r="FOD184" s="12"/>
      <c r="FOM184" s="11"/>
      <c r="FON184" s="12"/>
      <c r="FOW184" s="11"/>
      <c r="FOX184" s="12"/>
      <c r="FPG184" s="11"/>
      <c r="FPH184" s="12"/>
      <c r="FPQ184" s="11"/>
      <c r="FPR184" s="12"/>
      <c r="FQA184" s="11"/>
      <c r="FQB184" s="12"/>
      <c r="FQK184" s="11"/>
      <c r="FQL184" s="12"/>
      <c r="FQU184" s="11"/>
      <c r="FQV184" s="12"/>
      <c r="FRE184" s="11"/>
      <c r="FRF184" s="12"/>
      <c r="FRO184" s="11"/>
      <c r="FRP184" s="12"/>
      <c r="FRY184" s="11"/>
      <c r="FRZ184" s="12"/>
      <c r="FSI184" s="11"/>
      <c r="FSJ184" s="12"/>
      <c r="FSS184" s="11"/>
      <c r="FST184" s="12"/>
      <c r="FTC184" s="11"/>
      <c r="FTD184" s="12"/>
      <c r="FTM184" s="11"/>
      <c r="FTN184" s="12"/>
      <c r="FTW184" s="11"/>
      <c r="FTX184" s="12"/>
      <c r="FUG184" s="11"/>
      <c r="FUH184" s="12"/>
      <c r="FUQ184" s="11"/>
      <c r="FUR184" s="12"/>
      <c r="FVA184" s="11"/>
      <c r="FVB184" s="12"/>
      <c r="FVK184" s="11"/>
      <c r="FVL184" s="12"/>
      <c r="FVU184" s="11"/>
      <c r="FVV184" s="12"/>
      <c r="FWE184" s="11"/>
      <c r="FWF184" s="12"/>
      <c r="FWO184" s="11"/>
      <c r="FWP184" s="12"/>
      <c r="FWY184" s="11"/>
      <c r="FWZ184" s="12"/>
      <c r="FXI184" s="11"/>
      <c r="FXJ184" s="12"/>
      <c r="FXS184" s="11"/>
      <c r="FXT184" s="12"/>
      <c r="FYC184" s="11"/>
      <c r="FYD184" s="12"/>
      <c r="FYM184" s="11"/>
      <c r="FYN184" s="12"/>
      <c r="FYW184" s="11"/>
      <c r="FYX184" s="12"/>
      <c r="FZG184" s="11"/>
      <c r="FZH184" s="12"/>
      <c r="FZQ184" s="11"/>
      <c r="FZR184" s="12"/>
      <c r="GAA184" s="11"/>
      <c r="GAB184" s="12"/>
      <c r="GAK184" s="11"/>
      <c r="GAL184" s="12"/>
      <c r="GAU184" s="11"/>
      <c r="GAV184" s="12"/>
      <c r="GBE184" s="11"/>
      <c r="GBF184" s="12"/>
      <c r="GBO184" s="11"/>
      <c r="GBP184" s="12"/>
      <c r="GBY184" s="11"/>
      <c r="GBZ184" s="12"/>
      <c r="GCI184" s="11"/>
      <c r="GCJ184" s="12"/>
      <c r="GCS184" s="11"/>
      <c r="GCT184" s="12"/>
      <c r="GDC184" s="11"/>
      <c r="GDD184" s="12"/>
      <c r="GDM184" s="11"/>
      <c r="GDN184" s="12"/>
      <c r="GDW184" s="11"/>
      <c r="GDX184" s="12"/>
      <c r="GEG184" s="11"/>
      <c r="GEH184" s="12"/>
      <c r="GEQ184" s="11"/>
      <c r="GER184" s="12"/>
      <c r="GFA184" s="11"/>
      <c r="GFB184" s="12"/>
      <c r="GFK184" s="11"/>
      <c r="GFL184" s="12"/>
      <c r="GFU184" s="11"/>
      <c r="GFV184" s="12"/>
      <c r="GGE184" s="11"/>
      <c r="GGF184" s="12"/>
      <c r="GGO184" s="11"/>
      <c r="GGP184" s="12"/>
      <c r="GGY184" s="11"/>
      <c r="GGZ184" s="12"/>
      <c r="GHI184" s="11"/>
      <c r="GHJ184" s="12"/>
      <c r="GHS184" s="11"/>
      <c r="GHT184" s="12"/>
      <c r="GIC184" s="11"/>
      <c r="GID184" s="12"/>
      <c r="GIM184" s="11"/>
      <c r="GIN184" s="12"/>
      <c r="GIW184" s="11"/>
      <c r="GIX184" s="12"/>
      <c r="GJG184" s="11"/>
      <c r="GJH184" s="12"/>
      <c r="GJQ184" s="11"/>
      <c r="GJR184" s="12"/>
      <c r="GKA184" s="11"/>
      <c r="GKB184" s="12"/>
      <c r="GKK184" s="11"/>
      <c r="GKL184" s="12"/>
      <c r="GKU184" s="11"/>
      <c r="GKV184" s="12"/>
      <c r="GLE184" s="11"/>
      <c r="GLF184" s="12"/>
      <c r="GLO184" s="11"/>
      <c r="GLP184" s="12"/>
      <c r="GLY184" s="11"/>
      <c r="GLZ184" s="12"/>
      <c r="GMI184" s="11"/>
      <c r="GMJ184" s="12"/>
      <c r="GMS184" s="11"/>
      <c r="GMT184" s="12"/>
      <c r="GNC184" s="11"/>
      <c r="GND184" s="12"/>
      <c r="GNM184" s="11"/>
      <c r="GNN184" s="12"/>
      <c r="GNW184" s="11"/>
      <c r="GNX184" s="12"/>
      <c r="GOG184" s="11"/>
      <c r="GOH184" s="12"/>
      <c r="GOQ184" s="11"/>
      <c r="GOR184" s="12"/>
      <c r="GPA184" s="11"/>
      <c r="GPB184" s="12"/>
      <c r="GPK184" s="11"/>
      <c r="GPL184" s="12"/>
      <c r="GPU184" s="11"/>
      <c r="GPV184" s="12"/>
      <c r="GQE184" s="11"/>
      <c r="GQF184" s="12"/>
      <c r="GQO184" s="11"/>
      <c r="GQP184" s="12"/>
      <c r="GQY184" s="11"/>
      <c r="GQZ184" s="12"/>
      <c r="GRI184" s="11"/>
      <c r="GRJ184" s="12"/>
      <c r="GRS184" s="11"/>
      <c r="GRT184" s="12"/>
      <c r="GSC184" s="11"/>
      <c r="GSD184" s="12"/>
      <c r="GSM184" s="11"/>
      <c r="GSN184" s="12"/>
      <c r="GSW184" s="11"/>
      <c r="GSX184" s="12"/>
      <c r="GTG184" s="11"/>
      <c r="GTH184" s="12"/>
      <c r="GTQ184" s="11"/>
      <c r="GTR184" s="12"/>
      <c r="GUA184" s="11"/>
      <c r="GUB184" s="12"/>
      <c r="GUK184" s="11"/>
      <c r="GUL184" s="12"/>
      <c r="GUU184" s="11"/>
      <c r="GUV184" s="12"/>
      <c r="GVE184" s="11"/>
      <c r="GVF184" s="12"/>
      <c r="GVO184" s="11"/>
      <c r="GVP184" s="12"/>
      <c r="GVY184" s="11"/>
      <c r="GVZ184" s="12"/>
      <c r="GWI184" s="11"/>
      <c r="GWJ184" s="12"/>
      <c r="GWS184" s="11"/>
      <c r="GWT184" s="12"/>
      <c r="GXC184" s="11"/>
      <c r="GXD184" s="12"/>
      <c r="GXM184" s="11"/>
      <c r="GXN184" s="12"/>
      <c r="GXW184" s="11"/>
      <c r="GXX184" s="12"/>
      <c r="GYG184" s="11"/>
      <c r="GYH184" s="12"/>
      <c r="GYQ184" s="11"/>
      <c r="GYR184" s="12"/>
      <c r="GZA184" s="11"/>
      <c r="GZB184" s="12"/>
      <c r="GZK184" s="11"/>
      <c r="GZL184" s="12"/>
      <c r="GZU184" s="11"/>
      <c r="GZV184" s="12"/>
      <c r="HAE184" s="11"/>
      <c r="HAF184" s="12"/>
      <c r="HAO184" s="11"/>
      <c r="HAP184" s="12"/>
      <c r="HAY184" s="11"/>
      <c r="HAZ184" s="12"/>
      <c r="HBI184" s="11"/>
      <c r="HBJ184" s="12"/>
      <c r="HBS184" s="11"/>
      <c r="HBT184" s="12"/>
      <c r="HCC184" s="11"/>
      <c r="HCD184" s="12"/>
      <c r="HCM184" s="11"/>
      <c r="HCN184" s="12"/>
      <c r="HCW184" s="11"/>
      <c r="HCX184" s="12"/>
      <c r="HDG184" s="11"/>
      <c r="HDH184" s="12"/>
      <c r="HDQ184" s="11"/>
      <c r="HDR184" s="12"/>
      <c r="HEA184" s="11"/>
      <c r="HEB184" s="12"/>
      <c r="HEK184" s="11"/>
      <c r="HEL184" s="12"/>
      <c r="HEU184" s="11"/>
      <c r="HEV184" s="12"/>
      <c r="HFE184" s="11"/>
      <c r="HFF184" s="12"/>
      <c r="HFO184" s="11"/>
      <c r="HFP184" s="12"/>
      <c r="HFY184" s="11"/>
      <c r="HFZ184" s="12"/>
      <c r="HGI184" s="11"/>
      <c r="HGJ184" s="12"/>
      <c r="HGS184" s="11"/>
      <c r="HGT184" s="12"/>
      <c r="HHC184" s="11"/>
      <c r="HHD184" s="12"/>
      <c r="HHM184" s="11"/>
      <c r="HHN184" s="12"/>
      <c r="HHW184" s="11"/>
      <c r="HHX184" s="12"/>
      <c r="HIG184" s="11"/>
      <c r="HIH184" s="12"/>
      <c r="HIQ184" s="11"/>
      <c r="HIR184" s="12"/>
      <c r="HJA184" s="11"/>
      <c r="HJB184" s="12"/>
      <c r="HJK184" s="11"/>
      <c r="HJL184" s="12"/>
      <c r="HJU184" s="11"/>
      <c r="HJV184" s="12"/>
      <c r="HKE184" s="11"/>
      <c r="HKF184" s="12"/>
      <c r="HKO184" s="11"/>
      <c r="HKP184" s="12"/>
      <c r="HKY184" s="11"/>
      <c r="HKZ184" s="12"/>
      <c r="HLI184" s="11"/>
      <c r="HLJ184" s="12"/>
      <c r="HLS184" s="11"/>
      <c r="HLT184" s="12"/>
      <c r="HMC184" s="11"/>
      <c r="HMD184" s="12"/>
      <c r="HMM184" s="11"/>
      <c r="HMN184" s="12"/>
      <c r="HMW184" s="11"/>
      <c r="HMX184" s="12"/>
      <c r="HNG184" s="11"/>
      <c r="HNH184" s="12"/>
      <c r="HNQ184" s="11"/>
      <c r="HNR184" s="12"/>
      <c r="HOA184" s="11"/>
      <c r="HOB184" s="12"/>
      <c r="HOK184" s="11"/>
      <c r="HOL184" s="12"/>
      <c r="HOU184" s="11"/>
      <c r="HOV184" s="12"/>
      <c r="HPE184" s="11"/>
      <c r="HPF184" s="12"/>
      <c r="HPO184" s="11"/>
      <c r="HPP184" s="12"/>
      <c r="HPY184" s="11"/>
      <c r="HPZ184" s="12"/>
      <c r="HQI184" s="11"/>
      <c r="HQJ184" s="12"/>
      <c r="HQS184" s="11"/>
      <c r="HQT184" s="12"/>
      <c r="HRC184" s="11"/>
      <c r="HRD184" s="12"/>
      <c r="HRM184" s="11"/>
      <c r="HRN184" s="12"/>
      <c r="HRW184" s="11"/>
      <c r="HRX184" s="12"/>
      <c r="HSG184" s="11"/>
      <c r="HSH184" s="12"/>
      <c r="HSQ184" s="11"/>
      <c r="HSR184" s="12"/>
      <c r="HTA184" s="11"/>
      <c r="HTB184" s="12"/>
      <c r="HTK184" s="11"/>
      <c r="HTL184" s="12"/>
      <c r="HTU184" s="11"/>
      <c r="HTV184" s="12"/>
      <c r="HUE184" s="11"/>
      <c r="HUF184" s="12"/>
      <c r="HUO184" s="11"/>
      <c r="HUP184" s="12"/>
      <c r="HUY184" s="11"/>
      <c r="HUZ184" s="12"/>
      <c r="HVI184" s="11"/>
      <c r="HVJ184" s="12"/>
      <c r="HVS184" s="11"/>
      <c r="HVT184" s="12"/>
      <c r="HWC184" s="11"/>
      <c r="HWD184" s="12"/>
      <c r="HWM184" s="11"/>
      <c r="HWN184" s="12"/>
      <c r="HWW184" s="11"/>
      <c r="HWX184" s="12"/>
      <c r="HXG184" s="11"/>
      <c r="HXH184" s="12"/>
      <c r="HXQ184" s="11"/>
      <c r="HXR184" s="12"/>
      <c r="HYA184" s="11"/>
      <c r="HYB184" s="12"/>
      <c r="HYK184" s="11"/>
      <c r="HYL184" s="12"/>
      <c r="HYU184" s="11"/>
      <c r="HYV184" s="12"/>
      <c r="HZE184" s="11"/>
      <c r="HZF184" s="12"/>
      <c r="HZO184" s="11"/>
      <c r="HZP184" s="12"/>
      <c r="HZY184" s="11"/>
      <c r="HZZ184" s="12"/>
      <c r="IAI184" s="11"/>
      <c r="IAJ184" s="12"/>
      <c r="IAS184" s="11"/>
      <c r="IAT184" s="12"/>
      <c r="IBC184" s="11"/>
      <c r="IBD184" s="12"/>
      <c r="IBM184" s="11"/>
      <c r="IBN184" s="12"/>
      <c r="IBW184" s="11"/>
      <c r="IBX184" s="12"/>
      <c r="ICG184" s="11"/>
      <c r="ICH184" s="12"/>
      <c r="ICQ184" s="11"/>
      <c r="ICR184" s="12"/>
      <c r="IDA184" s="11"/>
      <c r="IDB184" s="12"/>
      <c r="IDK184" s="11"/>
      <c r="IDL184" s="12"/>
      <c r="IDU184" s="11"/>
      <c r="IDV184" s="12"/>
      <c r="IEE184" s="11"/>
      <c r="IEF184" s="12"/>
      <c r="IEO184" s="11"/>
      <c r="IEP184" s="12"/>
      <c r="IEY184" s="11"/>
      <c r="IEZ184" s="12"/>
      <c r="IFI184" s="11"/>
      <c r="IFJ184" s="12"/>
      <c r="IFS184" s="11"/>
      <c r="IFT184" s="12"/>
      <c r="IGC184" s="11"/>
      <c r="IGD184" s="12"/>
      <c r="IGM184" s="11"/>
      <c r="IGN184" s="12"/>
      <c r="IGW184" s="11"/>
      <c r="IGX184" s="12"/>
      <c r="IHG184" s="11"/>
      <c r="IHH184" s="12"/>
      <c r="IHQ184" s="11"/>
      <c r="IHR184" s="12"/>
      <c r="IIA184" s="11"/>
      <c r="IIB184" s="12"/>
      <c r="IIK184" s="11"/>
      <c r="IIL184" s="12"/>
      <c r="IIU184" s="11"/>
      <c r="IIV184" s="12"/>
      <c r="IJE184" s="11"/>
      <c r="IJF184" s="12"/>
      <c r="IJO184" s="11"/>
      <c r="IJP184" s="12"/>
      <c r="IJY184" s="11"/>
      <c r="IJZ184" s="12"/>
      <c r="IKI184" s="11"/>
      <c r="IKJ184" s="12"/>
      <c r="IKS184" s="11"/>
      <c r="IKT184" s="12"/>
      <c r="ILC184" s="11"/>
      <c r="ILD184" s="12"/>
      <c r="ILM184" s="11"/>
      <c r="ILN184" s="12"/>
      <c r="ILW184" s="11"/>
      <c r="ILX184" s="12"/>
      <c r="IMG184" s="11"/>
      <c r="IMH184" s="12"/>
      <c r="IMQ184" s="11"/>
      <c r="IMR184" s="12"/>
      <c r="INA184" s="11"/>
      <c r="INB184" s="12"/>
      <c r="INK184" s="11"/>
      <c r="INL184" s="12"/>
      <c r="INU184" s="11"/>
      <c r="INV184" s="12"/>
      <c r="IOE184" s="11"/>
      <c r="IOF184" s="12"/>
      <c r="IOO184" s="11"/>
      <c r="IOP184" s="12"/>
      <c r="IOY184" s="11"/>
      <c r="IOZ184" s="12"/>
      <c r="IPI184" s="11"/>
      <c r="IPJ184" s="12"/>
      <c r="IPS184" s="11"/>
      <c r="IPT184" s="12"/>
      <c r="IQC184" s="11"/>
      <c r="IQD184" s="12"/>
      <c r="IQM184" s="11"/>
      <c r="IQN184" s="12"/>
      <c r="IQW184" s="11"/>
      <c r="IQX184" s="12"/>
      <c r="IRG184" s="11"/>
      <c r="IRH184" s="12"/>
      <c r="IRQ184" s="11"/>
      <c r="IRR184" s="12"/>
      <c r="ISA184" s="11"/>
      <c r="ISB184" s="12"/>
      <c r="ISK184" s="11"/>
      <c r="ISL184" s="12"/>
      <c r="ISU184" s="11"/>
      <c r="ISV184" s="12"/>
      <c r="ITE184" s="11"/>
      <c r="ITF184" s="12"/>
      <c r="ITO184" s="11"/>
      <c r="ITP184" s="12"/>
      <c r="ITY184" s="11"/>
      <c r="ITZ184" s="12"/>
      <c r="IUI184" s="11"/>
      <c r="IUJ184" s="12"/>
      <c r="IUS184" s="11"/>
      <c r="IUT184" s="12"/>
      <c r="IVC184" s="11"/>
      <c r="IVD184" s="12"/>
      <c r="IVM184" s="11"/>
      <c r="IVN184" s="12"/>
      <c r="IVW184" s="11"/>
      <c r="IVX184" s="12"/>
      <c r="IWG184" s="11"/>
      <c r="IWH184" s="12"/>
      <c r="IWQ184" s="11"/>
      <c r="IWR184" s="12"/>
      <c r="IXA184" s="11"/>
      <c r="IXB184" s="12"/>
      <c r="IXK184" s="11"/>
      <c r="IXL184" s="12"/>
      <c r="IXU184" s="11"/>
      <c r="IXV184" s="12"/>
      <c r="IYE184" s="11"/>
      <c r="IYF184" s="12"/>
      <c r="IYO184" s="11"/>
      <c r="IYP184" s="12"/>
      <c r="IYY184" s="11"/>
      <c r="IYZ184" s="12"/>
      <c r="IZI184" s="11"/>
      <c r="IZJ184" s="12"/>
      <c r="IZS184" s="11"/>
      <c r="IZT184" s="12"/>
      <c r="JAC184" s="11"/>
      <c r="JAD184" s="12"/>
      <c r="JAM184" s="11"/>
      <c r="JAN184" s="12"/>
      <c r="JAW184" s="11"/>
      <c r="JAX184" s="12"/>
      <c r="JBG184" s="11"/>
      <c r="JBH184" s="12"/>
      <c r="JBQ184" s="11"/>
      <c r="JBR184" s="12"/>
      <c r="JCA184" s="11"/>
      <c r="JCB184" s="12"/>
      <c r="JCK184" s="11"/>
      <c r="JCL184" s="12"/>
      <c r="JCU184" s="11"/>
      <c r="JCV184" s="12"/>
      <c r="JDE184" s="11"/>
      <c r="JDF184" s="12"/>
      <c r="JDO184" s="11"/>
      <c r="JDP184" s="12"/>
      <c r="JDY184" s="11"/>
      <c r="JDZ184" s="12"/>
      <c r="JEI184" s="11"/>
      <c r="JEJ184" s="12"/>
      <c r="JES184" s="11"/>
      <c r="JET184" s="12"/>
      <c r="JFC184" s="11"/>
      <c r="JFD184" s="12"/>
      <c r="JFM184" s="11"/>
      <c r="JFN184" s="12"/>
      <c r="JFW184" s="11"/>
      <c r="JFX184" s="12"/>
      <c r="JGG184" s="11"/>
      <c r="JGH184" s="12"/>
      <c r="JGQ184" s="11"/>
      <c r="JGR184" s="12"/>
      <c r="JHA184" s="11"/>
      <c r="JHB184" s="12"/>
      <c r="JHK184" s="11"/>
      <c r="JHL184" s="12"/>
      <c r="JHU184" s="11"/>
      <c r="JHV184" s="12"/>
      <c r="JIE184" s="11"/>
      <c r="JIF184" s="12"/>
      <c r="JIO184" s="11"/>
      <c r="JIP184" s="12"/>
      <c r="JIY184" s="11"/>
      <c r="JIZ184" s="12"/>
      <c r="JJI184" s="11"/>
      <c r="JJJ184" s="12"/>
      <c r="JJS184" s="11"/>
      <c r="JJT184" s="12"/>
      <c r="JKC184" s="11"/>
      <c r="JKD184" s="12"/>
      <c r="JKM184" s="11"/>
      <c r="JKN184" s="12"/>
      <c r="JKW184" s="11"/>
      <c r="JKX184" s="12"/>
      <c r="JLG184" s="11"/>
      <c r="JLH184" s="12"/>
      <c r="JLQ184" s="11"/>
      <c r="JLR184" s="12"/>
      <c r="JMA184" s="11"/>
      <c r="JMB184" s="12"/>
      <c r="JMK184" s="11"/>
      <c r="JML184" s="12"/>
      <c r="JMU184" s="11"/>
      <c r="JMV184" s="12"/>
      <c r="JNE184" s="11"/>
      <c r="JNF184" s="12"/>
      <c r="JNO184" s="11"/>
      <c r="JNP184" s="12"/>
      <c r="JNY184" s="11"/>
      <c r="JNZ184" s="12"/>
      <c r="JOI184" s="11"/>
      <c r="JOJ184" s="12"/>
      <c r="JOS184" s="11"/>
      <c r="JOT184" s="12"/>
      <c r="JPC184" s="11"/>
      <c r="JPD184" s="12"/>
      <c r="JPM184" s="11"/>
      <c r="JPN184" s="12"/>
      <c r="JPW184" s="11"/>
      <c r="JPX184" s="12"/>
      <c r="JQG184" s="11"/>
      <c r="JQH184" s="12"/>
      <c r="JQQ184" s="11"/>
      <c r="JQR184" s="12"/>
      <c r="JRA184" s="11"/>
      <c r="JRB184" s="12"/>
      <c r="JRK184" s="11"/>
      <c r="JRL184" s="12"/>
      <c r="JRU184" s="11"/>
      <c r="JRV184" s="12"/>
      <c r="JSE184" s="11"/>
      <c r="JSF184" s="12"/>
      <c r="JSO184" s="11"/>
      <c r="JSP184" s="12"/>
      <c r="JSY184" s="11"/>
      <c r="JSZ184" s="12"/>
      <c r="JTI184" s="11"/>
      <c r="JTJ184" s="12"/>
      <c r="JTS184" s="11"/>
      <c r="JTT184" s="12"/>
      <c r="JUC184" s="11"/>
      <c r="JUD184" s="12"/>
      <c r="JUM184" s="11"/>
      <c r="JUN184" s="12"/>
      <c r="JUW184" s="11"/>
      <c r="JUX184" s="12"/>
      <c r="JVG184" s="11"/>
      <c r="JVH184" s="12"/>
      <c r="JVQ184" s="11"/>
      <c r="JVR184" s="12"/>
      <c r="JWA184" s="11"/>
      <c r="JWB184" s="12"/>
      <c r="JWK184" s="11"/>
      <c r="JWL184" s="12"/>
      <c r="JWU184" s="11"/>
      <c r="JWV184" s="12"/>
      <c r="JXE184" s="11"/>
      <c r="JXF184" s="12"/>
      <c r="JXO184" s="11"/>
      <c r="JXP184" s="12"/>
      <c r="JXY184" s="11"/>
      <c r="JXZ184" s="12"/>
      <c r="JYI184" s="11"/>
      <c r="JYJ184" s="12"/>
      <c r="JYS184" s="11"/>
      <c r="JYT184" s="12"/>
      <c r="JZC184" s="11"/>
      <c r="JZD184" s="12"/>
      <c r="JZM184" s="11"/>
      <c r="JZN184" s="12"/>
      <c r="JZW184" s="11"/>
      <c r="JZX184" s="12"/>
      <c r="KAG184" s="11"/>
      <c r="KAH184" s="12"/>
      <c r="KAQ184" s="11"/>
      <c r="KAR184" s="12"/>
      <c r="KBA184" s="11"/>
      <c r="KBB184" s="12"/>
      <c r="KBK184" s="11"/>
      <c r="KBL184" s="12"/>
      <c r="KBU184" s="11"/>
      <c r="KBV184" s="12"/>
      <c r="KCE184" s="11"/>
      <c r="KCF184" s="12"/>
      <c r="KCO184" s="11"/>
      <c r="KCP184" s="12"/>
      <c r="KCY184" s="11"/>
      <c r="KCZ184" s="12"/>
      <c r="KDI184" s="11"/>
      <c r="KDJ184" s="12"/>
      <c r="KDS184" s="11"/>
      <c r="KDT184" s="12"/>
      <c r="KEC184" s="11"/>
      <c r="KED184" s="12"/>
      <c r="KEM184" s="11"/>
      <c r="KEN184" s="12"/>
      <c r="KEW184" s="11"/>
      <c r="KEX184" s="12"/>
      <c r="KFG184" s="11"/>
      <c r="KFH184" s="12"/>
      <c r="KFQ184" s="11"/>
      <c r="KFR184" s="12"/>
      <c r="KGA184" s="11"/>
      <c r="KGB184" s="12"/>
      <c r="KGK184" s="11"/>
      <c r="KGL184" s="12"/>
      <c r="KGU184" s="11"/>
      <c r="KGV184" s="12"/>
      <c r="KHE184" s="11"/>
      <c r="KHF184" s="12"/>
      <c r="KHO184" s="11"/>
      <c r="KHP184" s="12"/>
      <c r="KHY184" s="11"/>
      <c r="KHZ184" s="12"/>
      <c r="KII184" s="11"/>
      <c r="KIJ184" s="12"/>
      <c r="KIS184" s="11"/>
      <c r="KIT184" s="12"/>
      <c r="KJC184" s="11"/>
      <c r="KJD184" s="12"/>
      <c r="KJM184" s="11"/>
      <c r="KJN184" s="12"/>
      <c r="KJW184" s="11"/>
      <c r="KJX184" s="12"/>
      <c r="KKG184" s="11"/>
      <c r="KKH184" s="12"/>
      <c r="KKQ184" s="11"/>
      <c r="KKR184" s="12"/>
      <c r="KLA184" s="11"/>
      <c r="KLB184" s="12"/>
      <c r="KLK184" s="11"/>
      <c r="KLL184" s="12"/>
      <c r="KLU184" s="11"/>
      <c r="KLV184" s="12"/>
      <c r="KME184" s="11"/>
      <c r="KMF184" s="12"/>
      <c r="KMO184" s="11"/>
      <c r="KMP184" s="12"/>
      <c r="KMY184" s="11"/>
      <c r="KMZ184" s="12"/>
      <c r="KNI184" s="11"/>
      <c r="KNJ184" s="12"/>
      <c r="KNS184" s="11"/>
      <c r="KNT184" s="12"/>
      <c r="KOC184" s="11"/>
      <c r="KOD184" s="12"/>
      <c r="KOM184" s="11"/>
      <c r="KON184" s="12"/>
      <c r="KOW184" s="11"/>
      <c r="KOX184" s="12"/>
      <c r="KPG184" s="11"/>
      <c r="KPH184" s="12"/>
      <c r="KPQ184" s="11"/>
      <c r="KPR184" s="12"/>
      <c r="KQA184" s="11"/>
      <c r="KQB184" s="12"/>
      <c r="KQK184" s="11"/>
      <c r="KQL184" s="12"/>
      <c r="KQU184" s="11"/>
      <c r="KQV184" s="12"/>
      <c r="KRE184" s="11"/>
      <c r="KRF184" s="12"/>
      <c r="KRO184" s="11"/>
      <c r="KRP184" s="12"/>
      <c r="KRY184" s="11"/>
      <c r="KRZ184" s="12"/>
      <c r="KSI184" s="11"/>
      <c r="KSJ184" s="12"/>
      <c r="KSS184" s="11"/>
      <c r="KST184" s="12"/>
      <c r="KTC184" s="11"/>
      <c r="KTD184" s="12"/>
      <c r="KTM184" s="11"/>
      <c r="KTN184" s="12"/>
      <c r="KTW184" s="11"/>
      <c r="KTX184" s="12"/>
      <c r="KUG184" s="11"/>
      <c r="KUH184" s="12"/>
      <c r="KUQ184" s="11"/>
      <c r="KUR184" s="12"/>
      <c r="KVA184" s="11"/>
      <c r="KVB184" s="12"/>
      <c r="KVK184" s="11"/>
      <c r="KVL184" s="12"/>
      <c r="KVU184" s="11"/>
      <c r="KVV184" s="12"/>
      <c r="KWE184" s="11"/>
      <c r="KWF184" s="12"/>
      <c r="KWO184" s="11"/>
      <c r="KWP184" s="12"/>
      <c r="KWY184" s="11"/>
      <c r="KWZ184" s="12"/>
      <c r="KXI184" s="11"/>
      <c r="KXJ184" s="12"/>
      <c r="KXS184" s="11"/>
      <c r="KXT184" s="12"/>
      <c r="KYC184" s="11"/>
      <c r="KYD184" s="12"/>
      <c r="KYM184" s="11"/>
      <c r="KYN184" s="12"/>
      <c r="KYW184" s="11"/>
      <c r="KYX184" s="12"/>
      <c r="KZG184" s="11"/>
      <c r="KZH184" s="12"/>
      <c r="KZQ184" s="11"/>
      <c r="KZR184" s="12"/>
      <c r="LAA184" s="11"/>
      <c r="LAB184" s="12"/>
      <c r="LAK184" s="11"/>
      <c r="LAL184" s="12"/>
      <c r="LAU184" s="11"/>
      <c r="LAV184" s="12"/>
      <c r="LBE184" s="11"/>
      <c r="LBF184" s="12"/>
      <c r="LBO184" s="11"/>
      <c r="LBP184" s="12"/>
      <c r="LBY184" s="11"/>
      <c r="LBZ184" s="12"/>
      <c r="LCI184" s="11"/>
      <c r="LCJ184" s="12"/>
      <c r="LCS184" s="11"/>
      <c r="LCT184" s="12"/>
      <c r="LDC184" s="11"/>
      <c r="LDD184" s="12"/>
      <c r="LDM184" s="11"/>
      <c r="LDN184" s="12"/>
      <c r="LDW184" s="11"/>
      <c r="LDX184" s="12"/>
      <c r="LEG184" s="11"/>
      <c r="LEH184" s="12"/>
      <c r="LEQ184" s="11"/>
      <c r="LER184" s="12"/>
      <c r="LFA184" s="11"/>
      <c r="LFB184" s="12"/>
      <c r="LFK184" s="11"/>
      <c r="LFL184" s="12"/>
      <c r="LFU184" s="11"/>
      <c r="LFV184" s="12"/>
      <c r="LGE184" s="11"/>
      <c r="LGF184" s="12"/>
      <c r="LGO184" s="11"/>
      <c r="LGP184" s="12"/>
      <c r="LGY184" s="11"/>
      <c r="LGZ184" s="12"/>
      <c r="LHI184" s="11"/>
      <c r="LHJ184" s="12"/>
      <c r="LHS184" s="11"/>
      <c r="LHT184" s="12"/>
      <c r="LIC184" s="11"/>
      <c r="LID184" s="12"/>
      <c r="LIM184" s="11"/>
      <c r="LIN184" s="12"/>
      <c r="LIW184" s="11"/>
      <c r="LIX184" s="12"/>
      <c r="LJG184" s="11"/>
      <c r="LJH184" s="12"/>
      <c r="LJQ184" s="11"/>
      <c r="LJR184" s="12"/>
      <c r="LKA184" s="11"/>
      <c r="LKB184" s="12"/>
      <c r="LKK184" s="11"/>
      <c r="LKL184" s="12"/>
      <c r="LKU184" s="11"/>
      <c r="LKV184" s="12"/>
      <c r="LLE184" s="11"/>
      <c r="LLF184" s="12"/>
      <c r="LLO184" s="11"/>
      <c r="LLP184" s="12"/>
      <c r="LLY184" s="11"/>
      <c r="LLZ184" s="12"/>
      <c r="LMI184" s="11"/>
      <c r="LMJ184" s="12"/>
      <c r="LMS184" s="11"/>
      <c r="LMT184" s="12"/>
      <c r="LNC184" s="11"/>
      <c r="LND184" s="12"/>
      <c r="LNM184" s="11"/>
      <c r="LNN184" s="12"/>
      <c r="LNW184" s="11"/>
      <c r="LNX184" s="12"/>
      <c r="LOG184" s="11"/>
      <c r="LOH184" s="12"/>
      <c r="LOQ184" s="11"/>
      <c r="LOR184" s="12"/>
      <c r="LPA184" s="11"/>
      <c r="LPB184" s="12"/>
      <c r="LPK184" s="11"/>
      <c r="LPL184" s="12"/>
      <c r="LPU184" s="11"/>
      <c r="LPV184" s="12"/>
      <c r="LQE184" s="11"/>
      <c r="LQF184" s="12"/>
      <c r="LQO184" s="11"/>
      <c r="LQP184" s="12"/>
      <c r="LQY184" s="11"/>
      <c r="LQZ184" s="12"/>
      <c r="LRI184" s="11"/>
      <c r="LRJ184" s="12"/>
      <c r="LRS184" s="11"/>
      <c r="LRT184" s="12"/>
      <c r="LSC184" s="11"/>
      <c r="LSD184" s="12"/>
      <c r="LSM184" s="11"/>
      <c r="LSN184" s="12"/>
      <c r="LSW184" s="11"/>
      <c r="LSX184" s="12"/>
      <c r="LTG184" s="11"/>
      <c r="LTH184" s="12"/>
      <c r="LTQ184" s="11"/>
      <c r="LTR184" s="12"/>
      <c r="LUA184" s="11"/>
      <c r="LUB184" s="12"/>
      <c r="LUK184" s="11"/>
      <c r="LUL184" s="12"/>
      <c r="LUU184" s="11"/>
      <c r="LUV184" s="12"/>
      <c r="LVE184" s="11"/>
      <c r="LVF184" s="12"/>
      <c r="LVO184" s="11"/>
      <c r="LVP184" s="12"/>
      <c r="LVY184" s="11"/>
      <c r="LVZ184" s="12"/>
      <c r="LWI184" s="11"/>
      <c r="LWJ184" s="12"/>
      <c r="LWS184" s="11"/>
      <c r="LWT184" s="12"/>
      <c r="LXC184" s="11"/>
      <c r="LXD184" s="12"/>
      <c r="LXM184" s="11"/>
      <c r="LXN184" s="12"/>
      <c r="LXW184" s="11"/>
      <c r="LXX184" s="12"/>
      <c r="LYG184" s="11"/>
      <c r="LYH184" s="12"/>
      <c r="LYQ184" s="11"/>
      <c r="LYR184" s="12"/>
      <c r="LZA184" s="11"/>
      <c r="LZB184" s="12"/>
      <c r="LZK184" s="11"/>
      <c r="LZL184" s="12"/>
      <c r="LZU184" s="11"/>
      <c r="LZV184" s="12"/>
      <c r="MAE184" s="11"/>
      <c r="MAF184" s="12"/>
      <c r="MAO184" s="11"/>
      <c r="MAP184" s="12"/>
      <c r="MAY184" s="11"/>
      <c r="MAZ184" s="12"/>
      <c r="MBI184" s="11"/>
      <c r="MBJ184" s="12"/>
      <c r="MBS184" s="11"/>
      <c r="MBT184" s="12"/>
      <c r="MCC184" s="11"/>
      <c r="MCD184" s="12"/>
      <c r="MCM184" s="11"/>
      <c r="MCN184" s="12"/>
      <c r="MCW184" s="11"/>
      <c r="MCX184" s="12"/>
      <c r="MDG184" s="11"/>
      <c r="MDH184" s="12"/>
      <c r="MDQ184" s="11"/>
      <c r="MDR184" s="12"/>
      <c r="MEA184" s="11"/>
      <c r="MEB184" s="12"/>
      <c r="MEK184" s="11"/>
      <c r="MEL184" s="12"/>
      <c r="MEU184" s="11"/>
      <c r="MEV184" s="12"/>
      <c r="MFE184" s="11"/>
      <c r="MFF184" s="12"/>
      <c r="MFO184" s="11"/>
      <c r="MFP184" s="12"/>
      <c r="MFY184" s="11"/>
      <c r="MFZ184" s="12"/>
      <c r="MGI184" s="11"/>
      <c r="MGJ184" s="12"/>
      <c r="MGS184" s="11"/>
      <c r="MGT184" s="12"/>
      <c r="MHC184" s="11"/>
      <c r="MHD184" s="12"/>
      <c r="MHM184" s="11"/>
      <c r="MHN184" s="12"/>
      <c r="MHW184" s="11"/>
      <c r="MHX184" s="12"/>
      <c r="MIG184" s="11"/>
      <c r="MIH184" s="12"/>
      <c r="MIQ184" s="11"/>
      <c r="MIR184" s="12"/>
      <c r="MJA184" s="11"/>
      <c r="MJB184" s="12"/>
      <c r="MJK184" s="11"/>
      <c r="MJL184" s="12"/>
      <c r="MJU184" s="11"/>
      <c r="MJV184" s="12"/>
      <c r="MKE184" s="11"/>
      <c r="MKF184" s="12"/>
      <c r="MKO184" s="11"/>
      <c r="MKP184" s="12"/>
      <c r="MKY184" s="11"/>
      <c r="MKZ184" s="12"/>
      <c r="MLI184" s="11"/>
      <c r="MLJ184" s="12"/>
      <c r="MLS184" s="11"/>
      <c r="MLT184" s="12"/>
      <c r="MMC184" s="11"/>
      <c r="MMD184" s="12"/>
      <c r="MMM184" s="11"/>
      <c r="MMN184" s="12"/>
      <c r="MMW184" s="11"/>
      <c r="MMX184" s="12"/>
      <c r="MNG184" s="11"/>
      <c r="MNH184" s="12"/>
      <c r="MNQ184" s="11"/>
      <c r="MNR184" s="12"/>
      <c r="MOA184" s="11"/>
      <c r="MOB184" s="12"/>
      <c r="MOK184" s="11"/>
      <c r="MOL184" s="12"/>
      <c r="MOU184" s="11"/>
      <c r="MOV184" s="12"/>
      <c r="MPE184" s="11"/>
      <c r="MPF184" s="12"/>
      <c r="MPO184" s="11"/>
      <c r="MPP184" s="12"/>
      <c r="MPY184" s="11"/>
      <c r="MPZ184" s="12"/>
      <c r="MQI184" s="11"/>
      <c r="MQJ184" s="12"/>
      <c r="MQS184" s="11"/>
      <c r="MQT184" s="12"/>
      <c r="MRC184" s="11"/>
      <c r="MRD184" s="12"/>
      <c r="MRM184" s="11"/>
      <c r="MRN184" s="12"/>
      <c r="MRW184" s="11"/>
      <c r="MRX184" s="12"/>
      <c r="MSG184" s="11"/>
      <c r="MSH184" s="12"/>
      <c r="MSQ184" s="11"/>
      <c r="MSR184" s="12"/>
      <c r="MTA184" s="11"/>
      <c r="MTB184" s="12"/>
      <c r="MTK184" s="11"/>
      <c r="MTL184" s="12"/>
      <c r="MTU184" s="11"/>
      <c r="MTV184" s="12"/>
      <c r="MUE184" s="11"/>
      <c r="MUF184" s="12"/>
      <c r="MUO184" s="11"/>
      <c r="MUP184" s="12"/>
      <c r="MUY184" s="11"/>
      <c r="MUZ184" s="12"/>
      <c r="MVI184" s="11"/>
      <c r="MVJ184" s="12"/>
      <c r="MVS184" s="11"/>
      <c r="MVT184" s="12"/>
      <c r="MWC184" s="11"/>
      <c r="MWD184" s="12"/>
      <c r="MWM184" s="11"/>
      <c r="MWN184" s="12"/>
      <c r="MWW184" s="11"/>
      <c r="MWX184" s="12"/>
      <c r="MXG184" s="11"/>
      <c r="MXH184" s="12"/>
      <c r="MXQ184" s="11"/>
      <c r="MXR184" s="12"/>
      <c r="MYA184" s="11"/>
      <c r="MYB184" s="12"/>
      <c r="MYK184" s="11"/>
      <c r="MYL184" s="12"/>
      <c r="MYU184" s="11"/>
      <c r="MYV184" s="12"/>
      <c r="MZE184" s="11"/>
      <c r="MZF184" s="12"/>
      <c r="MZO184" s="11"/>
      <c r="MZP184" s="12"/>
      <c r="MZY184" s="11"/>
      <c r="MZZ184" s="12"/>
      <c r="NAI184" s="11"/>
      <c r="NAJ184" s="12"/>
      <c r="NAS184" s="11"/>
      <c r="NAT184" s="12"/>
      <c r="NBC184" s="11"/>
      <c r="NBD184" s="12"/>
      <c r="NBM184" s="11"/>
      <c r="NBN184" s="12"/>
      <c r="NBW184" s="11"/>
      <c r="NBX184" s="12"/>
      <c r="NCG184" s="11"/>
      <c r="NCH184" s="12"/>
      <c r="NCQ184" s="11"/>
      <c r="NCR184" s="12"/>
      <c r="NDA184" s="11"/>
      <c r="NDB184" s="12"/>
      <c r="NDK184" s="11"/>
      <c r="NDL184" s="12"/>
      <c r="NDU184" s="11"/>
      <c r="NDV184" s="12"/>
      <c r="NEE184" s="11"/>
      <c r="NEF184" s="12"/>
      <c r="NEO184" s="11"/>
      <c r="NEP184" s="12"/>
      <c r="NEY184" s="11"/>
      <c r="NEZ184" s="12"/>
      <c r="NFI184" s="11"/>
      <c r="NFJ184" s="12"/>
      <c r="NFS184" s="11"/>
      <c r="NFT184" s="12"/>
      <c r="NGC184" s="11"/>
      <c r="NGD184" s="12"/>
      <c r="NGM184" s="11"/>
      <c r="NGN184" s="12"/>
      <c r="NGW184" s="11"/>
      <c r="NGX184" s="12"/>
      <c r="NHG184" s="11"/>
      <c r="NHH184" s="12"/>
      <c r="NHQ184" s="11"/>
      <c r="NHR184" s="12"/>
      <c r="NIA184" s="11"/>
      <c r="NIB184" s="12"/>
      <c r="NIK184" s="11"/>
      <c r="NIL184" s="12"/>
      <c r="NIU184" s="11"/>
      <c r="NIV184" s="12"/>
      <c r="NJE184" s="11"/>
      <c r="NJF184" s="12"/>
      <c r="NJO184" s="11"/>
      <c r="NJP184" s="12"/>
      <c r="NJY184" s="11"/>
      <c r="NJZ184" s="12"/>
      <c r="NKI184" s="11"/>
      <c r="NKJ184" s="12"/>
      <c r="NKS184" s="11"/>
      <c r="NKT184" s="12"/>
      <c r="NLC184" s="11"/>
      <c r="NLD184" s="12"/>
      <c r="NLM184" s="11"/>
      <c r="NLN184" s="12"/>
      <c r="NLW184" s="11"/>
      <c r="NLX184" s="12"/>
      <c r="NMG184" s="11"/>
      <c r="NMH184" s="12"/>
      <c r="NMQ184" s="11"/>
      <c r="NMR184" s="12"/>
      <c r="NNA184" s="11"/>
      <c r="NNB184" s="12"/>
      <c r="NNK184" s="11"/>
      <c r="NNL184" s="12"/>
      <c r="NNU184" s="11"/>
      <c r="NNV184" s="12"/>
      <c r="NOE184" s="11"/>
      <c r="NOF184" s="12"/>
      <c r="NOO184" s="11"/>
      <c r="NOP184" s="12"/>
      <c r="NOY184" s="11"/>
      <c r="NOZ184" s="12"/>
      <c r="NPI184" s="11"/>
      <c r="NPJ184" s="12"/>
      <c r="NPS184" s="11"/>
      <c r="NPT184" s="12"/>
      <c r="NQC184" s="11"/>
      <c r="NQD184" s="12"/>
      <c r="NQM184" s="11"/>
      <c r="NQN184" s="12"/>
      <c r="NQW184" s="11"/>
      <c r="NQX184" s="12"/>
      <c r="NRG184" s="11"/>
      <c r="NRH184" s="12"/>
      <c r="NRQ184" s="11"/>
      <c r="NRR184" s="12"/>
      <c r="NSA184" s="11"/>
      <c r="NSB184" s="12"/>
      <c r="NSK184" s="11"/>
      <c r="NSL184" s="12"/>
      <c r="NSU184" s="11"/>
      <c r="NSV184" s="12"/>
      <c r="NTE184" s="11"/>
      <c r="NTF184" s="12"/>
      <c r="NTO184" s="11"/>
      <c r="NTP184" s="12"/>
      <c r="NTY184" s="11"/>
      <c r="NTZ184" s="12"/>
      <c r="NUI184" s="11"/>
      <c r="NUJ184" s="12"/>
      <c r="NUS184" s="11"/>
      <c r="NUT184" s="12"/>
      <c r="NVC184" s="11"/>
      <c r="NVD184" s="12"/>
      <c r="NVM184" s="11"/>
      <c r="NVN184" s="12"/>
      <c r="NVW184" s="11"/>
      <c r="NVX184" s="12"/>
      <c r="NWG184" s="11"/>
      <c r="NWH184" s="12"/>
      <c r="NWQ184" s="11"/>
      <c r="NWR184" s="12"/>
      <c r="NXA184" s="11"/>
      <c r="NXB184" s="12"/>
      <c r="NXK184" s="11"/>
      <c r="NXL184" s="12"/>
      <c r="NXU184" s="11"/>
      <c r="NXV184" s="12"/>
      <c r="NYE184" s="11"/>
      <c r="NYF184" s="12"/>
      <c r="NYO184" s="11"/>
      <c r="NYP184" s="12"/>
      <c r="NYY184" s="11"/>
      <c r="NYZ184" s="12"/>
      <c r="NZI184" s="11"/>
      <c r="NZJ184" s="12"/>
      <c r="NZS184" s="11"/>
      <c r="NZT184" s="12"/>
      <c r="OAC184" s="11"/>
      <c r="OAD184" s="12"/>
      <c r="OAM184" s="11"/>
      <c r="OAN184" s="12"/>
      <c r="OAW184" s="11"/>
      <c r="OAX184" s="12"/>
      <c r="OBG184" s="11"/>
      <c r="OBH184" s="12"/>
      <c r="OBQ184" s="11"/>
      <c r="OBR184" s="12"/>
      <c r="OCA184" s="11"/>
      <c r="OCB184" s="12"/>
      <c r="OCK184" s="11"/>
      <c r="OCL184" s="12"/>
      <c r="OCU184" s="11"/>
      <c r="OCV184" s="12"/>
      <c r="ODE184" s="11"/>
      <c r="ODF184" s="12"/>
      <c r="ODO184" s="11"/>
      <c r="ODP184" s="12"/>
      <c r="ODY184" s="11"/>
      <c r="ODZ184" s="12"/>
      <c r="OEI184" s="11"/>
      <c r="OEJ184" s="12"/>
      <c r="OES184" s="11"/>
      <c r="OET184" s="12"/>
      <c r="OFC184" s="11"/>
      <c r="OFD184" s="12"/>
      <c r="OFM184" s="11"/>
      <c r="OFN184" s="12"/>
      <c r="OFW184" s="11"/>
      <c r="OFX184" s="12"/>
      <c r="OGG184" s="11"/>
      <c r="OGH184" s="12"/>
      <c r="OGQ184" s="11"/>
      <c r="OGR184" s="12"/>
      <c r="OHA184" s="11"/>
      <c r="OHB184" s="12"/>
      <c r="OHK184" s="11"/>
      <c r="OHL184" s="12"/>
      <c r="OHU184" s="11"/>
      <c r="OHV184" s="12"/>
      <c r="OIE184" s="11"/>
      <c r="OIF184" s="12"/>
      <c r="OIO184" s="11"/>
      <c r="OIP184" s="12"/>
      <c r="OIY184" s="11"/>
      <c r="OIZ184" s="12"/>
      <c r="OJI184" s="11"/>
      <c r="OJJ184" s="12"/>
      <c r="OJS184" s="11"/>
      <c r="OJT184" s="12"/>
      <c r="OKC184" s="11"/>
      <c r="OKD184" s="12"/>
      <c r="OKM184" s="11"/>
      <c r="OKN184" s="12"/>
      <c r="OKW184" s="11"/>
      <c r="OKX184" s="12"/>
      <c r="OLG184" s="11"/>
      <c r="OLH184" s="12"/>
      <c r="OLQ184" s="11"/>
      <c r="OLR184" s="12"/>
      <c r="OMA184" s="11"/>
      <c r="OMB184" s="12"/>
      <c r="OMK184" s="11"/>
      <c r="OML184" s="12"/>
      <c r="OMU184" s="11"/>
      <c r="OMV184" s="12"/>
      <c r="ONE184" s="11"/>
      <c r="ONF184" s="12"/>
      <c r="ONO184" s="11"/>
      <c r="ONP184" s="12"/>
      <c r="ONY184" s="11"/>
      <c r="ONZ184" s="12"/>
      <c r="OOI184" s="11"/>
      <c r="OOJ184" s="12"/>
      <c r="OOS184" s="11"/>
      <c r="OOT184" s="12"/>
      <c r="OPC184" s="11"/>
      <c r="OPD184" s="12"/>
      <c r="OPM184" s="11"/>
      <c r="OPN184" s="12"/>
      <c r="OPW184" s="11"/>
      <c r="OPX184" s="12"/>
      <c r="OQG184" s="11"/>
      <c r="OQH184" s="12"/>
      <c r="OQQ184" s="11"/>
      <c r="OQR184" s="12"/>
      <c r="ORA184" s="11"/>
      <c r="ORB184" s="12"/>
      <c r="ORK184" s="11"/>
      <c r="ORL184" s="12"/>
      <c r="ORU184" s="11"/>
      <c r="ORV184" s="12"/>
      <c r="OSE184" s="11"/>
      <c r="OSF184" s="12"/>
      <c r="OSO184" s="11"/>
      <c r="OSP184" s="12"/>
      <c r="OSY184" s="11"/>
      <c r="OSZ184" s="12"/>
      <c r="OTI184" s="11"/>
      <c r="OTJ184" s="12"/>
      <c r="OTS184" s="11"/>
      <c r="OTT184" s="12"/>
      <c r="OUC184" s="11"/>
      <c r="OUD184" s="12"/>
      <c r="OUM184" s="11"/>
      <c r="OUN184" s="12"/>
      <c r="OUW184" s="11"/>
      <c r="OUX184" s="12"/>
      <c r="OVG184" s="11"/>
      <c r="OVH184" s="12"/>
      <c r="OVQ184" s="11"/>
      <c r="OVR184" s="12"/>
      <c r="OWA184" s="11"/>
      <c r="OWB184" s="12"/>
      <c r="OWK184" s="11"/>
      <c r="OWL184" s="12"/>
      <c r="OWU184" s="11"/>
      <c r="OWV184" s="12"/>
      <c r="OXE184" s="11"/>
      <c r="OXF184" s="12"/>
      <c r="OXO184" s="11"/>
      <c r="OXP184" s="12"/>
      <c r="OXY184" s="11"/>
      <c r="OXZ184" s="12"/>
      <c r="OYI184" s="11"/>
      <c r="OYJ184" s="12"/>
      <c r="OYS184" s="11"/>
      <c r="OYT184" s="12"/>
      <c r="OZC184" s="11"/>
      <c r="OZD184" s="12"/>
      <c r="OZM184" s="11"/>
      <c r="OZN184" s="12"/>
      <c r="OZW184" s="11"/>
      <c r="OZX184" s="12"/>
      <c r="PAG184" s="11"/>
      <c r="PAH184" s="12"/>
      <c r="PAQ184" s="11"/>
      <c r="PAR184" s="12"/>
      <c r="PBA184" s="11"/>
      <c r="PBB184" s="12"/>
      <c r="PBK184" s="11"/>
      <c r="PBL184" s="12"/>
      <c r="PBU184" s="11"/>
      <c r="PBV184" s="12"/>
      <c r="PCE184" s="11"/>
      <c r="PCF184" s="12"/>
      <c r="PCO184" s="11"/>
      <c r="PCP184" s="12"/>
      <c r="PCY184" s="11"/>
      <c r="PCZ184" s="12"/>
      <c r="PDI184" s="11"/>
      <c r="PDJ184" s="12"/>
      <c r="PDS184" s="11"/>
      <c r="PDT184" s="12"/>
      <c r="PEC184" s="11"/>
      <c r="PED184" s="12"/>
      <c r="PEM184" s="11"/>
      <c r="PEN184" s="12"/>
      <c r="PEW184" s="11"/>
      <c r="PEX184" s="12"/>
      <c r="PFG184" s="11"/>
      <c r="PFH184" s="12"/>
      <c r="PFQ184" s="11"/>
      <c r="PFR184" s="12"/>
      <c r="PGA184" s="11"/>
      <c r="PGB184" s="12"/>
      <c r="PGK184" s="11"/>
      <c r="PGL184" s="12"/>
      <c r="PGU184" s="11"/>
      <c r="PGV184" s="12"/>
      <c r="PHE184" s="11"/>
      <c r="PHF184" s="12"/>
      <c r="PHO184" s="11"/>
      <c r="PHP184" s="12"/>
      <c r="PHY184" s="11"/>
      <c r="PHZ184" s="12"/>
      <c r="PII184" s="11"/>
      <c r="PIJ184" s="12"/>
      <c r="PIS184" s="11"/>
      <c r="PIT184" s="12"/>
      <c r="PJC184" s="11"/>
      <c r="PJD184" s="12"/>
      <c r="PJM184" s="11"/>
      <c r="PJN184" s="12"/>
      <c r="PJW184" s="11"/>
      <c r="PJX184" s="12"/>
      <c r="PKG184" s="11"/>
      <c r="PKH184" s="12"/>
      <c r="PKQ184" s="11"/>
      <c r="PKR184" s="12"/>
      <c r="PLA184" s="11"/>
      <c r="PLB184" s="12"/>
      <c r="PLK184" s="11"/>
      <c r="PLL184" s="12"/>
      <c r="PLU184" s="11"/>
      <c r="PLV184" s="12"/>
      <c r="PME184" s="11"/>
      <c r="PMF184" s="12"/>
      <c r="PMO184" s="11"/>
      <c r="PMP184" s="12"/>
      <c r="PMY184" s="11"/>
      <c r="PMZ184" s="12"/>
      <c r="PNI184" s="11"/>
      <c r="PNJ184" s="12"/>
      <c r="PNS184" s="11"/>
      <c r="PNT184" s="12"/>
      <c r="POC184" s="11"/>
      <c r="POD184" s="12"/>
      <c r="POM184" s="11"/>
      <c r="PON184" s="12"/>
      <c r="POW184" s="11"/>
      <c r="POX184" s="12"/>
      <c r="PPG184" s="11"/>
      <c r="PPH184" s="12"/>
      <c r="PPQ184" s="11"/>
      <c r="PPR184" s="12"/>
      <c r="PQA184" s="11"/>
      <c r="PQB184" s="12"/>
      <c r="PQK184" s="11"/>
      <c r="PQL184" s="12"/>
      <c r="PQU184" s="11"/>
      <c r="PQV184" s="12"/>
      <c r="PRE184" s="11"/>
      <c r="PRF184" s="12"/>
      <c r="PRO184" s="11"/>
      <c r="PRP184" s="12"/>
      <c r="PRY184" s="11"/>
      <c r="PRZ184" s="12"/>
      <c r="PSI184" s="11"/>
      <c r="PSJ184" s="12"/>
      <c r="PSS184" s="11"/>
      <c r="PST184" s="12"/>
      <c r="PTC184" s="11"/>
      <c r="PTD184" s="12"/>
      <c r="PTM184" s="11"/>
      <c r="PTN184" s="12"/>
      <c r="PTW184" s="11"/>
      <c r="PTX184" s="12"/>
      <c r="PUG184" s="11"/>
      <c r="PUH184" s="12"/>
      <c r="PUQ184" s="11"/>
      <c r="PUR184" s="12"/>
      <c r="PVA184" s="11"/>
      <c r="PVB184" s="12"/>
      <c r="PVK184" s="11"/>
      <c r="PVL184" s="12"/>
      <c r="PVU184" s="11"/>
      <c r="PVV184" s="12"/>
      <c r="PWE184" s="11"/>
      <c r="PWF184" s="12"/>
      <c r="PWO184" s="11"/>
      <c r="PWP184" s="12"/>
      <c r="PWY184" s="11"/>
      <c r="PWZ184" s="12"/>
      <c r="PXI184" s="11"/>
      <c r="PXJ184" s="12"/>
      <c r="PXS184" s="11"/>
      <c r="PXT184" s="12"/>
      <c r="PYC184" s="11"/>
      <c r="PYD184" s="12"/>
      <c r="PYM184" s="11"/>
      <c r="PYN184" s="12"/>
      <c r="PYW184" s="11"/>
      <c r="PYX184" s="12"/>
      <c r="PZG184" s="11"/>
      <c r="PZH184" s="12"/>
      <c r="PZQ184" s="11"/>
      <c r="PZR184" s="12"/>
      <c r="QAA184" s="11"/>
      <c r="QAB184" s="12"/>
      <c r="QAK184" s="11"/>
      <c r="QAL184" s="12"/>
      <c r="QAU184" s="11"/>
      <c r="QAV184" s="12"/>
      <c r="QBE184" s="11"/>
      <c r="QBF184" s="12"/>
      <c r="QBO184" s="11"/>
      <c r="QBP184" s="12"/>
      <c r="QBY184" s="11"/>
      <c r="QBZ184" s="12"/>
      <c r="QCI184" s="11"/>
      <c r="QCJ184" s="12"/>
      <c r="QCS184" s="11"/>
      <c r="QCT184" s="12"/>
      <c r="QDC184" s="11"/>
      <c r="QDD184" s="12"/>
      <c r="QDM184" s="11"/>
      <c r="QDN184" s="12"/>
      <c r="QDW184" s="11"/>
      <c r="QDX184" s="12"/>
      <c r="QEG184" s="11"/>
      <c r="QEH184" s="12"/>
      <c r="QEQ184" s="11"/>
      <c r="QER184" s="12"/>
      <c r="QFA184" s="11"/>
      <c r="QFB184" s="12"/>
      <c r="QFK184" s="11"/>
      <c r="QFL184" s="12"/>
      <c r="QFU184" s="11"/>
      <c r="QFV184" s="12"/>
      <c r="QGE184" s="11"/>
      <c r="QGF184" s="12"/>
      <c r="QGO184" s="11"/>
      <c r="QGP184" s="12"/>
      <c r="QGY184" s="11"/>
      <c r="QGZ184" s="12"/>
      <c r="QHI184" s="11"/>
      <c r="QHJ184" s="12"/>
      <c r="QHS184" s="11"/>
      <c r="QHT184" s="12"/>
      <c r="QIC184" s="11"/>
      <c r="QID184" s="12"/>
      <c r="QIM184" s="11"/>
      <c r="QIN184" s="12"/>
      <c r="QIW184" s="11"/>
      <c r="QIX184" s="12"/>
      <c r="QJG184" s="11"/>
      <c r="QJH184" s="12"/>
      <c r="QJQ184" s="11"/>
      <c r="QJR184" s="12"/>
      <c r="QKA184" s="11"/>
      <c r="QKB184" s="12"/>
      <c r="QKK184" s="11"/>
      <c r="QKL184" s="12"/>
      <c r="QKU184" s="11"/>
      <c r="QKV184" s="12"/>
      <c r="QLE184" s="11"/>
      <c r="QLF184" s="12"/>
      <c r="QLO184" s="11"/>
      <c r="QLP184" s="12"/>
      <c r="QLY184" s="11"/>
      <c r="QLZ184" s="12"/>
      <c r="QMI184" s="11"/>
      <c r="QMJ184" s="12"/>
      <c r="QMS184" s="11"/>
      <c r="QMT184" s="12"/>
      <c r="QNC184" s="11"/>
      <c r="QND184" s="12"/>
      <c r="QNM184" s="11"/>
      <c r="QNN184" s="12"/>
      <c r="QNW184" s="11"/>
      <c r="QNX184" s="12"/>
      <c r="QOG184" s="11"/>
      <c r="QOH184" s="12"/>
      <c r="QOQ184" s="11"/>
      <c r="QOR184" s="12"/>
      <c r="QPA184" s="11"/>
      <c r="QPB184" s="12"/>
      <c r="QPK184" s="11"/>
      <c r="QPL184" s="12"/>
      <c r="QPU184" s="11"/>
      <c r="QPV184" s="12"/>
      <c r="QQE184" s="11"/>
      <c r="QQF184" s="12"/>
      <c r="QQO184" s="11"/>
      <c r="QQP184" s="12"/>
      <c r="QQY184" s="11"/>
      <c r="QQZ184" s="12"/>
      <c r="QRI184" s="11"/>
      <c r="QRJ184" s="12"/>
      <c r="QRS184" s="11"/>
      <c r="QRT184" s="12"/>
      <c r="QSC184" s="11"/>
      <c r="QSD184" s="12"/>
      <c r="QSM184" s="11"/>
      <c r="QSN184" s="12"/>
      <c r="QSW184" s="11"/>
      <c r="QSX184" s="12"/>
      <c r="QTG184" s="11"/>
      <c r="QTH184" s="12"/>
      <c r="QTQ184" s="11"/>
      <c r="QTR184" s="12"/>
      <c r="QUA184" s="11"/>
      <c r="QUB184" s="12"/>
      <c r="QUK184" s="11"/>
      <c r="QUL184" s="12"/>
      <c r="QUU184" s="11"/>
      <c r="QUV184" s="12"/>
      <c r="QVE184" s="11"/>
      <c r="QVF184" s="12"/>
      <c r="QVO184" s="11"/>
      <c r="QVP184" s="12"/>
      <c r="QVY184" s="11"/>
      <c r="QVZ184" s="12"/>
      <c r="QWI184" s="11"/>
      <c r="QWJ184" s="12"/>
      <c r="QWS184" s="11"/>
      <c r="QWT184" s="12"/>
      <c r="QXC184" s="11"/>
      <c r="QXD184" s="12"/>
      <c r="QXM184" s="11"/>
      <c r="QXN184" s="12"/>
      <c r="QXW184" s="11"/>
      <c r="QXX184" s="12"/>
      <c r="QYG184" s="11"/>
      <c r="QYH184" s="12"/>
      <c r="QYQ184" s="11"/>
      <c r="QYR184" s="12"/>
      <c r="QZA184" s="11"/>
      <c r="QZB184" s="12"/>
      <c r="QZK184" s="11"/>
      <c r="QZL184" s="12"/>
      <c r="QZU184" s="11"/>
      <c r="QZV184" s="12"/>
      <c r="RAE184" s="11"/>
      <c r="RAF184" s="12"/>
      <c r="RAO184" s="11"/>
      <c r="RAP184" s="12"/>
      <c r="RAY184" s="11"/>
      <c r="RAZ184" s="12"/>
      <c r="RBI184" s="11"/>
      <c r="RBJ184" s="12"/>
      <c r="RBS184" s="11"/>
      <c r="RBT184" s="12"/>
      <c r="RCC184" s="11"/>
      <c r="RCD184" s="12"/>
      <c r="RCM184" s="11"/>
      <c r="RCN184" s="12"/>
      <c r="RCW184" s="11"/>
      <c r="RCX184" s="12"/>
      <c r="RDG184" s="11"/>
      <c r="RDH184" s="12"/>
      <c r="RDQ184" s="11"/>
      <c r="RDR184" s="12"/>
      <c r="REA184" s="11"/>
      <c r="REB184" s="12"/>
      <c r="REK184" s="11"/>
      <c r="REL184" s="12"/>
      <c r="REU184" s="11"/>
      <c r="REV184" s="12"/>
      <c r="RFE184" s="11"/>
      <c r="RFF184" s="12"/>
      <c r="RFO184" s="11"/>
      <c r="RFP184" s="12"/>
      <c r="RFY184" s="11"/>
      <c r="RFZ184" s="12"/>
      <c r="RGI184" s="11"/>
      <c r="RGJ184" s="12"/>
      <c r="RGS184" s="11"/>
      <c r="RGT184" s="12"/>
      <c r="RHC184" s="11"/>
      <c r="RHD184" s="12"/>
      <c r="RHM184" s="11"/>
      <c r="RHN184" s="12"/>
      <c r="RHW184" s="11"/>
      <c r="RHX184" s="12"/>
      <c r="RIG184" s="11"/>
      <c r="RIH184" s="12"/>
      <c r="RIQ184" s="11"/>
      <c r="RIR184" s="12"/>
      <c r="RJA184" s="11"/>
      <c r="RJB184" s="12"/>
      <c r="RJK184" s="11"/>
      <c r="RJL184" s="12"/>
      <c r="RJU184" s="11"/>
      <c r="RJV184" s="12"/>
      <c r="RKE184" s="11"/>
      <c r="RKF184" s="12"/>
      <c r="RKO184" s="11"/>
      <c r="RKP184" s="12"/>
      <c r="RKY184" s="11"/>
      <c r="RKZ184" s="12"/>
      <c r="RLI184" s="11"/>
      <c r="RLJ184" s="12"/>
      <c r="RLS184" s="11"/>
      <c r="RLT184" s="12"/>
      <c r="RMC184" s="11"/>
      <c r="RMD184" s="12"/>
      <c r="RMM184" s="11"/>
      <c r="RMN184" s="12"/>
      <c r="RMW184" s="11"/>
      <c r="RMX184" s="12"/>
      <c r="RNG184" s="11"/>
      <c r="RNH184" s="12"/>
      <c r="RNQ184" s="11"/>
      <c r="RNR184" s="12"/>
      <c r="ROA184" s="11"/>
      <c r="ROB184" s="12"/>
      <c r="ROK184" s="11"/>
      <c r="ROL184" s="12"/>
      <c r="ROU184" s="11"/>
      <c r="ROV184" s="12"/>
      <c r="RPE184" s="11"/>
      <c r="RPF184" s="12"/>
      <c r="RPO184" s="11"/>
      <c r="RPP184" s="12"/>
      <c r="RPY184" s="11"/>
      <c r="RPZ184" s="12"/>
      <c r="RQI184" s="11"/>
      <c r="RQJ184" s="12"/>
      <c r="RQS184" s="11"/>
      <c r="RQT184" s="12"/>
      <c r="RRC184" s="11"/>
      <c r="RRD184" s="12"/>
      <c r="RRM184" s="11"/>
      <c r="RRN184" s="12"/>
      <c r="RRW184" s="11"/>
      <c r="RRX184" s="12"/>
      <c r="RSG184" s="11"/>
      <c r="RSH184" s="12"/>
      <c r="RSQ184" s="11"/>
      <c r="RSR184" s="12"/>
      <c r="RTA184" s="11"/>
      <c r="RTB184" s="12"/>
      <c r="RTK184" s="11"/>
      <c r="RTL184" s="12"/>
      <c r="RTU184" s="11"/>
      <c r="RTV184" s="12"/>
      <c r="RUE184" s="11"/>
      <c r="RUF184" s="12"/>
      <c r="RUO184" s="11"/>
      <c r="RUP184" s="12"/>
      <c r="RUY184" s="11"/>
      <c r="RUZ184" s="12"/>
      <c r="RVI184" s="11"/>
      <c r="RVJ184" s="12"/>
      <c r="RVS184" s="11"/>
      <c r="RVT184" s="12"/>
      <c r="RWC184" s="11"/>
      <c r="RWD184" s="12"/>
      <c r="RWM184" s="11"/>
      <c r="RWN184" s="12"/>
      <c r="RWW184" s="11"/>
      <c r="RWX184" s="12"/>
      <c r="RXG184" s="11"/>
      <c r="RXH184" s="12"/>
      <c r="RXQ184" s="11"/>
      <c r="RXR184" s="12"/>
      <c r="RYA184" s="11"/>
      <c r="RYB184" s="12"/>
      <c r="RYK184" s="11"/>
      <c r="RYL184" s="12"/>
      <c r="RYU184" s="11"/>
      <c r="RYV184" s="12"/>
      <c r="RZE184" s="11"/>
      <c r="RZF184" s="12"/>
      <c r="RZO184" s="11"/>
      <c r="RZP184" s="12"/>
      <c r="RZY184" s="11"/>
      <c r="RZZ184" s="12"/>
      <c r="SAI184" s="11"/>
      <c r="SAJ184" s="12"/>
      <c r="SAS184" s="11"/>
      <c r="SAT184" s="12"/>
      <c r="SBC184" s="11"/>
      <c r="SBD184" s="12"/>
      <c r="SBM184" s="11"/>
      <c r="SBN184" s="12"/>
      <c r="SBW184" s="11"/>
      <c r="SBX184" s="12"/>
      <c r="SCG184" s="11"/>
      <c r="SCH184" s="12"/>
      <c r="SCQ184" s="11"/>
      <c r="SCR184" s="12"/>
      <c r="SDA184" s="11"/>
      <c r="SDB184" s="12"/>
      <c r="SDK184" s="11"/>
      <c r="SDL184" s="12"/>
      <c r="SDU184" s="11"/>
      <c r="SDV184" s="12"/>
      <c r="SEE184" s="11"/>
      <c r="SEF184" s="12"/>
      <c r="SEO184" s="11"/>
      <c r="SEP184" s="12"/>
      <c r="SEY184" s="11"/>
      <c r="SEZ184" s="12"/>
      <c r="SFI184" s="11"/>
      <c r="SFJ184" s="12"/>
      <c r="SFS184" s="11"/>
      <c r="SFT184" s="12"/>
      <c r="SGC184" s="11"/>
      <c r="SGD184" s="12"/>
      <c r="SGM184" s="11"/>
      <c r="SGN184" s="12"/>
      <c r="SGW184" s="11"/>
      <c r="SGX184" s="12"/>
      <c r="SHG184" s="11"/>
      <c r="SHH184" s="12"/>
      <c r="SHQ184" s="11"/>
      <c r="SHR184" s="12"/>
      <c r="SIA184" s="11"/>
      <c r="SIB184" s="12"/>
      <c r="SIK184" s="11"/>
      <c r="SIL184" s="12"/>
      <c r="SIU184" s="11"/>
      <c r="SIV184" s="12"/>
      <c r="SJE184" s="11"/>
      <c r="SJF184" s="12"/>
      <c r="SJO184" s="11"/>
      <c r="SJP184" s="12"/>
      <c r="SJY184" s="11"/>
      <c r="SJZ184" s="12"/>
      <c r="SKI184" s="11"/>
      <c r="SKJ184" s="12"/>
      <c r="SKS184" s="11"/>
      <c r="SKT184" s="12"/>
      <c r="SLC184" s="11"/>
      <c r="SLD184" s="12"/>
      <c r="SLM184" s="11"/>
      <c r="SLN184" s="12"/>
      <c r="SLW184" s="11"/>
      <c r="SLX184" s="12"/>
      <c r="SMG184" s="11"/>
      <c r="SMH184" s="12"/>
      <c r="SMQ184" s="11"/>
      <c r="SMR184" s="12"/>
      <c r="SNA184" s="11"/>
      <c r="SNB184" s="12"/>
      <c r="SNK184" s="11"/>
      <c r="SNL184" s="12"/>
      <c r="SNU184" s="11"/>
      <c r="SNV184" s="12"/>
      <c r="SOE184" s="11"/>
      <c r="SOF184" s="12"/>
      <c r="SOO184" s="11"/>
      <c r="SOP184" s="12"/>
      <c r="SOY184" s="11"/>
      <c r="SOZ184" s="12"/>
      <c r="SPI184" s="11"/>
      <c r="SPJ184" s="12"/>
      <c r="SPS184" s="11"/>
      <c r="SPT184" s="12"/>
      <c r="SQC184" s="11"/>
      <c r="SQD184" s="12"/>
      <c r="SQM184" s="11"/>
      <c r="SQN184" s="12"/>
      <c r="SQW184" s="11"/>
      <c r="SQX184" s="12"/>
      <c r="SRG184" s="11"/>
      <c r="SRH184" s="12"/>
      <c r="SRQ184" s="11"/>
      <c r="SRR184" s="12"/>
      <c r="SSA184" s="11"/>
      <c r="SSB184" s="12"/>
      <c r="SSK184" s="11"/>
      <c r="SSL184" s="12"/>
      <c r="SSU184" s="11"/>
      <c r="SSV184" s="12"/>
      <c r="STE184" s="11"/>
      <c r="STF184" s="12"/>
      <c r="STO184" s="11"/>
      <c r="STP184" s="12"/>
      <c r="STY184" s="11"/>
      <c r="STZ184" s="12"/>
      <c r="SUI184" s="11"/>
      <c r="SUJ184" s="12"/>
      <c r="SUS184" s="11"/>
      <c r="SUT184" s="12"/>
      <c r="SVC184" s="11"/>
      <c r="SVD184" s="12"/>
      <c r="SVM184" s="11"/>
      <c r="SVN184" s="12"/>
      <c r="SVW184" s="11"/>
      <c r="SVX184" s="12"/>
      <c r="SWG184" s="11"/>
      <c r="SWH184" s="12"/>
      <c r="SWQ184" s="11"/>
      <c r="SWR184" s="12"/>
      <c r="SXA184" s="11"/>
      <c r="SXB184" s="12"/>
      <c r="SXK184" s="11"/>
      <c r="SXL184" s="12"/>
      <c r="SXU184" s="11"/>
      <c r="SXV184" s="12"/>
      <c r="SYE184" s="11"/>
      <c r="SYF184" s="12"/>
      <c r="SYO184" s="11"/>
      <c r="SYP184" s="12"/>
      <c r="SYY184" s="11"/>
      <c r="SYZ184" s="12"/>
      <c r="SZI184" s="11"/>
      <c r="SZJ184" s="12"/>
      <c r="SZS184" s="11"/>
      <c r="SZT184" s="12"/>
      <c r="TAC184" s="11"/>
      <c r="TAD184" s="12"/>
      <c r="TAM184" s="11"/>
      <c r="TAN184" s="12"/>
      <c r="TAW184" s="11"/>
      <c r="TAX184" s="12"/>
      <c r="TBG184" s="11"/>
      <c r="TBH184" s="12"/>
      <c r="TBQ184" s="11"/>
      <c r="TBR184" s="12"/>
      <c r="TCA184" s="11"/>
      <c r="TCB184" s="12"/>
      <c r="TCK184" s="11"/>
      <c r="TCL184" s="12"/>
      <c r="TCU184" s="11"/>
      <c r="TCV184" s="12"/>
      <c r="TDE184" s="11"/>
      <c r="TDF184" s="12"/>
      <c r="TDO184" s="11"/>
      <c r="TDP184" s="12"/>
      <c r="TDY184" s="11"/>
      <c r="TDZ184" s="12"/>
      <c r="TEI184" s="11"/>
      <c r="TEJ184" s="12"/>
      <c r="TES184" s="11"/>
      <c r="TET184" s="12"/>
      <c r="TFC184" s="11"/>
      <c r="TFD184" s="12"/>
      <c r="TFM184" s="11"/>
      <c r="TFN184" s="12"/>
      <c r="TFW184" s="11"/>
      <c r="TFX184" s="12"/>
      <c r="TGG184" s="11"/>
      <c r="TGH184" s="12"/>
      <c r="TGQ184" s="11"/>
      <c r="TGR184" s="12"/>
      <c r="THA184" s="11"/>
      <c r="THB184" s="12"/>
      <c r="THK184" s="11"/>
      <c r="THL184" s="12"/>
      <c r="THU184" s="11"/>
      <c r="THV184" s="12"/>
      <c r="TIE184" s="11"/>
      <c r="TIF184" s="12"/>
      <c r="TIO184" s="11"/>
      <c r="TIP184" s="12"/>
      <c r="TIY184" s="11"/>
      <c r="TIZ184" s="12"/>
      <c r="TJI184" s="11"/>
      <c r="TJJ184" s="12"/>
      <c r="TJS184" s="11"/>
      <c r="TJT184" s="12"/>
      <c r="TKC184" s="11"/>
      <c r="TKD184" s="12"/>
      <c r="TKM184" s="11"/>
      <c r="TKN184" s="12"/>
      <c r="TKW184" s="11"/>
      <c r="TKX184" s="12"/>
      <c r="TLG184" s="11"/>
      <c r="TLH184" s="12"/>
      <c r="TLQ184" s="11"/>
      <c r="TLR184" s="12"/>
      <c r="TMA184" s="11"/>
      <c r="TMB184" s="12"/>
      <c r="TMK184" s="11"/>
      <c r="TML184" s="12"/>
      <c r="TMU184" s="11"/>
      <c r="TMV184" s="12"/>
      <c r="TNE184" s="11"/>
      <c r="TNF184" s="12"/>
      <c r="TNO184" s="11"/>
      <c r="TNP184" s="12"/>
      <c r="TNY184" s="11"/>
      <c r="TNZ184" s="12"/>
      <c r="TOI184" s="11"/>
      <c r="TOJ184" s="12"/>
      <c r="TOS184" s="11"/>
      <c r="TOT184" s="12"/>
      <c r="TPC184" s="11"/>
      <c r="TPD184" s="12"/>
      <c r="TPM184" s="11"/>
      <c r="TPN184" s="12"/>
      <c r="TPW184" s="11"/>
      <c r="TPX184" s="12"/>
      <c r="TQG184" s="11"/>
      <c r="TQH184" s="12"/>
      <c r="TQQ184" s="11"/>
      <c r="TQR184" s="12"/>
      <c r="TRA184" s="11"/>
      <c r="TRB184" s="12"/>
      <c r="TRK184" s="11"/>
      <c r="TRL184" s="12"/>
      <c r="TRU184" s="11"/>
      <c r="TRV184" s="12"/>
      <c r="TSE184" s="11"/>
      <c r="TSF184" s="12"/>
      <c r="TSO184" s="11"/>
      <c r="TSP184" s="12"/>
      <c r="TSY184" s="11"/>
      <c r="TSZ184" s="12"/>
      <c r="TTI184" s="11"/>
      <c r="TTJ184" s="12"/>
      <c r="TTS184" s="11"/>
      <c r="TTT184" s="12"/>
      <c r="TUC184" s="11"/>
      <c r="TUD184" s="12"/>
      <c r="TUM184" s="11"/>
      <c r="TUN184" s="12"/>
      <c r="TUW184" s="11"/>
      <c r="TUX184" s="12"/>
      <c r="TVG184" s="11"/>
      <c r="TVH184" s="12"/>
      <c r="TVQ184" s="11"/>
      <c r="TVR184" s="12"/>
      <c r="TWA184" s="11"/>
      <c r="TWB184" s="12"/>
      <c r="TWK184" s="11"/>
      <c r="TWL184" s="12"/>
      <c r="TWU184" s="11"/>
      <c r="TWV184" s="12"/>
      <c r="TXE184" s="11"/>
      <c r="TXF184" s="12"/>
      <c r="TXO184" s="11"/>
      <c r="TXP184" s="12"/>
      <c r="TXY184" s="11"/>
      <c r="TXZ184" s="12"/>
      <c r="TYI184" s="11"/>
      <c r="TYJ184" s="12"/>
      <c r="TYS184" s="11"/>
      <c r="TYT184" s="12"/>
      <c r="TZC184" s="11"/>
      <c r="TZD184" s="12"/>
      <c r="TZM184" s="11"/>
      <c r="TZN184" s="12"/>
      <c r="TZW184" s="11"/>
      <c r="TZX184" s="12"/>
      <c r="UAG184" s="11"/>
      <c r="UAH184" s="12"/>
      <c r="UAQ184" s="11"/>
      <c r="UAR184" s="12"/>
      <c r="UBA184" s="11"/>
      <c r="UBB184" s="12"/>
      <c r="UBK184" s="11"/>
      <c r="UBL184" s="12"/>
      <c r="UBU184" s="11"/>
      <c r="UBV184" s="12"/>
      <c r="UCE184" s="11"/>
      <c r="UCF184" s="12"/>
      <c r="UCO184" s="11"/>
      <c r="UCP184" s="12"/>
      <c r="UCY184" s="11"/>
      <c r="UCZ184" s="12"/>
      <c r="UDI184" s="11"/>
      <c r="UDJ184" s="12"/>
      <c r="UDS184" s="11"/>
      <c r="UDT184" s="12"/>
      <c r="UEC184" s="11"/>
      <c r="UED184" s="12"/>
      <c r="UEM184" s="11"/>
      <c r="UEN184" s="12"/>
      <c r="UEW184" s="11"/>
      <c r="UEX184" s="12"/>
      <c r="UFG184" s="11"/>
      <c r="UFH184" s="12"/>
      <c r="UFQ184" s="11"/>
      <c r="UFR184" s="12"/>
      <c r="UGA184" s="11"/>
      <c r="UGB184" s="12"/>
      <c r="UGK184" s="11"/>
      <c r="UGL184" s="12"/>
      <c r="UGU184" s="11"/>
      <c r="UGV184" s="12"/>
      <c r="UHE184" s="11"/>
      <c r="UHF184" s="12"/>
      <c r="UHO184" s="11"/>
      <c r="UHP184" s="12"/>
      <c r="UHY184" s="11"/>
      <c r="UHZ184" s="12"/>
      <c r="UII184" s="11"/>
      <c r="UIJ184" s="12"/>
      <c r="UIS184" s="11"/>
      <c r="UIT184" s="12"/>
      <c r="UJC184" s="11"/>
      <c r="UJD184" s="12"/>
      <c r="UJM184" s="11"/>
      <c r="UJN184" s="12"/>
      <c r="UJW184" s="11"/>
      <c r="UJX184" s="12"/>
      <c r="UKG184" s="11"/>
      <c r="UKH184" s="12"/>
      <c r="UKQ184" s="11"/>
      <c r="UKR184" s="12"/>
      <c r="ULA184" s="11"/>
      <c r="ULB184" s="12"/>
      <c r="ULK184" s="11"/>
      <c r="ULL184" s="12"/>
      <c r="ULU184" s="11"/>
      <c r="ULV184" s="12"/>
      <c r="UME184" s="11"/>
      <c r="UMF184" s="12"/>
      <c r="UMO184" s="11"/>
      <c r="UMP184" s="12"/>
      <c r="UMY184" s="11"/>
      <c r="UMZ184" s="12"/>
      <c r="UNI184" s="11"/>
      <c r="UNJ184" s="12"/>
      <c r="UNS184" s="11"/>
      <c r="UNT184" s="12"/>
      <c r="UOC184" s="11"/>
      <c r="UOD184" s="12"/>
      <c r="UOM184" s="11"/>
      <c r="UON184" s="12"/>
      <c r="UOW184" s="11"/>
      <c r="UOX184" s="12"/>
      <c r="UPG184" s="11"/>
      <c r="UPH184" s="12"/>
      <c r="UPQ184" s="11"/>
      <c r="UPR184" s="12"/>
      <c r="UQA184" s="11"/>
      <c r="UQB184" s="12"/>
      <c r="UQK184" s="11"/>
      <c r="UQL184" s="12"/>
      <c r="UQU184" s="11"/>
      <c r="UQV184" s="12"/>
      <c r="URE184" s="11"/>
      <c r="URF184" s="12"/>
      <c r="URO184" s="11"/>
      <c r="URP184" s="12"/>
      <c r="URY184" s="11"/>
      <c r="URZ184" s="12"/>
      <c r="USI184" s="11"/>
      <c r="USJ184" s="12"/>
      <c r="USS184" s="11"/>
      <c r="UST184" s="12"/>
      <c r="UTC184" s="11"/>
      <c r="UTD184" s="12"/>
      <c r="UTM184" s="11"/>
      <c r="UTN184" s="12"/>
      <c r="UTW184" s="11"/>
      <c r="UTX184" s="12"/>
      <c r="UUG184" s="11"/>
      <c r="UUH184" s="12"/>
      <c r="UUQ184" s="11"/>
      <c r="UUR184" s="12"/>
      <c r="UVA184" s="11"/>
      <c r="UVB184" s="12"/>
      <c r="UVK184" s="11"/>
      <c r="UVL184" s="12"/>
      <c r="UVU184" s="11"/>
      <c r="UVV184" s="12"/>
      <c r="UWE184" s="11"/>
      <c r="UWF184" s="12"/>
      <c r="UWO184" s="11"/>
      <c r="UWP184" s="12"/>
      <c r="UWY184" s="11"/>
      <c r="UWZ184" s="12"/>
      <c r="UXI184" s="11"/>
      <c r="UXJ184" s="12"/>
      <c r="UXS184" s="11"/>
      <c r="UXT184" s="12"/>
      <c r="UYC184" s="11"/>
      <c r="UYD184" s="12"/>
      <c r="UYM184" s="11"/>
      <c r="UYN184" s="12"/>
      <c r="UYW184" s="11"/>
      <c r="UYX184" s="12"/>
      <c r="UZG184" s="11"/>
      <c r="UZH184" s="12"/>
      <c r="UZQ184" s="11"/>
      <c r="UZR184" s="12"/>
      <c r="VAA184" s="11"/>
      <c r="VAB184" s="12"/>
      <c r="VAK184" s="11"/>
      <c r="VAL184" s="12"/>
      <c r="VAU184" s="11"/>
      <c r="VAV184" s="12"/>
      <c r="VBE184" s="11"/>
      <c r="VBF184" s="12"/>
      <c r="VBO184" s="11"/>
      <c r="VBP184" s="12"/>
      <c r="VBY184" s="11"/>
      <c r="VBZ184" s="12"/>
      <c r="VCI184" s="11"/>
      <c r="VCJ184" s="12"/>
      <c r="VCS184" s="11"/>
      <c r="VCT184" s="12"/>
      <c r="VDC184" s="11"/>
      <c r="VDD184" s="12"/>
      <c r="VDM184" s="11"/>
      <c r="VDN184" s="12"/>
      <c r="VDW184" s="11"/>
      <c r="VDX184" s="12"/>
      <c r="VEG184" s="11"/>
      <c r="VEH184" s="12"/>
      <c r="VEQ184" s="11"/>
      <c r="VER184" s="12"/>
      <c r="VFA184" s="11"/>
      <c r="VFB184" s="12"/>
      <c r="VFK184" s="11"/>
      <c r="VFL184" s="12"/>
      <c r="VFU184" s="11"/>
      <c r="VFV184" s="12"/>
      <c r="VGE184" s="11"/>
      <c r="VGF184" s="12"/>
      <c r="VGO184" s="11"/>
      <c r="VGP184" s="12"/>
      <c r="VGY184" s="11"/>
      <c r="VGZ184" s="12"/>
      <c r="VHI184" s="11"/>
      <c r="VHJ184" s="12"/>
      <c r="VHS184" s="11"/>
      <c r="VHT184" s="12"/>
      <c r="VIC184" s="11"/>
      <c r="VID184" s="12"/>
      <c r="VIM184" s="11"/>
      <c r="VIN184" s="12"/>
      <c r="VIW184" s="11"/>
      <c r="VIX184" s="12"/>
      <c r="VJG184" s="11"/>
      <c r="VJH184" s="12"/>
      <c r="VJQ184" s="11"/>
      <c r="VJR184" s="12"/>
      <c r="VKA184" s="11"/>
      <c r="VKB184" s="12"/>
      <c r="VKK184" s="11"/>
      <c r="VKL184" s="12"/>
      <c r="VKU184" s="11"/>
      <c r="VKV184" s="12"/>
      <c r="VLE184" s="11"/>
      <c r="VLF184" s="12"/>
      <c r="VLO184" s="11"/>
      <c r="VLP184" s="12"/>
      <c r="VLY184" s="11"/>
      <c r="VLZ184" s="12"/>
      <c r="VMI184" s="11"/>
      <c r="VMJ184" s="12"/>
      <c r="VMS184" s="11"/>
      <c r="VMT184" s="12"/>
      <c r="VNC184" s="11"/>
      <c r="VND184" s="12"/>
      <c r="VNM184" s="11"/>
      <c r="VNN184" s="12"/>
      <c r="VNW184" s="11"/>
      <c r="VNX184" s="12"/>
      <c r="VOG184" s="11"/>
      <c r="VOH184" s="12"/>
      <c r="VOQ184" s="11"/>
      <c r="VOR184" s="12"/>
      <c r="VPA184" s="11"/>
      <c r="VPB184" s="12"/>
      <c r="VPK184" s="11"/>
      <c r="VPL184" s="12"/>
      <c r="VPU184" s="11"/>
      <c r="VPV184" s="12"/>
      <c r="VQE184" s="11"/>
      <c r="VQF184" s="12"/>
      <c r="VQO184" s="11"/>
      <c r="VQP184" s="12"/>
      <c r="VQY184" s="11"/>
      <c r="VQZ184" s="12"/>
      <c r="VRI184" s="11"/>
      <c r="VRJ184" s="12"/>
      <c r="VRS184" s="11"/>
      <c r="VRT184" s="12"/>
      <c r="VSC184" s="11"/>
      <c r="VSD184" s="12"/>
      <c r="VSM184" s="11"/>
      <c r="VSN184" s="12"/>
      <c r="VSW184" s="11"/>
      <c r="VSX184" s="12"/>
      <c r="VTG184" s="11"/>
      <c r="VTH184" s="12"/>
      <c r="VTQ184" s="11"/>
      <c r="VTR184" s="12"/>
      <c r="VUA184" s="11"/>
      <c r="VUB184" s="12"/>
      <c r="VUK184" s="11"/>
      <c r="VUL184" s="12"/>
      <c r="VUU184" s="11"/>
      <c r="VUV184" s="12"/>
      <c r="VVE184" s="11"/>
      <c r="VVF184" s="12"/>
      <c r="VVO184" s="11"/>
      <c r="VVP184" s="12"/>
      <c r="VVY184" s="11"/>
      <c r="VVZ184" s="12"/>
      <c r="VWI184" s="11"/>
      <c r="VWJ184" s="12"/>
      <c r="VWS184" s="11"/>
      <c r="VWT184" s="12"/>
      <c r="VXC184" s="11"/>
      <c r="VXD184" s="12"/>
      <c r="VXM184" s="11"/>
      <c r="VXN184" s="12"/>
      <c r="VXW184" s="11"/>
      <c r="VXX184" s="12"/>
      <c r="VYG184" s="11"/>
      <c r="VYH184" s="12"/>
      <c r="VYQ184" s="11"/>
      <c r="VYR184" s="12"/>
      <c r="VZA184" s="11"/>
      <c r="VZB184" s="12"/>
      <c r="VZK184" s="11"/>
      <c r="VZL184" s="12"/>
      <c r="VZU184" s="11"/>
      <c r="VZV184" s="12"/>
      <c r="WAE184" s="11"/>
      <c r="WAF184" s="12"/>
      <c r="WAO184" s="11"/>
      <c r="WAP184" s="12"/>
      <c r="WAY184" s="11"/>
      <c r="WAZ184" s="12"/>
      <c r="WBI184" s="11"/>
      <c r="WBJ184" s="12"/>
      <c r="WBS184" s="11"/>
      <c r="WBT184" s="12"/>
      <c r="WCC184" s="11"/>
      <c r="WCD184" s="12"/>
      <c r="WCM184" s="11"/>
      <c r="WCN184" s="12"/>
      <c r="WCW184" s="11"/>
      <c r="WCX184" s="12"/>
      <c r="WDG184" s="11"/>
      <c r="WDH184" s="12"/>
      <c r="WDQ184" s="11"/>
      <c r="WDR184" s="12"/>
      <c r="WEA184" s="11"/>
      <c r="WEB184" s="12"/>
      <c r="WEK184" s="11"/>
      <c r="WEL184" s="12"/>
      <c r="WEU184" s="11"/>
      <c r="WEV184" s="12"/>
      <c r="WFE184" s="11"/>
      <c r="WFF184" s="12"/>
      <c r="WFO184" s="11"/>
      <c r="WFP184" s="12"/>
      <c r="WFY184" s="11"/>
      <c r="WFZ184" s="12"/>
      <c r="WGI184" s="11"/>
      <c r="WGJ184" s="12"/>
      <c r="WGS184" s="11"/>
      <c r="WGT184" s="12"/>
      <c r="WHC184" s="11"/>
      <c r="WHD184" s="12"/>
      <c r="WHM184" s="11"/>
      <c r="WHN184" s="12"/>
      <c r="WHW184" s="11"/>
      <c r="WHX184" s="12"/>
      <c r="WIG184" s="11"/>
      <c r="WIH184" s="12"/>
      <c r="WIQ184" s="11"/>
      <c r="WIR184" s="12"/>
      <c r="WJA184" s="11"/>
      <c r="WJB184" s="12"/>
      <c r="WJK184" s="11"/>
      <c r="WJL184" s="12"/>
      <c r="WJU184" s="11"/>
      <c r="WJV184" s="12"/>
      <c r="WKE184" s="11"/>
      <c r="WKF184" s="12"/>
      <c r="WKO184" s="11"/>
      <c r="WKP184" s="12"/>
      <c r="WKY184" s="11"/>
      <c r="WKZ184" s="12"/>
      <c r="WLI184" s="11"/>
      <c r="WLJ184" s="12"/>
      <c r="WLS184" s="11"/>
      <c r="WLT184" s="12"/>
      <c r="WMC184" s="11"/>
      <c r="WMD184" s="12"/>
      <c r="WMM184" s="11"/>
      <c r="WMN184" s="12"/>
      <c r="WMW184" s="11"/>
      <c r="WMX184" s="12"/>
      <c r="WNG184" s="11"/>
      <c r="WNH184" s="12"/>
      <c r="WNQ184" s="11"/>
      <c r="WNR184" s="12"/>
      <c r="WOA184" s="11"/>
      <c r="WOB184" s="12"/>
      <c r="WOK184" s="11"/>
      <c r="WOL184" s="12"/>
      <c r="WOU184" s="11"/>
      <c r="WOV184" s="12"/>
      <c r="WPE184" s="11"/>
      <c r="WPF184" s="12"/>
      <c r="WPO184" s="11"/>
      <c r="WPP184" s="12"/>
      <c r="WPY184" s="11"/>
      <c r="WPZ184" s="12"/>
      <c r="WQI184" s="11"/>
      <c r="WQJ184" s="12"/>
      <c r="WQS184" s="11"/>
      <c r="WQT184" s="12"/>
      <c r="WRC184" s="11"/>
      <c r="WRD184" s="12"/>
      <c r="WRM184" s="11"/>
      <c r="WRN184" s="12"/>
      <c r="WRW184" s="11"/>
      <c r="WRX184" s="12"/>
      <c r="WSG184" s="11"/>
      <c r="WSH184" s="12"/>
      <c r="WSQ184" s="11"/>
      <c r="WSR184" s="12"/>
      <c r="WTA184" s="11"/>
      <c r="WTB184" s="12"/>
      <c r="WTK184" s="11"/>
      <c r="WTL184" s="12"/>
      <c r="WTU184" s="11"/>
      <c r="WTV184" s="12"/>
      <c r="WUE184" s="11"/>
      <c r="WUF184" s="12"/>
      <c r="WUO184" s="11"/>
      <c r="WUP184" s="12"/>
      <c r="WUY184" s="11"/>
      <c r="WUZ184" s="12"/>
      <c r="WVI184" s="11"/>
      <c r="WVJ184" s="12"/>
      <c r="WVS184" s="11"/>
      <c r="WVT184" s="12"/>
      <c r="WWC184" s="11"/>
      <c r="WWD184" s="12"/>
      <c r="WWM184" s="11"/>
      <c r="WWN184" s="12"/>
      <c r="WWW184" s="11"/>
      <c r="WWX184" s="12"/>
      <c r="WXG184" s="11"/>
      <c r="WXH184" s="12"/>
      <c r="WXQ184" s="11"/>
      <c r="WXR184" s="12"/>
      <c r="WYA184" s="11"/>
      <c r="WYB184" s="12"/>
      <c r="WYK184" s="11"/>
      <c r="WYL184" s="12"/>
      <c r="WYU184" s="11"/>
      <c r="WYV184" s="12"/>
      <c r="WZE184" s="11"/>
      <c r="WZF184" s="12"/>
      <c r="WZO184" s="11"/>
      <c r="WZP184" s="12"/>
      <c r="WZY184" s="11"/>
      <c r="WZZ184" s="12"/>
      <c r="XAI184" s="11"/>
      <c r="XAJ184" s="12"/>
      <c r="XAS184" s="11"/>
      <c r="XAT184" s="12"/>
      <c r="XBC184" s="11"/>
      <c r="XBD184" s="12"/>
      <c r="XBM184" s="11"/>
      <c r="XBN184" s="12"/>
      <c r="XBW184" s="11"/>
      <c r="XBX184" s="12"/>
      <c r="XCG184" s="11"/>
      <c r="XCH184" s="12"/>
      <c r="XCQ184" s="11"/>
      <c r="XCR184" s="12"/>
      <c r="XDA184" s="11"/>
      <c r="XDB184" s="12"/>
      <c r="XDK184" s="11"/>
      <c r="XDL184" s="12"/>
      <c r="XDU184" s="11"/>
      <c r="XDV184" s="12"/>
      <c r="XEE184" s="11"/>
      <c r="XEF184" s="12"/>
      <c r="XEO184" s="11"/>
      <c r="XEP184" s="12"/>
      <c r="XEY184" s="11"/>
      <c r="XEZ184" s="12"/>
    </row>
    <row r="185" spans="1:1020 1029:2040 2049:3070 3079:4090 4099:5120 5129:6140 6149:7160 7169:8190 8199:9210 9219:10240 10249:11260 11269:12280 12289:13310 13319:14330 14339:15360 15369:16380" s="10" customFormat="1" ht="27.6" x14ac:dyDescent="0.3">
      <c r="A185"/>
      <c r="B185"/>
      <c r="C185"/>
      <c r="D185"/>
      <c r="E185"/>
      <c r="F185"/>
      <c r="G185"/>
      <c r="H185" s="32" t="s">
        <v>9</v>
      </c>
      <c r="I185" s="33" t="s">
        <v>17</v>
      </c>
      <c r="J185" s="34" t="s">
        <v>18</v>
      </c>
      <c r="K185" s="35" t="s">
        <v>1</v>
      </c>
      <c r="L185" s="33" t="s">
        <v>275</v>
      </c>
      <c r="M185" s="33"/>
      <c r="N185" s="36"/>
      <c r="O185" s="33">
        <v>3</v>
      </c>
      <c r="P185" s="33">
        <f>IF(Tabela1[[#This Row],[Status]]="✔️",Tabela1[[#This Row],[Peso]],IF(Tabela1[[#This Row],[Status]]="✔️✔️",Tabela1[[#This Row],[Peso]]/2,0))</f>
        <v>0</v>
      </c>
      <c r="Q18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85" s="33" t="s">
        <v>264</v>
      </c>
      <c r="S185" s="37" t="s">
        <v>263</v>
      </c>
      <c r="T185" s="12"/>
      <c r="AC185" s="11"/>
      <c r="AD185" s="12"/>
      <c r="AM185" s="11"/>
      <c r="AN185" s="12"/>
      <c r="AW185" s="11"/>
      <c r="AX185" s="12"/>
      <c r="BG185" s="11"/>
      <c r="BH185" s="12"/>
      <c r="BQ185" s="11"/>
      <c r="BR185" s="12"/>
      <c r="CA185" s="11"/>
      <c r="CB185" s="12"/>
      <c r="CK185" s="11"/>
      <c r="CL185" s="12"/>
      <c r="CU185" s="11"/>
      <c r="CV185" s="12"/>
      <c r="DE185" s="11"/>
      <c r="DF185" s="12"/>
      <c r="DO185" s="11"/>
      <c r="DP185" s="12"/>
      <c r="DY185" s="11"/>
      <c r="DZ185" s="12"/>
      <c r="EI185" s="11"/>
      <c r="EJ185" s="12"/>
      <c r="ES185" s="11"/>
      <c r="ET185" s="12"/>
      <c r="FC185" s="11"/>
      <c r="FD185" s="12"/>
      <c r="FM185" s="11"/>
      <c r="FN185" s="12"/>
      <c r="FW185" s="11"/>
      <c r="FX185" s="12"/>
      <c r="GG185" s="11"/>
      <c r="GH185" s="12"/>
      <c r="GQ185" s="11"/>
      <c r="GR185" s="12"/>
      <c r="HA185" s="11"/>
      <c r="HB185" s="12"/>
      <c r="HK185" s="11"/>
      <c r="HL185" s="12"/>
      <c r="HU185" s="11"/>
      <c r="HV185" s="12"/>
      <c r="IE185" s="11"/>
      <c r="IF185" s="12"/>
      <c r="IO185" s="11"/>
      <c r="IP185" s="12"/>
      <c r="IY185" s="11"/>
      <c r="IZ185" s="12"/>
      <c r="JI185" s="11"/>
      <c r="JJ185" s="12"/>
      <c r="JS185" s="11"/>
      <c r="JT185" s="12"/>
      <c r="KC185" s="11"/>
      <c r="KD185" s="12"/>
      <c r="KM185" s="11"/>
      <c r="KN185" s="12"/>
      <c r="KW185" s="11"/>
      <c r="KX185" s="12"/>
      <c r="LG185" s="11"/>
      <c r="LH185" s="12"/>
      <c r="LQ185" s="11"/>
      <c r="LR185" s="12"/>
      <c r="MA185" s="11"/>
      <c r="MB185" s="12"/>
      <c r="MK185" s="11"/>
      <c r="ML185" s="12"/>
      <c r="MU185" s="11"/>
      <c r="MV185" s="12"/>
      <c r="NE185" s="11"/>
      <c r="NF185" s="12"/>
      <c r="NO185" s="11"/>
      <c r="NP185" s="12"/>
      <c r="NY185" s="11"/>
      <c r="NZ185" s="12"/>
      <c r="OI185" s="11"/>
      <c r="OJ185" s="12"/>
      <c r="OS185" s="11"/>
      <c r="OT185" s="12"/>
      <c r="PC185" s="11"/>
      <c r="PD185" s="12"/>
      <c r="PM185" s="11"/>
      <c r="PN185" s="12"/>
      <c r="PW185" s="11"/>
      <c r="PX185" s="12"/>
      <c r="QG185" s="11"/>
      <c r="QH185" s="12"/>
      <c r="QQ185" s="11"/>
      <c r="QR185" s="12"/>
      <c r="RA185" s="11"/>
      <c r="RB185" s="12"/>
      <c r="RK185" s="11"/>
      <c r="RL185" s="12"/>
      <c r="RU185" s="11"/>
      <c r="RV185" s="12"/>
      <c r="SE185" s="11"/>
      <c r="SF185" s="12"/>
      <c r="SO185" s="11"/>
      <c r="SP185" s="12"/>
      <c r="SY185" s="11"/>
      <c r="SZ185" s="12"/>
      <c r="TI185" s="11"/>
      <c r="TJ185" s="12"/>
      <c r="TS185" s="11"/>
      <c r="TT185" s="12"/>
      <c r="UC185" s="11"/>
      <c r="UD185" s="12"/>
      <c r="UM185" s="11"/>
      <c r="UN185" s="12"/>
      <c r="UW185" s="11"/>
      <c r="UX185" s="12"/>
      <c r="VG185" s="11"/>
      <c r="VH185" s="12"/>
      <c r="VQ185" s="11"/>
      <c r="VR185" s="12"/>
      <c r="WA185" s="11"/>
      <c r="WB185" s="12"/>
      <c r="WK185" s="11"/>
      <c r="WL185" s="12"/>
      <c r="WU185" s="11"/>
      <c r="WV185" s="12"/>
      <c r="XE185" s="11"/>
      <c r="XF185" s="12"/>
      <c r="XO185" s="11"/>
      <c r="XP185" s="12"/>
      <c r="XY185" s="11"/>
      <c r="XZ185" s="12"/>
      <c r="YI185" s="11"/>
      <c r="YJ185" s="12"/>
      <c r="YS185" s="11"/>
      <c r="YT185" s="12"/>
      <c r="ZC185" s="11"/>
      <c r="ZD185" s="12"/>
      <c r="ZM185" s="11"/>
      <c r="ZN185" s="12"/>
      <c r="ZW185" s="11"/>
      <c r="ZX185" s="12"/>
      <c r="AAG185" s="11"/>
      <c r="AAH185" s="12"/>
      <c r="AAQ185" s="11"/>
      <c r="AAR185" s="12"/>
      <c r="ABA185" s="11"/>
      <c r="ABB185" s="12"/>
      <c r="ABK185" s="11"/>
      <c r="ABL185" s="12"/>
      <c r="ABU185" s="11"/>
      <c r="ABV185" s="12"/>
      <c r="ACE185" s="11"/>
      <c r="ACF185" s="12"/>
      <c r="ACO185" s="11"/>
      <c r="ACP185" s="12"/>
      <c r="ACY185" s="11"/>
      <c r="ACZ185" s="12"/>
      <c r="ADI185" s="11"/>
      <c r="ADJ185" s="12"/>
      <c r="ADS185" s="11"/>
      <c r="ADT185" s="12"/>
      <c r="AEC185" s="11"/>
      <c r="AED185" s="12"/>
      <c r="AEM185" s="11"/>
      <c r="AEN185" s="12"/>
      <c r="AEW185" s="11"/>
      <c r="AEX185" s="12"/>
      <c r="AFG185" s="11"/>
      <c r="AFH185" s="12"/>
      <c r="AFQ185" s="11"/>
      <c r="AFR185" s="12"/>
      <c r="AGA185" s="11"/>
      <c r="AGB185" s="12"/>
      <c r="AGK185" s="11"/>
      <c r="AGL185" s="12"/>
      <c r="AGU185" s="11"/>
      <c r="AGV185" s="12"/>
      <c r="AHE185" s="11"/>
      <c r="AHF185" s="12"/>
      <c r="AHO185" s="11"/>
      <c r="AHP185" s="12"/>
      <c r="AHY185" s="11"/>
      <c r="AHZ185" s="12"/>
      <c r="AII185" s="11"/>
      <c r="AIJ185" s="12"/>
      <c r="AIS185" s="11"/>
      <c r="AIT185" s="12"/>
      <c r="AJC185" s="11"/>
      <c r="AJD185" s="12"/>
      <c r="AJM185" s="11"/>
      <c r="AJN185" s="12"/>
      <c r="AJW185" s="11"/>
      <c r="AJX185" s="12"/>
      <c r="AKG185" s="11"/>
      <c r="AKH185" s="12"/>
      <c r="AKQ185" s="11"/>
      <c r="AKR185" s="12"/>
      <c r="ALA185" s="11"/>
      <c r="ALB185" s="12"/>
      <c r="ALK185" s="11"/>
      <c r="ALL185" s="12"/>
      <c r="ALU185" s="11"/>
      <c r="ALV185" s="12"/>
      <c r="AME185" s="11"/>
      <c r="AMF185" s="12"/>
      <c r="AMO185" s="11"/>
      <c r="AMP185" s="12"/>
      <c r="AMY185" s="11"/>
      <c r="AMZ185" s="12"/>
      <c r="ANI185" s="11"/>
      <c r="ANJ185" s="12"/>
      <c r="ANS185" s="11"/>
      <c r="ANT185" s="12"/>
      <c r="AOC185" s="11"/>
      <c r="AOD185" s="12"/>
      <c r="AOM185" s="11"/>
      <c r="AON185" s="12"/>
      <c r="AOW185" s="11"/>
      <c r="AOX185" s="12"/>
      <c r="APG185" s="11"/>
      <c r="APH185" s="12"/>
      <c r="APQ185" s="11"/>
      <c r="APR185" s="12"/>
      <c r="AQA185" s="11"/>
      <c r="AQB185" s="12"/>
      <c r="AQK185" s="11"/>
      <c r="AQL185" s="12"/>
      <c r="AQU185" s="11"/>
      <c r="AQV185" s="12"/>
      <c r="ARE185" s="11"/>
      <c r="ARF185" s="12"/>
      <c r="ARO185" s="11"/>
      <c r="ARP185" s="12"/>
      <c r="ARY185" s="11"/>
      <c r="ARZ185" s="12"/>
      <c r="ASI185" s="11"/>
      <c r="ASJ185" s="12"/>
      <c r="ASS185" s="11"/>
      <c r="AST185" s="12"/>
      <c r="ATC185" s="11"/>
      <c r="ATD185" s="12"/>
      <c r="ATM185" s="11"/>
      <c r="ATN185" s="12"/>
      <c r="ATW185" s="11"/>
      <c r="ATX185" s="12"/>
      <c r="AUG185" s="11"/>
      <c r="AUH185" s="12"/>
      <c r="AUQ185" s="11"/>
      <c r="AUR185" s="12"/>
      <c r="AVA185" s="11"/>
      <c r="AVB185" s="12"/>
      <c r="AVK185" s="11"/>
      <c r="AVL185" s="12"/>
      <c r="AVU185" s="11"/>
      <c r="AVV185" s="12"/>
      <c r="AWE185" s="11"/>
      <c r="AWF185" s="12"/>
      <c r="AWO185" s="11"/>
      <c r="AWP185" s="12"/>
      <c r="AWY185" s="11"/>
      <c r="AWZ185" s="12"/>
      <c r="AXI185" s="11"/>
      <c r="AXJ185" s="12"/>
      <c r="AXS185" s="11"/>
      <c r="AXT185" s="12"/>
      <c r="AYC185" s="11"/>
      <c r="AYD185" s="12"/>
      <c r="AYM185" s="11"/>
      <c r="AYN185" s="12"/>
      <c r="AYW185" s="11"/>
      <c r="AYX185" s="12"/>
      <c r="AZG185" s="11"/>
      <c r="AZH185" s="12"/>
      <c r="AZQ185" s="11"/>
      <c r="AZR185" s="12"/>
      <c r="BAA185" s="11"/>
      <c r="BAB185" s="12"/>
      <c r="BAK185" s="11"/>
      <c r="BAL185" s="12"/>
      <c r="BAU185" s="11"/>
      <c r="BAV185" s="12"/>
      <c r="BBE185" s="11"/>
      <c r="BBF185" s="12"/>
      <c r="BBO185" s="11"/>
      <c r="BBP185" s="12"/>
      <c r="BBY185" s="11"/>
      <c r="BBZ185" s="12"/>
      <c r="BCI185" s="11"/>
      <c r="BCJ185" s="12"/>
      <c r="BCS185" s="11"/>
      <c r="BCT185" s="12"/>
      <c r="BDC185" s="11"/>
      <c r="BDD185" s="12"/>
      <c r="BDM185" s="11"/>
      <c r="BDN185" s="12"/>
      <c r="BDW185" s="11"/>
      <c r="BDX185" s="12"/>
      <c r="BEG185" s="11"/>
      <c r="BEH185" s="12"/>
      <c r="BEQ185" s="11"/>
      <c r="BER185" s="12"/>
      <c r="BFA185" s="11"/>
      <c r="BFB185" s="12"/>
      <c r="BFK185" s="11"/>
      <c r="BFL185" s="12"/>
      <c r="BFU185" s="11"/>
      <c r="BFV185" s="12"/>
      <c r="BGE185" s="11"/>
      <c r="BGF185" s="12"/>
      <c r="BGO185" s="11"/>
      <c r="BGP185" s="12"/>
      <c r="BGY185" s="11"/>
      <c r="BGZ185" s="12"/>
      <c r="BHI185" s="11"/>
      <c r="BHJ185" s="12"/>
      <c r="BHS185" s="11"/>
      <c r="BHT185" s="12"/>
      <c r="BIC185" s="11"/>
      <c r="BID185" s="12"/>
      <c r="BIM185" s="11"/>
      <c r="BIN185" s="12"/>
      <c r="BIW185" s="11"/>
      <c r="BIX185" s="12"/>
      <c r="BJG185" s="11"/>
      <c r="BJH185" s="12"/>
      <c r="BJQ185" s="11"/>
      <c r="BJR185" s="12"/>
      <c r="BKA185" s="11"/>
      <c r="BKB185" s="12"/>
      <c r="BKK185" s="11"/>
      <c r="BKL185" s="12"/>
      <c r="BKU185" s="11"/>
      <c r="BKV185" s="12"/>
      <c r="BLE185" s="11"/>
      <c r="BLF185" s="12"/>
      <c r="BLO185" s="11"/>
      <c r="BLP185" s="12"/>
      <c r="BLY185" s="11"/>
      <c r="BLZ185" s="12"/>
      <c r="BMI185" s="11"/>
      <c r="BMJ185" s="12"/>
      <c r="BMS185" s="11"/>
      <c r="BMT185" s="12"/>
      <c r="BNC185" s="11"/>
      <c r="BND185" s="12"/>
      <c r="BNM185" s="11"/>
      <c r="BNN185" s="12"/>
      <c r="BNW185" s="11"/>
      <c r="BNX185" s="12"/>
      <c r="BOG185" s="11"/>
      <c r="BOH185" s="12"/>
      <c r="BOQ185" s="11"/>
      <c r="BOR185" s="12"/>
      <c r="BPA185" s="11"/>
      <c r="BPB185" s="12"/>
      <c r="BPK185" s="11"/>
      <c r="BPL185" s="12"/>
      <c r="BPU185" s="11"/>
      <c r="BPV185" s="12"/>
      <c r="BQE185" s="11"/>
      <c r="BQF185" s="12"/>
      <c r="BQO185" s="11"/>
      <c r="BQP185" s="12"/>
      <c r="BQY185" s="11"/>
      <c r="BQZ185" s="12"/>
      <c r="BRI185" s="11"/>
      <c r="BRJ185" s="12"/>
      <c r="BRS185" s="11"/>
      <c r="BRT185" s="12"/>
      <c r="BSC185" s="11"/>
      <c r="BSD185" s="12"/>
      <c r="BSM185" s="11"/>
      <c r="BSN185" s="12"/>
      <c r="BSW185" s="11"/>
      <c r="BSX185" s="12"/>
      <c r="BTG185" s="11"/>
      <c r="BTH185" s="12"/>
      <c r="BTQ185" s="11"/>
      <c r="BTR185" s="12"/>
      <c r="BUA185" s="11"/>
      <c r="BUB185" s="12"/>
      <c r="BUK185" s="11"/>
      <c r="BUL185" s="12"/>
      <c r="BUU185" s="11"/>
      <c r="BUV185" s="12"/>
      <c r="BVE185" s="11"/>
      <c r="BVF185" s="12"/>
      <c r="BVO185" s="11"/>
      <c r="BVP185" s="12"/>
      <c r="BVY185" s="11"/>
      <c r="BVZ185" s="12"/>
      <c r="BWI185" s="11"/>
      <c r="BWJ185" s="12"/>
      <c r="BWS185" s="11"/>
      <c r="BWT185" s="12"/>
      <c r="BXC185" s="11"/>
      <c r="BXD185" s="12"/>
      <c r="BXM185" s="11"/>
      <c r="BXN185" s="12"/>
      <c r="BXW185" s="11"/>
      <c r="BXX185" s="12"/>
      <c r="BYG185" s="11"/>
      <c r="BYH185" s="12"/>
      <c r="BYQ185" s="11"/>
      <c r="BYR185" s="12"/>
      <c r="BZA185" s="11"/>
      <c r="BZB185" s="12"/>
      <c r="BZK185" s="11"/>
      <c r="BZL185" s="12"/>
      <c r="BZU185" s="11"/>
      <c r="BZV185" s="12"/>
      <c r="CAE185" s="11"/>
      <c r="CAF185" s="12"/>
      <c r="CAO185" s="11"/>
      <c r="CAP185" s="12"/>
      <c r="CAY185" s="11"/>
      <c r="CAZ185" s="12"/>
      <c r="CBI185" s="11"/>
      <c r="CBJ185" s="12"/>
      <c r="CBS185" s="11"/>
      <c r="CBT185" s="12"/>
      <c r="CCC185" s="11"/>
      <c r="CCD185" s="12"/>
      <c r="CCM185" s="11"/>
      <c r="CCN185" s="12"/>
      <c r="CCW185" s="11"/>
      <c r="CCX185" s="12"/>
      <c r="CDG185" s="11"/>
      <c r="CDH185" s="12"/>
      <c r="CDQ185" s="11"/>
      <c r="CDR185" s="12"/>
      <c r="CEA185" s="11"/>
      <c r="CEB185" s="12"/>
      <c r="CEK185" s="11"/>
      <c r="CEL185" s="12"/>
      <c r="CEU185" s="11"/>
      <c r="CEV185" s="12"/>
      <c r="CFE185" s="11"/>
      <c r="CFF185" s="12"/>
      <c r="CFO185" s="11"/>
      <c r="CFP185" s="12"/>
      <c r="CFY185" s="11"/>
      <c r="CFZ185" s="12"/>
      <c r="CGI185" s="11"/>
      <c r="CGJ185" s="12"/>
      <c r="CGS185" s="11"/>
      <c r="CGT185" s="12"/>
      <c r="CHC185" s="11"/>
      <c r="CHD185" s="12"/>
      <c r="CHM185" s="11"/>
      <c r="CHN185" s="12"/>
      <c r="CHW185" s="11"/>
      <c r="CHX185" s="12"/>
      <c r="CIG185" s="11"/>
      <c r="CIH185" s="12"/>
      <c r="CIQ185" s="11"/>
      <c r="CIR185" s="12"/>
      <c r="CJA185" s="11"/>
      <c r="CJB185" s="12"/>
      <c r="CJK185" s="11"/>
      <c r="CJL185" s="12"/>
      <c r="CJU185" s="11"/>
      <c r="CJV185" s="12"/>
      <c r="CKE185" s="11"/>
      <c r="CKF185" s="12"/>
      <c r="CKO185" s="11"/>
      <c r="CKP185" s="12"/>
      <c r="CKY185" s="11"/>
      <c r="CKZ185" s="12"/>
      <c r="CLI185" s="11"/>
      <c r="CLJ185" s="12"/>
      <c r="CLS185" s="11"/>
      <c r="CLT185" s="12"/>
      <c r="CMC185" s="11"/>
      <c r="CMD185" s="12"/>
      <c r="CMM185" s="11"/>
      <c r="CMN185" s="12"/>
      <c r="CMW185" s="11"/>
      <c r="CMX185" s="12"/>
      <c r="CNG185" s="11"/>
      <c r="CNH185" s="12"/>
      <c r="CNQ185" s="11"/>
      <c r="CNR185" s="12"/>
      <c r="COA185" s="11"/>
      <c r="COB185" s="12"/>
      <c r="COK185" s="11"/>
      <c r="COL185" s="12"/>
      <c r="COU185" s="11"/>
      <c r="COV185" s="12"/>
      <c r="CPE185" s="11"/>
      <c r="CPF185" s="12"/>
      <c r="CPO185" s="11"/>
      <c r="CPP185" s="12"/>
      <c r="CPY185" s="11"/>
      <c r="CPZ185" s="12"/>
      <c r="CQI185" s="11"/>
      <c r="CQJ185" s="12"/>
      <c r="CQS185" s="11"/>
      <c r="CQT185" s="12"/>
      <c r="CRC185" s="11"/>
      <c r="CRD185" s="12"/>
      <c r="CRM185" s="11"/>
      <c r="CRN185" s="12"/>
      <c r="CRW185" s="11"/>
      <c r="CRX185" s="12"/>
      <c r="CSG185" s="11"/>
      <c r="CSH185" s="12"/>
      <c r="CSQ185" s="11"/>
      <c r="CSR185" s="12"/>
      <c r="CTA185" s="11"/>
      <c r="CTB185" s="12"/>
      <c r="CTK185" s="11"/>
      <c r="CTL185" s="12"/>
      <c r="CTU185" s="11"/>
      <c r="CTV185" s="12"/>
      <c r="CUE185" s="11"/>
      <c r="CUF185" s="12"/>
      <c r="CUO185" s="11"/>
      <c r="CUP185" s="12"/>
      <c r="CUY185" s="11"/>
      <c r="CUZ185" s="12"/>
      <c r="CVI185" s="11"/>
      <c r="CVJ185" s="12"/>
      <c r="CVS185" s="11"/>
      <c r="CVT185" s="12"/>
      <c r="CWC185" s="11"/>
      <c r="CWD185" s="12"/>
      <c r="CWM185" s="11"/>
      <c r="CWN185" s="12"/>
      <c r="CWW185" s="11"/>
      <c r="CWX185" s="12"/>
      <c r="CXG185" s="11"/>
      <c r="CXH185" s="12"/>
      <c r="CXQ185" s="11"/>
      <c r="CXR185" s="12"/>
      <c r="CYA185" s="11"/>
      <c r="CYB185" s="12"/>
      <c r="CYK185" s="11"/>
      <c r="CYL185" s="12"/>
      <c r="CYU185" s="11"/>
      <c r="CYV185" s="12"/>
      <c r="CZE185" s="11"/>
      <c r="CZF185" s="12"/>
      <c r="CZO185" s="11"/>
      <c r="CZP185" s="12"/>
      <c r="CZY185" s="11"/>
      <c r="CZZ185" s="12"/>
      <c r="DAI185" s="11"/>
      <c r="DAJ185" s="12"/>
      <c r="DAS185" s="11"/>
      <c r="DAT185" s="12"/>
      <c r="DBC185" s="11"/>
      <c r="DBD185" s="12"/>
      <c r="DBM185" s="11"/>
      <c r="DBN185" s="12"/>
      <c r="DBW185" s="11"/>
      <c r="DBX185" s="12"/>
      <c r="DCG185" s="11"/>
      <c r="DCH185" s="12"/>
      <c r="DCQ185" s="11"/>
      <c r="DCR185" s="12"/>
      <c r="DDA185" s="11"/>
      <c r="DDB185" s="12"/>
      <c r="DDK185" s="11"/>
      <c r="DDL185" s="12"/>
      <c r="DDU185" s="11"/>
      <c r="DDV185" s="12"/>
      <c r="DEE185" s="11"/>
      <c r="DEF185" s="12"/>
      <c r="DEO185" s="11"/>
      <c r="DEP185" s="12"/>
      <c r="DEY185" s="11"/>
      <c r="DEZ185" s="12"/>
      <c r="DFI185" s="11"/>
      <c r="DFJ185" s="12"/>
      <c r="DFS185" s="11"/>
      <c r="DFT185" s="12"/>
      <c r="DGC185" s="11"/>
      <c r="DGD185" s="12"/>
      <c r="DGM185" s="11"/>
      <c r="DGN185" s="12"/>
      <c r="DGW185" s="11"/>
      <c r="DGX185" s="12"/>
      <c r="DHG185" s="11"/>
      <c r="DHH185" s="12"/>
      <c r="DHQ185" s="11"/>
      <c r="DHR185" s="12"/>
      <c r="DIA185" s="11"/>
      <c r="DIB185" s="12"/>
      <c r="DIK185" s="11"/>
      <c r="DIL185" s="12"/>
      <c r="DIU185" s="11"/>
      <c r="DIV185" s="12"/>
      <c r="DJE185" s="11"/>
      <c r="DJF185" s="12"/>
      <c r="DJO185" s="11"/>
      <c r="DJP185" s="12"/>
      <c r="DJY185" s="11"/>
      <c r="DJZ185" s="12"/>
      <c r="DKI185" s="11"/>
      <c r="DKJ185" s="12"/>
      <c r="DKS185" s="11"/>
      <c r="DKT185" s="12"/>
      <c r="DLC185" s="11"/>
      <c r="DLD185" s="12"/>
      <c r="DLM185" s="11"/>
      <c r="DLN185" s="12"/>
      <c r="DLW185" s="11"/>
      <c r="DLX185" s="12"/>
      <c r="DMG185" s="11"/>
      <c r="DMH185" s="12"/>
      <c r="DMQ185" s="11"/>
      <c r="DMR185" s="12"/>
      <c r="DNA185" s="11"/>
      <c r="DNB185" s="12"/>
      <c r="DNK185" s="11"/>
      <c r="DNL185" s="12"/>
      <c r="DNU185" s="11"/>
      <c r="DNV185" s="12"/>
      <c r="DOE185" s="11"/>
      <c r="DOF185" s="12"/>
      <c r="DOO185" s="11"/>
      <c r="DOP185" s="12"/>
      <c r="DOY185" s="11"/>
      <c r="DOZ185" s="12"/>
      <c r="DPI185" s="11"/>
      <c r="DPJ185" s="12"/>
      <c r="DPS185" s="11"/>
      <c r="DPT185" s="12"/>
      <c r="DQC185" s="11"/>
      <c r="DQD185" s="12"/>
      <c r="DQM185" s="11"/>
      <c r="DQN185" s="12"/>
      <c r="DQW185" s="11"/>
      <c r="DQX185" s="12"/>
      <c r="DRG185" s="11"/>
      <c r="DRH185" s="12"/>
      <c r="DRQ185" s="11"/>
      <c r="DRR185" s="12"/>
      <c r="DSA185" s="11"/>
      <c r="DSB185" s="12"/>
      <c r="DSK185" s="11"/>
      <c r="DSL185" s="12"/>
      <c r="DSU185" s="11"/>
      <c r="DSV185" s="12"/>
      <c r="DTE185" s="11"/>
      <c r="DTF185" s="12"/>
      <c r="DTO185" s="11"/>
      <c r="DTP185" s="12"/>
      <c r="DTY185" s="11"/>
      <c r="DTZ185" s="12"/>
      <c r="DUI185" s="11"/>
      <c r="DUJ185" s="12"/>
      <c r="DUS185" s="11"/>
      <c r="DUT185" s="12"/>
      <c r="DVC185" s="11"/>
      <c r="DVD185" s="12"/>
      <c r="DVM185" s="11"/>
      <c r="DVN185" s="12"/>
      <c r="DVW185" s="11"/>
      <c r="DVX185" s="12"/>
      <c r="DWG185" s="11"/>
      <c r="DWH185" s="12"/>
      <c r="DWQ185" s="11"/>
      <c r="DWR185" s="12"/>
      <c r="DXA185" s="11"/>
      <c r="DXB185" s="12"/>
      <c r="DXK185" s="11"/>
      <c r="DXL185" s="12"/>
      <c r="DXU185" s="11"/>
      <c r="DXV185" s="12"/>
      <c r="DYE185" s="11"/>
      <c r="DYF185" s="12"/>
      <c r="DYO185" s="11"/>
      <c r="DYP185" s="12"/>
      <c r="DYY185" s="11"/>
      <c r="DYZ185" s="12"/>
      <c r="DZI185" s="11"/>
      <c r="DZJ185" s="12"/>
      <c r="DZS185" s="11"/>
      <c r="DZT185" s="12"/>
      <c r="EAC185" s="11"/>
      <c r="EAD185" s="12"/>
      <c r="EAM185" s="11"/>
      <c r="EAN185" s="12"/>
      <c r="EAW185" s="11"/>
      <c r="EAX185" s="12"/>
      <c r="EBG185" s="11"/>
      <c r="EBH185" s="12"/>
      <c r="EBQ185" s="11"/>
      <c r="EBR185" s="12"/>
      <c r="ECA185" s="11"/>
      <c r="ECB185" s="12"/>
      <c r="ECK185" s="11"/>
      <c r="ECL185" s="12"/>
      <c r="ECU185" s="11"/>
      <c r="ECV185" s="12"/>
      <c r="EDE185" s="11"/>
      <c r="EDF185" s="12"/>
      <c r="EDO185" s="11"/>
      <c r="EDP185" s="12"/>
      <c r="EDY185" s="11"/>
      <c r="EDZ185" s="12"/>
      <c r="EEI185" s="11"/>
      <c r="EEJ185" s="12"/>
      <c r="EES185" s="11"/>
      <c r="EET185" s="12"/>
      <c r="EFC185" s="11"/>
      <c r="EFD185" s="12"/>
      <c r="EFM185" s="11"/>
      <c r="EFN185" s="12"/>
      <c r="EFW185" s="11"/>
      <c r="EFX185" s="12"/>
      <c r="EGG185" s="11"/>
      <c r="EGH185" s="12"/>
      <c r="EGQ185" s="11"/>
      <c r="EGR185" s="12"/>
      <c r="EHA185" s="11"/>
      <c r="EHB185" s="12"/>
      <c r="EHK185" s="11"/>
      <c r="EHL185" s="12"/>
      <c r="EHU185" s="11"/>
      <c r="EHV185" s="12"/>
      <c r="EIE185" s="11"/>
      <c r="EIF185" s="12"/>
      <c r="EIO185" s="11"/>
      <c r="EIP185" s="12"/>
      <c r="EIY185" s="11"/>
      <c r="EIZ185" s="12"/>
      <c r="EJI185" s="11"/>
      <c r="EJJ185" s="12"/>
      <c r="EJS185" s="11"/>
      <c r="EJT185" s="12"/>
      <c r="EKC185" s="11"/>
      <c r="EKD185" s="12"/>
      <c r="EKM185" s="11"/>
      <c r="EKN185" s="12"/>
      <c r="EKW185" s="11"/>
      <c r="EKX185" s="12"/>
      <c r="ELG185" s="11"/>
      <c r="ELH185" s="12"/>
      <c r="ELQ185" s="11"/>
      <c r="ELR185" s="12"/>
      <c r="EMA185" s="11"/>
      <c r="EMB185" s="12"/>
      <c r="EMK185" s="11"/>
      <c r="EML185" s="12"/>
      <c r="EMU185" s="11"/>
      <c r="EMV185" s="12"/>
      <c r="ENE185" s="11"/>
      <c r="ENF185" s="12"/>
      <c r="ENO185" s="11"/>
      <c r="ENP185" s="12"/>
      <c r="ENY185" s="11"/>
      <c r="ENZ185" s="12"/>
      <c r="EOI185" s="11"/>
      <c r="EOJ185" s="12"/>
      <c r="EOS185" s="11"/>
      <c r="EOT185" s="12"/>
      <c r="EPC185" s="11"/>
      <c r="EPD185" s="12"/>
      <c r="EPM185" s="11"/>
      <c r="EPN185" s="12"/>
      <c r="EPW185" s="11"/>
      <c r="EPX185" s="12"/>
      <c r="EQG185" s="11"/>
      <c r="EQH185" s="12"/>
      <c r="EQQ185" s="11"/>
      <c r="EQR185" s="12"/>
      <c r="ERA185" s="11"/>
      <c r="ERB185" s="12"/>
      <c r="ERK185" s="11"/>
      <c r="ERL185" s="12"/>
      <c r="ERU185" s="11"/>
      <c r="ERV185" s="12"/>
      <c r="ESE185" s="11"/>
      <c r="ESF185" s="12"/>
      <c r="ESO185" s="11"/>
      <c r="ESP185" s="12"/>
      <c r="ESY185" s="11"/>
      <c r="ESZ185" s="12"/>
      <c r="ETI185" s="11"/>
      <c r="ETJ185" s="12"/>
      <c r="ETS185" s="11"/>
      <c r="ETT185" s="12"/>
      <c r="EUC185" s="11"/>
      <c r="EUD185" s="12"/>
      <c r="EUM185" s="11"/>
      <c r="EUN185" s="12"/>
      <c r="EUW185" s="11"/>
      <c r="EUX185" s="12"/>
      <c r="EVG185" s="11"/>
      <c r="EVH185" s="12"/>
      <c r="EVQ185" s="11"/>
      <c r="EVR185" s="12"/>
      <c r="EWA185" s="11"/>
      <c r="EWB185" s="12"/>
      <c r="EWK185" s="11"/>
      <c r="EWL185" s="12"/>
      <c r="EWU185" s="11"/>
      <c r="EWV185" s="12"/>
      <c r="EXE185" s="11"/>
      <c r="EXF185" s="12"/>
      <c r="EXO185" s="11"/>
      <c r="EXP185" s="12"/>
      <c r="EXY185" s="11"/>
      <c r="EXZ185" s="12"/>
      <c r="EYI185" s="11"/>
      <c r="EYJ185" s="12"/>
      <c r="EYS185" s="11"/>
      <c r="EYT185" s="12"/>
      <c r="EZC185" s="11"/>
      <c r="EZD185" s="12"/>
      <c r="EZM185" s="11"/>
      <c r="EZN185" s="12"/>
      <c r="EZW185" s="11"/>
      <c r="EZX185" s="12"/>
      <c r="FAG185" s="11"/>
      <c r="FAH185" s="12"/>
      <c r="FAQ185" s="11"/>
      <c r="FAR185" s="12"/>
      <c r="FBA185" s="11"/>
      <c r="FBB185" s="12"/>
      <c r="FBK185" s="11"/>
      <c r="FBL185" s="12"/>
      <c r="FBU185" s="11"/>
      <c r="FBV185" s="12"/>
      <c r="FCE185" s="11"/>
      <c r="FCF185" s="12"/>
      <c r="FCO185" s="11"/>
      <c r="FCP185" s="12"/>
      <c r="FCY185" s="11"/>
      <c r="FCZ185" s="12"/>
      <c r="FDI185" s="11"/>
      <c r="FDJ185" s="12"/>
      <c r="FDS185" s="11"/>
      <c r="FDT185" s="12"/>
      <c r="FEC185" s="11"/>
      <c r="FED185" s="12"/>
      <c r="FEM185" s="11"/>
      <c r="FEN185" s="12"/>
      <c r="FEW185" s="11"/>
      <c r="FEX185" s="12"/>
      <c r="FFG185" s="11"/>
      <c r="FFH185" s="12"/>
      <c r="FFQ185" s="11"/>
      <c r="FFR185" s="12"/>
      <c r="FGA185" s="11"/>
      <c r="FGB185" s="12"/>
      <c r="FGK185" s="11"/>
      <c r="FGL185" s="12"/>
      <c r="FGU185" s="11"/>
      <c r="FGV185" s="12"/>
      <c r="FHE185" s="11"/>
      <c r="FHF185" s="12"/>
      <c r="FHO185" s="11"/>
      <c r="FHP185" s="12"/>
      <c r="FHY185" s="11"/>
      <c r="FHZ185" s="12"/>
      <c r="FII185" s="11"/>
      <c r="FIJ185" s="12"/>
      <c r="FIS185" s="11"/>
      <c r="FIT185" s="12"/>
      <c r="FJC185" s="11"/>
      <c r="FJD185" s="12"/>
      <c r="FJM185" s="11"/>
      <c r="FJN185" s="12"/>
      <c r="FJW185" s="11"/>
      <c r="FJX185" s="12"/>
      <c r="FKG185" s="11"/>
      <c r="FKH185" s="12"/>
      <c r="FKQ185" s="11"/>
      <c r="FKR185" s="12"/>
      <c r="FLA185" s="11"/>
      <c r="FLB185" s="12"/>
      <c r="FLK185" s="11"/>
      <c r="FLL185" s="12"/>
      <c r="FLU185" s="11"/>
      <c r="FLV185" s="12"/>
      <c r="FME185" s="11"/>
      <c r="FMF185" s="12"/>
      <c r="FMO185" s="11"/>
      <c r="FMP185" s="12"/>
      <c r="FMY185" s="11"/>
      <c r="FMZ185" s="12"/>
      <c r="FNI185" s="11"/>
      <c r="FNJ185" s="12"/>
      <c r="FNS185" s="11"/>
      <c r="FNT185" s="12"/>
      <c r="FOC185" s="11"/>
      <c r="FOD185" s="12"/>
      <c r="FOM185" s="11"/>
      <c r="FON185" s="12"/>
      <c r="FOW185" s="11"/>
      <c r="FOX185" s="12"/>
      <c r="FPG185" s="11"/>
      <c r="FPH185" s="12"/>
      <c r="FPQ185" s="11"/>
      <c r="FPR185" s="12"/>
      <c r="FQA185" s="11"/>
      <c r="FQB185" s="12"/>
      <c r="FQK185" s="11"/>
      <c r="FQL185" s="12"/>
      <c r="FQU185" s="11"/>
      <c r="FQV185" s="12"/>
      <c r="FRE185" s="11"/>
      <c r="FRF185" s="12"/>
      <c r="FRO185" s="11"/>
      <c r="FRP185" s="12"/>
      <c r="FRY185" s="11"/>
      <c r="FRZ185" s="12"/>
      <c r="FSI185" s="11"/>
      <c r="FSJ185" s="12"/>
      <c r="FSS185" s="11"/>
      <c r="FST185" s="12"/>
      <c r="FTC185" s="11"/>
      <c r="FTD185" s="12"/>
      <c r="FTM185" s="11"/>
      <c r="FTN185" s="12"/>
      <c r="FTW185" s="11"/>
      <c r="FTX185" s="12"/>
      <c r="FUG185" s="11"/>
      <c r="FUH185" s="12"/>
      <c r="FUQ185" s="11"/>
      <c r="FUR185" s="12"/>
      <c r="FVA185" s="11"/>
      <c r="FVB185" s="12"/>
      <c r="FVK185" s="11"/>
      <c r="FVL185" s="12"/>
      <c r="FVU185" s="11"/>
      <c r="FVV185" s="12"/>
      <c r="FWE185" s="11"/>
      <c r="FWF185" s="12"/>
      <c r="FWO185" s="11"/>
      <c r="FWP185" s="12"/>
      <c r="FWY185" s="11"/>
      <c r="FWZ185" s="12"/>
      <c r="FXI185" s="11"/>
      <c r="FXJ185" s="12"/>
      <c r="FXS185" s="11"/>
      <c r="FXT185" s="12"/>
      <c r="FYC185" s="11"/>
      <c r="FYD185" s="12"/>
      <c r="FYM185" s="11"/>
      <c r="FYN185" s="12"/>
      <c r="FYW185" s="11"/>
      <c r="FYX185" s="12"/>
      <c r="FZG185" s="11"/>
      <c r="FZH185" s="12"/>
      <c r="FZQ185" s="11"/>
      <c r="FZR185" s="12"/>
      <c r="GAA185" s="11"/>
      <c r="GAB185" s="12"/>
      <c r="GAK185" s="11"/>
      <c r="GAL185" s="12"/>
      <c r="GAU185" s="11"/>
      <c r="GAV185" s="12"/>
      <c r="GBE185" s="11"/>
      <c r="GBF185" s="12"/>
      <c r="GBO185" s="11"/>
      <c r="GBP185" s="12"/>
      <c r="GBY185" s="11"/>
      <c r="GBZ185" s="12"/>
      <c r="GCI185" s="11"/>
      <c r="GCJ185" s="12"/>
      <c r="GCS185" s="11"/>
      <c r="GCT185" s="12"/>
      <c r="GDC185" s="11"/>
      <c r="GDD185" s="12"/>
      <c r="GDM185" s="11"/>
      <c r="GDN185" s="12"/>
      <c r="GDW185" s="11"/>
      <c r="GDX185" s="12"/>
      <c r="GEG185" s="11"/>
      <c r="GEH185" s="12"/>
      <c r="GEQ185" s="11"/>
      <c r="GER185" s="12"/>
      <c r="GFA185" s="11"/>
      <c r="GFB185" s="12"/>
      <c r="GFK185" s="11"/>
      <c r="GFL185" s="12"/>
      <c r="GFU185" s="11"/>
      <c r="GFV185" s="12"/>
      <c r="GGE185" s="11"/>
      <c r="GGF185" s="12"/>
      <c r="GGO185" s="11"/>
      <c r="GGP185" s="12"/>
      <c r="GGY185" s="11"/>
      <c r="GGZ185" s="12"/>
      <c r="GHI185" s="11"/>
      <c r="GHJ185" s="12"/>
      <c r="GHS185" s="11"/>
      <c r="GHT185" s="12"/>
      <c r="GIC185" s="11"/>
      <c r="GID185" s="12"/>
      <c r="GIM185" s="11"/>
      <c r="GIN185" s="12"/>
      <c r="GIW185" s="11"/>
      <c r="GIX185" s="12"/>
      <c r="GJG185" s="11"/>
      <c r="GJH185" s="12"/>
      <c r="GJQ185" s="11"/>
      <c r="GJR185" s="12"/>
      <c r="GKA185" s="11"/>
      <c r="GKB185" s="12"/>
      <c r="GKK185" s="11"/>
      <c r="GKL185" s="12"/>
      <c r="GKU185" s="11"/>
      <c r="GKV185" s="12"/>
      <c r="GLE185" s="11"/>
      <c r="GLF185" s="12"/>
      <c r="GLO185" s="11"/>
      <c r="GLP185" s="12"/>
      <c r="GLY185" s="11"/>
      <c r="GLZ185" s="12"/>
      <c r="GMI185" s="11"/>
      <c r="GMJ185" s="12"/>
      <c r="GMS185" s="11"/>
      <c r="GMT185" s="12"/>
      <c r="GNC185" s="11"/>
      <c r="GND185" s="12"/>
      <c r="GNM185" s="11"/>
      <c r="GNN185" s="12"/>
      <c r="GNW185" s="11"/>
      <c r="GNX185" s="12"/>
      <c r="GOG185" s="11"/>
      <c r="GOH185" s="12"/>
      <c r="GOQ185" s="11"/>
      <c r="GOR185" s="12"/>
      <c r="GPA185" s="11"/>
      <c r="GPB185" s="12"/>
      <c r="GPK185" s="11"/>
      <c r="GPL185" s="12"/>
      <c r="GPU185" s="11"/>
      <c r="GPV185" s="12"/>
      <c r="GQE185" s="11"/>
      <c r="GQF185" s="12"/>
      <c r="GQO185" s="11"/>
      <c r="GQP185" s="12"/>
      <c r="GQY185" s="11"/>
      <c r="GQZ185" s="12"/>
      <c r="GRI185" s="11"/>
      <c r="GRJ185" s="12"/>
      <c r="GRS185" s="11"/>
      <c r="GRT185" s="12"/>
      <c r="GSC185" s="11"/>
      <c r="GSD185" s="12"/>
      <c r="GSM185" s="11"/>
      <c r="GSN185" s="12"/>
      <c r="GSW185" s="11"/>
      <c r="GSX185" s="12"/>
      <c r="GTG185" s="11"/>
      <c r="GTH185" s="12"/>
      <c r="GTQ185" s="11"/>
      <c r="GTR185" s="12"/>
      <c r="GUA185" s="11"/>
      <c r="GUB185" s="12"/>
      <c r="GUK185" s="11"/>
      <c r="GUL185" s="12"/>
      <c r="GUU185" s="11"/>
      <c r="GUV185" s="12"/>
      <c r="GVE185" s="11"/>
      <c r="GVF185" s="12"/>
      <c r="GVO185" s="11"/>
      <c r="GVP185" s="12"/>
      <c r="GVY185" s="11"/>
      <c r="GVZ185" s="12"/>
      <c r="GWI185" s="11"/>
      <c r="GWJ185" s="12"/>
      <c r="GWS185" s="11"/>
      <c r="GWT185" s="12"/>
      <c r="GXC185" s="11"/>
      <c r="GXD185" s="12"/>
      <c r="GXM185" s="11"/>
      <c r="GXN185" s="12"/>
      <c r="GXW185" s="11"/>
      <c r="GXX185" s="12"/>
      <c r="GYG185" s="11"/>
      <c r="GYH185" s="12"/>
      <c r="GYQ185" s="11"/>
      <c r="GYR185" s="12"/>
      <c r="GZA185" s="11"/>
      <c r="GZB185" s="12"/>
      <c r="GZK185" s="11"/>
      <c r="GZL185" s="12"/>
      <c r="GZU185" s="11"/>
      <c r="GZV185" s="12"/>
      <c r="HAE185" s="11"/>
      <c r="HAF185" s="12"/>
      <c r="HAO185" s="11"/>
      <c r="HAP185" s="12"/>
      <c r="HAY185" s="11"/>
      <c r="HAZ185" s="12"/>
      <c r="HBI185" s="11"/>
      <c r="HBJ185" s="12"/>
      <c r="HBS185" s="11"/>
      <c r="HBT185" s="12"/>
      <c r="HCC185" s="11"/>
      <c r="HCD185" s="12"/>
      <c r="HCM185" s="11"/>
      <c r="HCN185" s="12"/>
      <c r="HCW185" s="11"/>
      <c r="HCX185" s="12"/>
      <c r="HDG185" s="11"/>
      <c r="HDH185" s="12"/>
      <c r="HDQ185" s="11"/>
      <c r="HDR185" s="12"/>
      <c r="HEA185" s="11"/>
      <c r="HEB185" s="12"/>
      <c r="HEK185" s="11"/>
      <c r="HEL185" s="12"/>
      <c r="HEU185" s="11"/>
      <c r="HEV185" s="12"/>
      <c r="HFE185" s="11"/>
      <c r="HFF185" s="12"/>
      <c r="HFO185" s="11"/>
      <c r="HFP185" s="12"/>
      <c r="HFY185" s="11"/>
      <c r="HFZ185" s="12"/>
      <c r="HGI185" s="11"/>
      <c r="HGJ185" s="12"/>
      <c r="HGS185" s="11"/>
      <c r="HGT185" s="12"/>
      <c r="HHC185" s="11"/>
      <c r="HHD185" s="12"/>
      <c r="HHM185" s="11"/>
      <c r="HHN185" s="12"/>
      <c r="HHW185" s="11"/>
      <c r="HHX185" s="12"/>
      <c r="HIG185" s="11"/>
      <c r="HIH185" s="12"/>
      <c r="HIQ185" s="11"/>
      <c r="HIR185" s="12"/>
      <c r="HJA185" s="11"/>
      <c r="HJB185" s="12"/>
      <c r="HJK185" s="11"/>
      <c r="HJL185" s="12"/>
      <c r="HJU185" s="11"/>
      <c r="HJV185" s="12"/>
      <c r="HKE185" s="11"/>
      <c r="HKF185" s="12"/>
      <c r="HKO185" s="11"/>
      <c r="HKP185" s="12"/>
      <c r="HKY185" s="11"/>
      <c r="HKZ185" s="12"/>
      <c r="HLI185" s="11"/>
      <c r="HLJ185" s="12"/>
      <c r="HLS185" s="11"/>
      <c r="HLT185" s="12"/>
      <c r="HMC185" s="11"/>
      <c r="HMD185" s="12"/>
      <c r="HMM185" s="11"/>
      <c r="HMN185" s="12"/>
      <c r="HMW185" s="11"/>
      <c r="HMX185" s="12"/>
      <c r="HNG185" s="11"/>
      <c r="HNH185" s="12"/>
      <c r="HNQ185" s="11"/>
      <c r="HNR185" s="12"/>
      <c r="HOA185" s="11"/>
      <c r="HOB185" s="12"/>
      <c r="HOK185" s="11"/>
      <c r="HOL185" s="12"/>
      <c r="HOU185" s="11"/>
      <c r="HOV185" s="12"/>
      <c r="HPE185" s="11"/>
      <c r="HPF185" s="12"/>
      <c r="HPO185" s="11"/>
      <c r="HPP185" s="12"/>
      <c r="HPY185" s="11"/>
      <c r="HPZ185" s="12"/>
      <c r="HQI185" s="11"/>
      <c r="HQJ185" s="12"/>
      <c r="HQS185" s="11"/>
      <c r="HQT185" s="12"/>
      <c r="HRC185" s="11"/>
      <c r="HRD185" s="12"/>
      <c r="HRM185" s="11"/>
      <c r="HRN185" s="12"/>
      <c r="HRW185" s="11"/>
      <c r="HRX185" s="12"/>
      <c r="HSG185" s="11"/>
      <c r="HSH185" s="12"/>
      <c r="HSQ185" s="11"/>
      <c r="HSR185" s="12"/>
      <c r="HTA185" s="11"/>
      <c r="HTB185" s="12"/>
      <c r="HTK185" s="11"/>
      <c r="HTL185" s="12"/>
      <c r="HTU185" s="11"/>
      <c r="HTV185" s="12"/>
      <c r="HUE185" s="11"/>
      <c r="HUF185" s="12"/>
      <c r="HUO185" s="11"/>
      <c r="HUP185" s="12"/>
      <c r="HUY185" s="11"/>
      <c r="HUZ185" s="12"/>
      <c r="HVI185" s="11"/>
      <c r="HVJ185" s="12"/>
      <c r="HVS185" s="11"/>
      <c r="HVT185" s="12"/>
      <c r="HWC185" s="11"/>
      <c r="HWD185" s="12"/>
      <c r="HWM185" s="11"/>
      <c r="HWN185" s="12"/>
      <c r="HWW185" s="11"/>
      <c r="HWX185" s="12"/>
      <c r="HXG185" s="11"/>
      <c r="HXH185" s="12"/>
      <c r="HXQ185" s="11"/>
      <c r="HXR185" s="12"/>
      <c r="HYA185" s="11"/>
      <c r="HYB185" s="12"/>
      <c r="HYK185" s="11"/>
      <c r="HYL185" s="12"/>
      <c r="HYU185" s="11"/>
      <c r="HYV185" s="12"/>
      <c r="HZE185" s="11"/>
      <c r="HZF185" s="12"/>
      <c r="HZO185" s="11"/>
      <c r="HZP185" s="12"/>
      <c r="HZY185" s="11"/>
      <c r="HZZ185" s="12"/>
      <c r="IAI185" s="11"/>
      <c r="IAJ185" s="12"/>
      <c r="IAS185" s="11"/>
      <c r="IAT185" s="12"/>
      <c r="IBC185" s="11"/>
      <c r="IBD185" s="12"/>
      <c r="IBM185" s="11"/>
      <c r="IBN185" s="12"/>
      <c r="IBW185" s="11"/>
      <c r="IBX185" s="12"/>
      <c r="ICG185" s="11"/>
      <c r="ICH185" s="12"/>
      <c r="ICQ185" s="11"/>
      <c r="ICR185" s="12"/>
      <c r="IDA185" s="11"/>
      <c r="IDB185" s="12"/>
      <c r="IDK185" s="11"/>
      <c r="IDL185" s="12"/>
      <c r="IDU185" s="11"/>
      <c r="IDV185" s="12"/>
      <c r="IEE185" s="11"/>
      <c r="IEF185" s="12"/>
      <c r="IEO185" s="11"/>
      <c r="IEP185" s="12"/>
      <c r="IEY185" s="11"/>
      <c r="IEZ185" s="12"/>
      <c r="IFI185" s="11"/>
      <c r="IFJ185" s="12"/>
      <c r="IFS185" s="11"/>
      <c r="IFT185" s="12"/>
      <c r="IGC185" s="11"/>
      <c r="IGD185" s="12"/>
      <c r="IGM185" s="11"/>
      <c r="IGN185" s="12"/>
      <c r="IGW185" s="11"/>
      <c r="IGX185" s="12"/>
      <c r="IHG185" s="11"/>
      <c r="IHH185" s="12"/>
      <c r="IHQ185" s="11"/>
      <c r="IHR185" s="12"/>
      <c r="IIA185" s="11"/>
      <c r="IIB185" s="12"/>
      <c r="IIK185" s="11"/>
      <c r="IIL185" s="12"/>
      <c r="IIU185" s="11"/>
      <c r="IIV185" s="12"/>
      <c r="IJE185" s="11"/>
      <c r="IJF185" s="12"/>
      <c r="IJO185" s="11"/>
      <c r="IJP185" s="12"/>
      <c r="IJY185" s="11"/>
      <c r="IJZ185" s="12"/>
      <c r="IKI185" s="11"/>
      <c r="IKJ185" s="12"/>
      <c r="IKS185" s="11"/>
      <c r="IKT185" s="12"/>
      <c r="ILC185" s="11"/>
      <c r="ILD185" s="12"/>
      <c r="ILM185" s="11"/>
      <c r="ILN185" s="12"/>
      <c r="ILW185" s="11"/>
      <c r="ILX185" s="12"/>
      <c r="IMG185" s="11"/>
      <c r="IMH185" s="12"/>
      <c r="IMQ185" s="11"/>
      <c r="IMR185" s="12"/>
      <c r="INA185" s="11"/>
      <c r="INB185" s="12"/>
      <c r="INK185" s="11"/>
      <c r="INL185" s="12"/>
      <c r="INU185" s="11"/>
      <c r="INV185" s="12"/>
      <c r="IOE185" s="11"/>
      <c r="IOF185" s="12"/>
      <c r="IOO185" s="11"/>
      <c r="IOP185" s="12"/>
      <c r="IOY185" s="11"/>
      <c r="IOZ185" s="12"/>
      <c r="IPI185" s="11"/>
      <c r="IPJ185" s="12"/>
      <c r="IPS185" s="11"/>
      <c r="IPT185" s="12"/>
      <c r="IQC185" s="11"/>
      <c r="IQD185" s="12"/>
      <c r="IQM185" s="11"/>
      <c r="IQN185" s="12"/>
      <c r="IQW185" s="11"/>
      <c r="IQX185" s="12"/>
      <c r="IRG185" s="11"/>
      <c r="IRH185" s="12"/>
      <c r="IRQ185" s="11"/>
      <c r="IRR185" s="12"/>
      <c r="ISA185" s="11"/>
      <c r="ISB185" s="12"/>
      <c r="ISK185" s="11"/>
      <c r="ISL185" s="12"/>
      <c r="ISU185" s="11"/>
      <c r="ISV185" s="12"/>
      <c r="ITE185" s="11"/>
      <c r="ITF185" s="12"/>
      <c r="ITO185" s="11"/>
      <c r="ITP185" s="12"/>
      <c r="ITY185" s="11"/>
      <c r="ITZ185" s="12"/>
      <c r="IUI185" s="11"/>
      <c r="IUJ185" s="12"/>
      <c r="IUS185" s="11"/>
      <c r="IUT185" s="12"/>
      <c r="IVC185" s="11"/>
      <c r="IVD185" s="12"/>
      <c r="IVM185" s="11"/>
      <c r="IVN185" s="12"/>
      <c r="IVW185" s="11"/>
      <c r="IVX185" s="12"/>
      <c r="IWG185" s="11"/>
      <c r="IWH185" s="12"/>
      <c r="IWQ185" s="11"/>
      <c r="IWR185" s="12"/>
      <c r="IXA185" s="11"/>
      <c r="IXB185" s="12"/>
      <c r="IXK185" s="11"/>
      <c r="IXL185" s="12"/>
      <c r="IXU185" s="11"/>
      <c r="IXV185" s="12"/>
      <c r="IYE185" s="11"/>
      <c r="IYF185" s="12"/>
      <c r="IYO185" s="11"/>
      <c r="IYP185" s="12"/>
      <c r="IYY185" s="11"/>
      <c r="IYZ185" s="12"/>
      <c r="IZI185" s="11"/>
      <c r="IZJ185" s="12"/>
      <c r="IZS185" s="11"/>
      <c r="IZT185" s="12"/>
      <c r="JAC185" s="11"/>
      <c r="JAD185" s="12"/>
      <c r="JAM185" s="11"/>
      <c r="JAN185" s="12"/>
      <c r="JAW185" s="11"/>
      <c r="JAX185" s="12"/>
      <c r="JBG185" s="11"/>
      <c r="JBH185" s="12"/>
      <c r="JBQ185" s="11"/>
      <c r="JBR185" s="12"/>
      <c r="JCA185" s="11"/>
      <c r="JCB185" s="12"/>
      <c r="JCK185" s="11"/>
      <c r="JCL185" s="12"/>
      <c r="JCU185" s="11"/>
      <c r="JCV185" s="12"/>
      <c r="JDE185" s="11"/>
      <c r="JDF185" s="12"/>
      <c r="JDO185" s="11"/>
      <c r="JDP185" s="12"/>
      <c r="JDY185" s="11"/>
      <c r="JDZ185" s="12"/>
      <c r="JEI185" s="11"/>
      <c r="JEJ185" s="12"/>
      <c r="JES185" s="11"/>
      <c r="JET185" s="12"/>
      <c r="JFC185" s="11"/>
      <c r="JFD185" s="12"/>
      <c r="JFM185" s="11"/>
      <c r="JFN185" s="12"/>
      <c r="JFW185" s="11"/>
      <c r="JFX185" s="12"/>
      <c r="JGG185" s="11"/>
      <c r="JGH185" s="12"/>
      <c r="JGQ185" s="11"/>
      <c r="JGR185" s="12"/>
      <c r="JHA185" s="11"/>
      <c r="JHB185" s="12"/>
      <c r="JHK185" s="11"/>
      <c r="JHL185" s="12"/>
      <c r="JHU185" s="11"/>
      <c r="JHV185" s="12"/>
      <c r="JIE185" s="11"/>
      <c r="JIF185" s="12"/>
      <c r="JIO185" s="11"/>
      <c r="JIP185" s="12"/>
      <c r="JIY185" s="11"/>
      <c r="JIZ185" s="12"/>
      <c r="JJI185" s="11"/>
      <c r="JJJ185" s="12"/>
      <c r="JJS185" s="11"/>
      <c r="JJT185" s="12"/>
      <c r="JKC185" s="11"/>
      <c r="JKD185" s="12"/>
      <c r="JKM185" s="11"/>
      <c r="JKN185" s="12"/>
      <c r="JKW185" s="11"/>
      <c r="JKX185" s="12"/>
      <c r="JLG185" s="11"/>
      <c r="JLH185" s="12"/>
      <c r="JLQ185" s="11"/>
      <c r="JLR185" s="12"/>
      <c r="JMA185" s="11"/>
      <c r="JMB185" s="12"/>
      <c r="JMK185" s="11"/>
      <c r="JML185" s="12"/>
      <c r="JMU185" s="11"/>
      <c r="JMV185" s="12"/>
      <c r="JNE185" s="11"/>
      <c r="JNF185" s="12"/>
      <c r="JNO185" s="11"/>
      <c r="JNP185" s="12"/>
      <c r="JNY185" s="11"/>
      <c r="JNZ185" s="12"/>
      <c r="JOI185" s="11"/>
      <c r="JOJ185" s="12"/>
      <c r="JOS185" s="11"/>
      <c r="JOT185" s="12"/>
      <c r="JPC185" s="11"/>
      <c r="JPD185" s="12"/>
      <c r="JPM185" s="11"/>
      <c r="JPN185" s="12"/>
      <c r="JPW185" s="11"/>
      <c r="JPX185" s="12"/>
      <c r="JQG185" s="11"/>
      <c r="JQH185" s="12"/>
      <c r="JQQ185" s="11"/>
      <c r="JQR185" s="12"/>
      <c r="JRA185" s="11"/>
      <c r="JRB185" s="12"/>
      <c r="JRK185" s="11"/>
      <c r="JRL185" s="12"/>
      <c r="JRU185" s="11"/>
      <c r="JRV185" s="12"/>
      <c r="JSE185" s="11"/>
      <c r="JSF185" s="12"/>
      <c r="JSO185" s="11"/>
      <c r="JSP185" s="12"/>
      <c r="JSY185" s="11"/>
      <c r="JSZ185" s="12"/>
      <c r="JTI185" s="11"/>
      <c r="JTJ185" s="12"/>
      <c r="JTS185" s="11"/>
      <c r="JTT185" s="12"/>
      <c r="JUC185" s="11"/>
      <c r="JUD185" s="12"/>
      <c r="JUM185" s="11"/>
      <c r="JUN185" s="12"/>
      <c r="JUW185" s="11"/>
      <c r="JUX185" s="12"/>
      <c r="JVG185" s="11"/>
      <c r="JVH185" s="12"/>
      <c r="JVQ185" s="11"/>
      <c r="JVR185" s="12"/>
      <c r="JWA185" s="11"/>
      <c r="JWB185" s="12"/>
      <c r="JWK185" s="11"/>
      <c r="JWL185" s="12"/>
      <c r="JWU185" s="11"/>
      <c r="JWV185" s="12"/>
      <c r="JXE185" s="11"/>
      <c r="JXF185" s="12"/>
      <c r="JXO185" s="11"/>
      <c r="JXP185" s="12"/>
      <c r="JXY185" s="11"/>
      <c r="JXZ185" s="12"/>
      <c r="JYI185" s="11"/>
      <c r="JYJ185" s="12"/>
      <c r="JYS185" s="11"/>
      <c r="JYT185" s="12"/>
      <c r="JZC185" s="11"/>
      <c r="JZD185" s="12"/>
      <c r="JZM185" s="11"/>
      <c r="JZN185" s="12"/>
      <c r="JZW185" s="11"/>
      <c r="JZX185" s="12"/>
      <c r="KAG185" s="11"/>
      <c r="KAH185" s="12"/>
      <c r="KAQ185" s="11"/>
      <c r="KAR185" s="12"/>
      <c r="KBA185" s="11"/>
      <c r="KBB185" s="12"/>
      <c r="KBK185" s="11"/>
      <c r="KBL185" s="12"/>
      <c r="KBU185" s="11"/>
      <c r="KBV185" s="12"/>
      <c r="KCE185" s="11"/>
      <c r="KCF185" s="12"/>
      <c r="KCO185" s="11"/>
      <c r="KCP185" s="12"/>
      <c r="KCY185" s="11"/>
      <c r="KCZ185" s="12"/>
      <c r="KDI185" s="11"/>
      <c r="KDJ185" s="12"/>
      <c r="KDS185" s="11"/>
      <c r="KDT185" s="12"/>
      <c r="KEC185" s="11"/>
      <c r="KED185" s="12"/>
      <c r="KEM185" s="11"/>
      <c r="KEN185" s="12"/>
      <c r="KEW185" s="11"/>
      <c r="KEX185" s="12"/>
      <c r="KFG185" s="11"/>
      <c r="KFH185" s="12"/>
      <c r="KFQ185" s="11"/>
      <c r="KFR185" s="12"/>
      <c r="KGA185" s="11"/>
      <c r="KGB185" s="12"/>
      <c r="KGK185" s="11"/>
      <c r="KGL185" s="12"/>
      <c r="KGU185" s="11"/>
      <c r="KGV185" s="12"/>
      <c r="KHE185" s="11"/>
      <c r="KHF185" s="12"/>
      <c r="KHO185" s="11"/>
      <c r="KHP185" s="12"/>
      <c r="KHY185" s="11"/>
      <c r="KHZ185" s="12"/>
      <c r="KII185" s="11"/>
      <c r="KIJ185" s="12"/>
      <c r="KIS185" s="11"/>
      <c r="KIT185" s="12"/>
      <c r="KJC185" s="11"/>
      <c r="KJD185" s="12"/>
      <c r="KJM185" s="11"/>
      <c r="KJN185" s="12"/>
      <c r="KJW185" s="11"/>
      <c r="KJX185" s="12"/>
      <c r="KKG185" s="11"/>
      <c r="KKH185" s="12"/>
      <c r="KKQ185" s="11"/>
      <c r="KKR185" s="12"/>
      <c r="KLA185" s="11"/>
      <c r="KLB185" s="12"/>
      <c r="KLK185" s="11"/>
      <c r="KLL185" s="12"/>
      <c r="KLU185" s="11"/>
      <c r="KLV185" s="12"/>
      <c r="KME185" s="11"/>
      <c r="KMF185" s="12"/>
      <c r="KMO185" s="11"/>
      <c r="KMP185" s="12"/>
      <c r="KMY185" s="11"/>
      <c r="KMZ185" s="12"/>
      <c r="KNI185" s="11"/>
      <c r="KNJ185" s="12"/>
      <c r="KNS185" s="11"/>
      <c r="KNT185" s="12"/>
      <c r="KOC185" s="11"/>
      <c r="KOD185" s="12"/>
      <c r="KOM185" s="11"/>
      <c r="KON185" s="12"/>
      <c r="KOW185" s="11"/>
      <c r="KOX185" s="12"/>
      <c r="KPG185" s="11"/>
      <c r="KPH185" s="12"/>
      <c r="KPQ185" s="11"/>
      <c r="KPR185" s="12"/>
      <c r="KQA185" s="11"/>
      <c r="KQB185" s="12"/>
      <c r="KQK185" s="11"/>
      <c r="KQL185" s="12"/>
      <c r="KQU185" s="11"/>
      <c r="KQV185" s="12"/>
      <c r="KRE185" s="11"/>
      <c r="KRF185" s="12"/>
      <c r="KRO185" s="11"/>
      <c r="KRP185" s="12"/>
      <c r="KRY185" s="11"/>
      <c r="KRZ185" s="12"/>
      <c r="KSI185" s="11"/>
      <c r="KSJ185" s="12"/>
      <c r="KSS185" s="11"/>
      <c r="KST185" s="12"/>
      <c r="KTC185" s="11"/>
      <c r="KTD185" s="12"/>
      <c r="KTM185" s="11"/>
      <c r="KTN185" s="12"/>
      <c r="KTW185" s="11"/>
      <c r="KTX185" s="12"/>
      <c r="KUG185" s="11"/>
      <c r="KUH185" s="12"/>
      <c r="KUQ185" s="11"/>
      <c r="KUR185" s="12"/>
      <c r="KVA185" s="11"/>
      <c r="KVB185" s="12"/>
      <c r="KVK185" s="11"/>
      <c r="KVL185" s="12"/>
      <c r="KVU185" s="11"/>
      <c r="KVV185" s="12"/>
      <c r="KWE185" s="11"/>
      <c r="KWF185" s="12"/>
      <c r="KWO185" s="11"/>
      <c r="KWP185" s="12"/>
      <c r="KWY185" s="11"/>
      <c r="KWZ185" s="12"/>
      <c r="KXI185" s="11"/>
      <c r="KXJ185" s="12"/>
      <c r="KXS185" s="11"/>
      <c r="KXT185" s="12"/>
      <c r="KYC185" s="11"/>
      <c r="KYD185" s="12"/>
      <c r="KYM185" s="11"/>
      <c r="KYN185" s="12"/>
      <c r="KYW185" s="11"/>
      <c r="KYX185" s="12"/>
      <c r="KZG185" s="11"/>
      <c r="KZH185" s="12"/>
      <c r="KZQ185" s="11"/>
      <c r="KZR185" s="12"/>
      <c r="LAA185" s="11"/>
      <c r="LAB185" s="12"/>
      <c r="LAK185" s="11"/>
      <c r="LAL185" s="12"/>
      <c r="LAU185" s="11"/>
      <c r="LAV185" s="12"/>
      <c r="LBE185" s="11"/>
      <c r="LBF185" s="12"/>
      <c r="LBO185" s="11"/>
      <c r="LBP185" s="12"/>
      <c r="LBY185" s="11"/>
      <c r="LBZ185" s="12"/>
      <c r="LCI185" s="11"/>
      <c r="LCJ185" s="12"/>
      <c r="LCS185" s="11"/>
      <c r="LCT185" s="12"/>
      <c r="LDC185" s="11"/>
      <c r="LDD185" s="12"/>
      <c r="LDM185" s="11"/>
      <c r="LDN185" s="12"/>
      <c r="LDW185" s="11"/>
      <c r="LDX185" s="12"/>
      <c r="LEG185" s="11"/>
      <c r="LEH185" s="12"/>
      <c r="LEQ185" s="11"/>
      <c r="LER185" s="12"/>
      <c r="LFA185" s="11"/>
      <c r="LFB185" s="12"/>
      <c r="LFK185" s="11"/>
      <c r="LFL185" s="12"/>
      <c r="LFU185" s="11"/>
      <c r="LFV185" s="12"/>
      <c r="LGE185" s="11"/>
      <c r="LGF185" s="12"/>
      <c r="LGO185" s="11"/>
      <c r="LGP185" s="12"/>
      <c r="LGY185" s="11"/>
      <c r="LGZ185" s="12"/>
      <c r="LHI185" s="11"/>
      <c r="LHJ185" s="12"/>
      <c r="LHS185" s="11"/>
      <c r="LHT185" s="12"/>
      <c r="LIC185" s="11"/>
      <c r="LID185" s="12"/>
      <c r="LIM185" s="11"/>
      <c r="LIN185" s="12"/>
      <c r="LIW185" s="11"/>
      <c r="LIX185" s="12"/>
      <c r="LJG185" s="11"/>
      <c r="LJH185" s="12"/>
      <c r="LJQ185" s="11"/>
      <c r="LJR185" s="12"/>
      <c r="LKA185" s="11"/>
      <c r="LKB185" s="12"/>
      <c r="LKK185" s="11"/>
      <c r="LKL185" s="12"/>
      <c r="LKU185" s="11"/>
      <c r="LKV185" s="12"/>
      <c r="LLE185" s="11"/>
      <c r="LLF185" s="12"/>
      <c r="LLO185" s="11"/>
      <c r="LLP185" s="12"/>
      <c r="LLY185" s="11"/>
      <c r="LLZ185" s="12"/>
      <c r="LMI185" s="11"/>
      <c r="LMJ185" s="12"/>
      <c r="LMS185" s="11"/>
      <c r="LMT185" s="12"/>
      <c r="LNC185" s="11"/>
      <c r="LND185" s="12"/>
      <c r="LNM185" s="11"/>
      <c r="LNN185" s="12"/>
      <c r="LNW185" s="11"/>
      <c r="LNX185" s="12"/>
      <c r="LOG185" s="11"/>
      <c r="LOH185" s="12"/>
      <c r="LOQ185" s="11"/>
      <c r="LOR185" s="12"/>
      <c r="LPA185" s="11"/>
      <c r="LPB185" s="12"/>
      <c r="LPK185" s="11"/>
      <c r="LPL185" s="12"/>
      <c r="LPU185" s="11"/>
      <c r="LPV185" s="12"/>
      <c r="LQE185" s="11"/>
      <c r="LQF185" s="12"/>
      <c r="LQO185" s="11"/>
      <c r="LQP185" s="12"/>
      <c r="LQY185" s="11"/>
      <c r="LQZ185" s="12"/>
      <c r="LRI185" s="11"/>
      <c r="LRJ185" s="12"/>
      <c r="LRS185" s="11"/>
      <c r="LRT185" s="12"/>
      <c r="LSC185" s="11"/>
      <c r="LSD185" s="12"/>
      <c r="LSM185" s="11"/>
      <c r="LSN185" s="12"/>
      <c r="LSW185" s="11"/>
      <c r="LSX185" s="12"/>
      <c r="LTG185" s="11"/>
      <c r="LTH185" s="12"/>
      <c r="LTQ185" s="11"/>
      <c r="LTR185" s="12"/>
      <c r="LUA185" s="11"/>
      <c r="LUB185" s="12"/>
      <c r="LUK185" s="11"/>
      <c r="LUL185" s="12"/>
      <c r="LUU185" s="11"/>
      <c r="LUV185" s="12"/>
      <c r="LVE185" s="11"/>
      <c r="LVF185" s="12"/>
      <c r="LVO185" s="11"/>
      <c r="LVP185" s="12"/>
      <c r="LVY185" s="11"/>
      <c r="LVZ185" s="12"/>
      <c r="LWI185" s="11"/>
      <c r="LWJ185" s="12"/>
      <c r="LWS185" s="11"/>
      <c r="LWT185" s="12"/>
      <c r="LXC185" s="11"/>
      <c r="LXD185" s="12"/>
      <c r="LXM185" s="11"/>
      <c r="LXN185" s="12"/>
      <c r="LXW185" s="11"/>
      <c r="LXX185" s="12"/>
      <c r="LYG185" s="11"/>
      <c r="LYH185" s="12"/>
      <c r="LYQ185" s="11"/>
      <c r="LYR185" s="12"/>
      <c r="LZA185" s="11"/>
      <c r="LZB185" s="12"/>
      <c r="LZK185" s="11"/>
      <c r="LZL185" s="12"/>
      <c r="LZU185" s="11"/>
      <c r="LZV185" s="12"/>
      <c r="MAE185" s="11"/>
      <c r="MAF185" s="12"/>
      <c r="MAO185" s="11"/>
      <c r="MAP185" s="12"/>
      <c r="MAY185" s="11"/>
      <c r="MAZ185" s="12"/>
      <c r="MBI185" s="11"/>
      <c r="MBJ185" s="12"/>
      <c r="MBS185" s="11"/>
      <c r="MBT185" s="12"/>
      <c r="MCC185" s="11"/>
      <c r="MCD185" s="12"/>
      <c r="MCM185" s="11"/>
      <c r="MCN185" s="12"/>
      <c r="MCW185" s="11"/>
      <c r="MCX185" s="12"/>
      <c r="MDG185" s="11"/>
      <c r="MDH185" s="12"/>
      <c r="MDQ185" s="11"/>
      <c r="MDR185" s="12"/>
      <c r="MEA185" s="11"/>
      <c r="MEB185" s="12"/>
      <c r="MEK185" s="11"/>
      <c r="MEL185" s="12"/>
      <c r="MEU185" s="11"/>
      <c r="MEV185" s="12"/>
      <c r="MFE185" s="11"/>
      <c r="MFF185" s="12"/>
      <c r="MFO185" s="11"/>
      <c r="MFP185" s="12"/>
      <c r="MFY185" s="11"/>
      <c r="MFZ185" s="12"/>
      <c r="MGI185" s="11"/>
      <c r="MGJ185" s="12"/>
      <c r="MGS185" s="11"/>
      <c r="MGT185" s="12"/>
      <c r="MHC185" s="11"/>
      <c r="MHD185" s="12"/>
      <c r="MHM185" s="11"/>
      <c r="MHN185" s="12"/>
      <c r="MHW185" s="11"/>
      <c r="MHX185" s="12"/>
      <c r="MIG185" s="11"/>
      <c r="MIH185" s="12"/>
      <c r="MIQ185" s="11"/>
      <c r="MIR185" s="12"/>
      <c r="MJA185" s="11"/>
      <c r="MJB185" s="12"/>
      <c r="MJK185" s="11"/>
      <c r="MJL185" s="12"/>
      <c r="MJU185" s="11"/>
      <c r="MJV185" s="12"/>
      <c r="MKE185" s="11"/>
      <c r="MKF185" s="12"/>
      <c r="MKO185" s="11"/>
      <c r="MKP185" s="12"/>
      <c r="MKY185" s="11"/>
      <c r="MKZ185" s="12"/>
      <c r="MLI185" s="11"/>
      <c r="MLJ185" s="12"/>
      <c r="MLS185" s="11"/>
      <c r="MLT185" s="12"/>
      <c r="MMC185" s="11"/>
      <c r="MMD185" s="12"/>
      <c r="MMM185" s="11"/>
      <c r="MMN185" s="12"/>
      <c r="MMW185" s="11"/>
      <c r="MMX185" s="12"/>
      <c r="MNG185" s="11"/>
      <c r="MNH185" s="12"/>
      <c r="MNQ185" s="11"/>
      <c r="MNR185" s="12"/>
      <c r="MOA185" s="11"/>
      <c r="MOB185" s="12"/>
      <c r="MOK185" s="11"/>
      <c r="MOL185" s="12"/>
      <c r="MOU185" s="11"/>
      <c r="MOV185" s="12"/>
      <c r="MPE185" s="11"/>
      <c r="MPF185" s="12"/>
      <c r="MPO185" s="11"/>
      <c r="MPP185" s="12"/>
      <c r="MPY185" s="11"/>
      <c r="MPZ185" s="12"/>
      <c r="MQI185" s="11"/>
      <c r="MQJ185" s="12"/>
      <c r="MQS185" s="11"/>
      <c r="MQT185" s="12"/>
      <c r="MRC185" s="11"/>
      <c r="MRD185" s="12"/>
      <c r="MRM185" s="11"/>
      <c r="MRN185" s="12"/>
      <c r="MRW185" s="11"/>
      <c r="MRX185" s="12"/>
      <c r="MSG185" s="11"/>
      <c r="MSH185" s="12"/>
      <c r="MSQ185" s="11"/>
      <c r="MSR185" s="12"/>
      <c r="MTA185" s="11"/>
      <c r="MTB185" s="12"/>
      <c r="MTK185" s="11"/>
      <c r="MTL185" s="12"/>
      <c r="MTU185" s="11"/>
      <c r="MTV185" s="12"/>
      <c r="MUE185" s="11"/>
      <c r="MUF185" s="12"/>
      <c r="MUO185" s="11"/>
      <c r="MUP185" s="12"/>
      <c r="MUY185" s="11"/>
      <c r="MUZ185" s="12"/>
      <c r="MVI185" s="11"/>
      <c r="MVJ185" s="12"/>
      <c r="MVS185" s="11"/>
      <c r="MVT185" s="12"/>
      <c r="MWC185" s="11"/>
      <c r="MWD185" s="12"/>
      <c r="MWM185" s="11"/>
      <c r="MWN185" s="12"/>
      <c r="MWW185" s="11"/>
      <c r="MWX185" s="12"/>
      <c r="MXG185" s="11"/>
      <c r="MXH185" s="12"/>
      <c r="MXQ185" s="11"/>
      <c r="MXR185" s="12"/>
      <c r="MYA185" s="11"/>
      <c r="MYB185" s="12"/>
      <c r="MYK185" s="11"/>
      <c r="MYL185" s="12"/>
      <c r="MYU185" s="11"/>
      <c r="MYV185" s="12"/>
      <c r="MZE185" s="11"/>
      <c r="MZF185" s="12"/>
      <c r="MZO185" s="11"/>
      <c r="MZP185" s="12"/>
      <c r="MZY185" s="11"/>
      <c r="MZZ185" s="12"/>
      <c r="NAI185" s="11"/>
      <c r="NAJ185" s="12"/>
      <c r="NAS185" s="11"/>
      <c r="NAT185" s="12"/>
      <c r="NBC185" s="11"/>
      <c r="NBD185" s="12"/>
      <c r="NBM185" s="11"/>
      <c r="NBN185" s="12"/>
      <c r="NBW185" s="11"/>
      <c r="NBX185" s="12"/>
      <c r="NCG185" s="11"/>
      <c r="NCH185" s="12"/>
      <c r="NCQ185" s="11"/>
      <c r="NCR185" s="12"/>
      <c r="NDA185" s="11"/>
      <c r="NDB185" s="12"/>
      <c r="NDK185" s="11"/>
      <c r="NDL185" s="12"/>
      <c r="NDU185" s="11"/>
      <c r="NDV185" s="12"/>
      <c r="NEE185" s="11"/>
      <c r="NEF185" s="12"/>
      <c r="NEO185" s="11"/>
      <c r="NEP185" s="12"/>
      <c r="NEY185" s="11"/>
      <c r="NEZ185" s="12"/>
      <c r="NFI185" s="11"/>
      <c r="NFJ185" s="12"/>
      <c r="NFS185" s="11"/>
      <c r="NFT185" s="12"/>
      <c r="NGC185" s="11"/>
      <c r="NGD185" s="12"/>
      <c r="NGM185" s="11"/>
      <c r="NGN185" s="12"/>
      <c r="NGW185" s="11"/>
      <c r="NGX185" s="12"/>
      <c r="NHG185" s="11"/>
      <c r="NHH185" s="12"/>
      <c r="NHQ185" s="11"/>
      <c r="NHR185" s="12"/>
      <c r="NIA185" s="11"/>
      <c r="NIB185" s="12"/>
      <c r="NIK185" s="11"/>
      <c r="NIL185" s="12"/>
      <c r="NIU185" s="11"/>
      <c r="NIV185" s="12"/>
      <c r="NJE185" s="11"/>
      <c r="NJF185" s="12"/>
      <c r="NJO185" s="11"/>
      <c r="NJP185" s="12"/>
      <c r="NJY185" s="11"/>
      <c r="NJZ185" s="12"/>
      <c r="NKI185" s="11"/>
      <c r="NKJ185" s="12"/>
      <c r="NKS185" s="11"/>
      <c r="NKT185" s="12"/>
      <c r="NLC185" s="11"/>
      <c r="NLD185" s="12"/>
      <c r="NLM185" s="11"/>
      <c r="NLN185" s="12"/>
      <c r="NLW185" s="11"/>
      <c r="NLX185" s="12"/>
      <c r="NMG185" s="11"/>
      <c r="NMH185" s="12"/>
      <c r="NMQ185" s="11"/>
      <c r="NMR185" s="12"/>
      <c r="NNA185" s="11"/>
      <c r="NNB185" s="12"/>
      <c r="NNK185" s="11"/>
      <c r="NNL185" s="12"/>
      <c r="NNU185" s="11"/>
      <c r="NNV185" s="12"/>
      <c r="NOE185" s="11"/>
      <c r="NOF185" s="12"/>
      <c r="NOO185" s="11"/>
      <c r="NOP185" s="12"/>
      <c r="NOY185" s="11"/>
      <c r="NOZ185" s="12"/>
      <c r="NPI185" s="11"/>
      <c r="NPJ185" s="12"/>
      <c r="NPS185" s="11"/>
      <c r="NPT185" s="12"/>
      <c r="NQC185" s="11"/>
      <c r="NQD185" s="12"/>
      <c r="NQM185" s="11"/>
      <c r="NQN185" s="12"/>
      <c r="NQW185" s="11"/>
      <c r="NQX185" s="12"/>
      <c r="NRG185" s="11"/>
      <c r="NRH185" s="12"/>
      <c r="NRQ185" s="11"/>
      <c r="NRR185" s="12"/>
      <c r="NSA185" s="11"/>
      <c r="NSB185" s="12"/>
      <c r="NSK185" s="11"/>
      <c r="NSL185" s="12"/>
      <c r="NSU185" s="11"/>
      <c r="NSV185" s="12"/>
      <c r="NTE185" s="11"/>
      <c r="NTF185" s="12"/>
      <c r="NTO185" s="11"/>
      <c r="NTP185" s="12"/>
      <c r="NTY185" s="11"/>
      <c r="NTZ185" s="12"/>
      <c r="NUI185" s="11"/>
      <c r="NUJ185" s="12"/>
      <c r="NUS185" s="11"/>
      <c r="NUT185" s="12"/>
      <c r="NVC185" s="11"/>
      <c r="NVD185" s="12"/>
      <c r="NVM185" s="11"/>
      <c r="NVN185" s="12"/>
      <c r="NVW185" s="11"/>
      <c r="NVX185" s="12"/>
      <c r="NWG185" s="11"/>
      <c r="NWH185" s="12"/>
      <c r="NWQ185" s="11"/>
      <c r="NWR185" s="12"/>
      <c r="NXA185" s="11"/>
      <c r="NXB185" s="12"/>
      <c r="NXK185" s="11"/>
      <c r="NXL185" s="12"/>
      <c r="NXU185" s="11"/>
      <c r="NXV185" s="12"/>
      <c r="NYE185" s="11"/>
      <c r="NYF185" s="12"/>
      <c r="NYO185" s="11"/>
      <c r="NYP185" s="12"/>
      <c r="NYY185" s="11"/>
      <c r="NYZ185" s="12"/>
      <c r="NZI185" s="11"/>
      <c r="NZJ185" s="12"/>
      <c r="NZS185" s="11"/>
      <c r="NZT185" s="12"/>
      <c r="OAC185" s="11"/>
      <c r="OAD185" s="12"/>
      <c r="OAM185" s="11"/>
      <c r="OAN185" s="12"/>
      <c r="OAW185" s="11"/>
      <c r="OAX185" s="12"/>
      <c r="OBG185" s="11"/>
      <c r="OBH185" s="12"/>
      <c r="OBQ185" s="11"/>
      <c r="OBR185" s="12"/>
      <c r="OCA185" s="11"/>
      <c r="OCB185" s="12"/>
      <c r="OCK185" s="11"/>
      <c r="OCL185" s="12"/>
      <c r="OCU185" s="11"/>
      <c r="OCV185" s="12"/>
      <c r="ODE185" s="11"/>
      <c r="ODF185" s="12"/>
      <c r="ODO185" s="11"/>
      <c r="ODP185" s="12"/>
      <c r="ODY185" s="11"/>
      <c r="ODZ185" s="12"/>
      <c r="OEI185" s="11"/>
      <c r="OEJ185" s="12"/>
      <c r="OES185" s="11"/>
      <c r="OET185" s="12"/>
      <c r="OFC185" s="11"/>
      <c r="OFD185" s="12"/>
      <c r="OFM185" s="11"/>
      <c r="OFN185" s="12"/>
      <c r="OFW185" s="11"/>
      <c r="OFX185" s="12"/>
      <c r="OGG185" s="11"/>
      <c r="OGH185" s="12"/>
      <c r="OGQ185" s="11"/>
      <c r="OGR185" s="12"/>
      <c r="OHA185" s="11"/>
      <c r="OHB185" s="12"/>
      <c r="OHK185" s="11"/>
      <c r="OHL185" s="12"/>
      <c r="OHU185" s="11"/>
      <c r="OHV185" s="12"/>
      <c r="OIE185" s="11"/>
      <c r="OIF185" s="12"/>
      <c r="OIO185" s="11"/>
      <c r="OIP185" s="12"/>
      <c r="OIY185" s="11"/>
      <c r="OIZ185" s="12"/>
      <c r="OJI185" s="11"/>
      <c r="OJJ185" s="12"/>
      <c r="OJS185" s="11"/>
      <c r="OJT185" s="12"/>
      <c r="OKC185" s="11"/>
      <c r="OKD185" s="12"/>
      <c r="OKM185" s="11"/>
      <c r="OKN185" s="12"/>
      <c r="OKW185" s="11"/>
      <c r="OKX185" s="12"/>
      <c r="OLG185" s="11"/>
      <c r="OLH185" s="12"/>
      <c r="OLQ185" s="11"/>
      <c r="OLR185" s="12"/>
      <c r="OMA185" s="11"/>
      <c r="OMB185" s="12"/>
      <c r="OMK185" s="11"/>
      <c r="OML185" s="12"/>
      <c r="OMU185" s="11"/>
      <c r="OMV185" s="12"/>
      <c r="ONE185" s="11"/>
      <c r="ONF185" s="12"/>
      <c r="ONO185" s="11"/>
      <c r="ONP185" s="12"/>
      <c r="ONY185" s="11"/>
      <c r="ONZ185" s="12"/>
      <c r="OOI185" s="11"/>
      <c r="OOJ185" s="12"/>
      <c r="OOS185" s="11"/>
      <c r="OOT185" s="12"/>
      <c r="OPC185" s="11"/>
      <c r="OPD185" s="12"/>
      <c r="OPM185" s="11"/>
      <c r="OPN185" s="12"/>
      <c r="OPW185" s="11"/>
      <c r="OPX185" s="12"/>
      <c r="OQG185" s="11"/>
      <c r="OQH185" s="12"/>
      <c r="OQQ185" s="11"/>
      <c r="OQR185" s="12"/>
      <c r="ORA185" s="11"/>
      <c r="ORB185" s="12"/>
      <c r="ORK185" s="11"/>
      <c r="ORL185" s="12"/>
      <c r="ORU185" s="11"/>
      <c r="ORV185" s="12"/>
      <c r="OSE185" s="11"/>
      <c r="OSF185" s="12"/>
      <c r="OSO185" s="11"/>
      <c r="OSP185" s="12"/>
      <c r="OSY185" s="11"/>
      <c r="OSZ185" s="12"/>
      <c r="OTI185" s="11"/>
      <c r="OTJ185" s="12"/>
      <c r="OTS185" s="11"/>
      <c r="OTT185" s="12"/>
      <c r="OUC185" s="11"/>
      <c r="OUD185" s="12"/>
      <c r="OUM185" s="11"/>
      <c r="OUN185" s="12"/>
      <c r="OUW185" s="11"/>
      <c r="OUX185" s="12"/>
      <c r="OVG185" s="11"/>
      <c r="OVH185" s="12"/>
      <c r="OVQ185" s="11"/>
      <c r="OVR185" s="12"/>
      <c r="OWA185" s="11"/>
      <c r="OWB185" s="12"/>
      <c r="OWK185" s="11"/>
      <c r="OWL185" s="12"/>
      <c r="OWU185" s="11"/>
      <c r="OWV185" s="12"/>
      <c r="OXE185" s="11"/>
      <c r="OXF185" s="12"/>
      <c r="OXO185" s="11"/>
      <c r="OXP185" s="12"/>
      <c r="OXY185" s="11"/>
      <c r="OXZ185" s="12"/>
      <c r="OYI185" s="11"/>
      <c r="OYJ185" s="12"/>
      <c r="OYS185" s="11"/>
      <c r="OYT185" s="12"/>
      <c r="OZC185" s="11"/>
      <c r="OZD185" s="12"/>
      <c r="OZM185" s="11"/>
      <c r="OZN185" s="12"/>
      <c r="OZW185" s="11"/>
      <c r="OZX185" s="12"/>
      <c r="PAG185" s="11"/>
      <c r="PAH185" s="12"/>
      <c r="PAQ185" s="11"/>
      <c r="PAR185" s="12"/>
      <c r="PBA185" s="11"/>
      <c r="PBB185" s="12"/>
      <c r="PBK185" s="11"/>
      <c r="PBL185" s="12"/>
      <c r="PBU185" s="11"/>
      <c r="PBV185" s="12"/>
      <c r="PCE185" s="11"/>
      <c r="PCF185" s="12"/>
      <c r="PCO185" s="11"/>
      <c r="PCP185" s="12"/>
      <c r="PCY185" s="11"/>
      <c r="PCZ185" s="12"/>
      <c r="PDI185" s="11"/>
      <c r="PDJ185" s="12"/>
      <c r="PDS185" s="11"/>
      <c r="PDT185" s="12"/>
      <c r="PEC185" s="11"/>
      <c r="PED185" s="12"/>
      <c r="PEM185" s="11"/>
      <c r="PEN185" s="12"/>
      <c r="PEW185" s="11"/>
      <c r="PEX185" s="12"/>
      <c r="PFG185" s="11"/>
      <c r="PFH185" s="12"/>
      <c r="PFQ185" s="11"/>
      <c r="PFR185" s="12"/>
      <c r="PGA185" s="11"/>
      <c r="PGB185" s="12"/>
      <c r="PGK185" s="11"/>
      <c r="PGL185" s="12"/>
      <c r="PGU185" s="11"/>
      <c r="PGV185" s="12"/>
      <c r="PHE185" s="11"/>
      <c r="PHF185" s="12"/>
      <c r="PHO185" s="11"/>
      <c r="PHP185" s="12"/>
      <c r="PHY185" s="11"/>
      <c r="PHZ185" s="12"/>
      <c r="PII185" s="11"/>
      <c r="PIJ185" s="12"/>
      <c r="PIS185" s="11"/>
      <c r="PIT185" s="12"/>
      <c r="PJC185" s="11"/>
      <c r="PJD185" s="12"/>
      <c r="PJM185" s="11"/>
      <c r="PJN185" s="12"/>
      <c r="PJW185" s="11"/>
      <c r="PJX185" s="12"/>
      <c r="PKG185" s="11"/>
      <c r="PKH185" s="12"/>
      <c r="PKQ185" s="11"/>
      <c r="PKR185" s="12"/>
      <c r="PLA185" s="11"/>
      <c r="PLB185" s="12"/>
      <c r="PLK185" s="11"/>
      <c r="PLL185" s="12"/>
      <c r="PLU185" s="11"/>
      <c r="PLV185" s="12"/>
      <c r="PME185" s="11"/>
      <c r="PMF185" s="12"/>
      <c r="PMO185" s="11"/>
      <c r="PMP185" s="12"/>
      <c r="PMY185" s="11"/>
      <c r="PMZ185" s="12"/>
      <c r="PNI185" s="11"/>
      <c r="PNJ185" s="12"/>
      <c r="PNS185" s="11"/>
      <c r="PNT185" s="12"/>
      <c r="POC185" s="11"/>
      <c r="POD185" s="12"/>
      <c r="POM185" s="11"/>
      <c r="PON185" s="12"/>
      <c r="POW185" s="11"/>
      <c r="POX185" s="12"/>
      <c r="PPG185" s="11"/>
      <c r="PPH185" s="12"/>
      <c r="PPQ185" s="11"/>
      <c r="PPR185" s="12"/>
      <c r="PQA185" s="11"/>
      <c r="PQB185" s="12"/>
      <c r="PQK185" s="11"/>
      <c r="PQL185" s="12"/>
      <c r="PQU185" s="11"/>
      <c r="PQV185" s="12"/>
      <c r="PRE185" s="11"/>
      <c r="PRF185" s="12"/>
      <c r="PRO185" s="11"/>
      <c r="PRP185" s="12"/>
      <c r="PRY185" s="11"/>
      <c r="PRZ185" s="12"/>
      <c r="PSI185" s="11"/>
      <c r="PSJ185" s="12"/>
      <c r="PSS185" s="11"/>
      <c r="PST185" s="12"/>
      <c r="PTC185" s="11"/>
      <c r="PTD185" s="12"/>
      <c r="PTM185" s="11"/>
      <c r="PTN185" s="12"/>
      <c r="PTW185" s="11"/>
      <c r="PTX185" s="12"/>
      <c r="PUG185" s="11"/>
      <c r="PUH185" s="12"/>
      <c r="PUQ185" s="11"/>
      <c r="PUR185" s="12"/>
      <c r="PVA185" s="11"/>
      <c r="PVB185" s="12"/>
      <c r="PVK185" s="11"/>
      <c r="PVL185" s="12"/>
      <c r="PVU185" s="11"/>
      <c r="PVV185" s="12"/>
      <c r="PWE185" s="11"/>
      <c r="PWF185" s="12"/>
      <c r="PWO185" s="11"/>
      <c r="PWP185" s="12"/>
      <c r="PWY185" s="11"/>
      <c r="PWZ185" s="12"/>
      <c r="PXI185" s="11"/>
      <c r="PXJ185" s="12"/>
      <c r="PXS185" s="11"/>
      <c r="PXT185" s="12"/>
      <c r="PYC185" s="11"/>
      <c r="PYD185" s="12"/>
      <c r="PYM185" s="11"/>
      <c r="PYN185" s="12"/>
      <c r="PYW185" s="11"/>
      <c r="PYX185" s="12"/>
      <c r="PZG185" s="11"/>
      <c r="PZH185" s="12"/>
      <c r="PZQ185" s="11"/>
      <c r="PZR185" s="12"/>
      <c r="QAA185" s="11"/>
      <c r="QAB185" s="12"/>
      <c r="QAK185" s="11"/>
      <c r="QAL185" s="12"/>
      <c r="QAU185" s="11"/>
      <c r="QAV185" s="12"/>
      <c r="QBE185" s="11"/>
      <c r="QBF185" s="12"/>
      <c r="QBO185" s="11"/>
      <c r="QBP185" s="12"/>
      <c r="QBY185" s="11"/>
      <c r="QBZ185" s="12"/>
      <c r="QCI185" s="11"/>
      <c r="QCJ185" s="12"/>
      <c r="QCS185" s="11"/>
      <c r="QCT185" s="12"/>
      <c r="QDC185" s="11"/>
      <c r="QDD185" s="12"/>
      <c r="QDM185" s="11"/>
      <c r="QDN185" s="12"/>
      <c r="QDW185" s="11"/>
      <c r="QDX185" s="12"/>
      <c r="QEG185" s="11"/>
      <c r="QEH185" s="12"/>
      <c r="QEQ185" s="11"/>
      <c r="QER185" s="12"/>
      <c r="QFA185" s="11"/>
      <c r="QFB185" s="12"/>
      <c r="QFK185" s="11"/>
      <c r="QFL185" s="12"/>
      <c r="QFU185" s="11"/>
      <c r="QFV185" s="12"/>
      <c r="QGE185" s="11"/>
      <c r="QGF185" s="12"/>
      <c r="QGO185" s="11"/>
      <c r="QGP185" s="12"/>
      <c r="QGY185" s="11"/>
      <c r="QGZ185" s="12"/>
      <c r="QHI185" s="11"/>
      <c r="QHJ185" s="12"/>
      <c r="QHS185" s="11"/>
      <c r="QHT185" s="12"/>
      <c r="QIC185" s="11"/>
      <c r="QID185" s="12"/>
      <c r="QIM185" s="11"/>
      <c r="QIN185" s="12"/>
      <c r="QIW185" s="11"/>
      <c r="QIX185" s="12"/>
      <c r="QJG185" s="11"/>
      <c r="QJH185" s="12"/>
      <c r="QJQ185" s="11"/>
      <c r="QJR185" s="12"/>
      <c r="QKA185" s="11"/>
      <c r="QKB185" s="12"/>
      <c r="QKK185" s="11"/>
      <c r="QKL185" s="12"/>
      <c r="QKU185" s="11"/>
      <c r="QKV185" s="12"/>
      <c r="QLE185" s="11"/>
      <c r="QLF185" s="12"/>
      <c r="QLO185" s="11"/>
      <c r="QLP185" s="12"/>
      <c r="QLY185" s="11"/>
      <c r="QLZ185" s="12"/>
      <c r="QMI185" s="11"/>
      <c r="QMJ185" s="12"/>
      <c r="QMS185" s="11"/>
      <c r="QMT185" s="12"/>
      <c r="QNC185" s="11"/>
      <c r="QND185" s="12"/>
      <c r="QNM185" s="11"/>
      <c r="QNN185" s="12"/>
      <c r="QNW185" s="11"/>
      <c r="QNX185" s="12"/>
      <c r="QOG185" s="11"/>
      <c r="QOH185" s="12"/>
      <c r="QOQ185" s="11"/>
      <c r="QOR185" s="12"/>
      <c r="QPA185" s="11"/>
      <c r="QPB185" s="12"/>
      <c r="QPK185" s="11"/>
      <c r="QPL185" s="12"/>
      <c r="QPU185" s="11"/>
      <c r="QPV185" s="12"/>
      <c r="QQE185" s="11"/>
      <c r="QQF185" s="12"/>
      <c r="QQO185" s="11"/>
      <c r="QQP185" s="12"/>
      <c r="QQY185" s="11"/>
      <c r="QQZ185" s="12"/>
      <c r="QRI185" s="11"/>
      <c r="QRJ185" s="12"/>
      <c r="QRS185" s="11"/>
      <c r="QRT185" s="12"/>
      <c r="QSC185" s="11"/>
      <c r="QSD185" s="12"/>
      <c r="QSM185" s="11"/>
      <c r="QSN185" s="12"/>
      <c r="QSW185" s="11"/>
      <c r="QSX185" s="12"/>
      <c r="QTG185" s="11"/>
      <c r="QTH185" s="12"/>
      <c r="QTQ185" s="11"/>
      <c r="QTR185" s="12"/>
      <c r="QUA185" s="11"/>
      <c r="QUB185" s="12"/>
      <c r="QUK185" s="11"/>
      <c r="QUL185" s="12"/>
      <c r="QUU185" s="11"/>
      <c r="QUV185" s="12"/>
      <c r="QVE185" s="11"/>
      <c r="QVF185" s="12"/>
      <c r="QVO185" s="11"/>
      <c r="QVP185" s="12"/>
      <c r="QVY185" s="11"/>
      <c r="QVZ185" s="12"/>
      <c r="QWI185" s="11"/>
      <c r="QWJ185" s="12"/>
      <c r="QWS185" s="11"/>
      <c r="QWT185" s="12"/>
      <c r="QXC185" s="11"/>
      <c r="QXD185" s="12"/>
      <c r="QXM185" s="11"/>
      <c r="QXN185" s="12"/>
      <c r="QXW185" s="11"/>
      <c r="QXX185" s="12"/>
      <c r="QYG185" s="11"/>
      <c r="QYH185" s="12"/>
      <c r="QYQ185" s="11"/>
      <c r="QYR185" s="12"/>
      <c r="QZA185" s="11"/>
      <c r="QZB185" s="12"/>
      <c r="QZK185" s="11"/>
      <c r="QZL185" s="12"/>
      <c r="QZU185" s="11"/>
      <c r="QZV185" s="12"/>
      <c r="RAE185" s="11"/>
      <c r="RAF185" s="12"/>
      <c r="RAO185" s="11"/>
      <c r="RAP185" s="12"/>
      <c r="RAY185" s="11"/>
      <c r="RAZ185" s="12"/>
      <c r="RBI185" s="11"/>
      <c r="RBJ185" s="12"/>
      <c r="RBS185" s="11"/>
      <c r="RBT185" s="12"/>
      <c r="RCC185" s="11"/>
      <c r="RCD185" s="12"/>
      <c r="RCM185" s="11"/>
      <c r="RCN185" s="12"/>
      <c r="RCW185" s="11"/>
      <c r="RCX185" s="12"/>
      <c r="RDG185" s="11"/>
      <c r="RDH185" s="12"/>
      <c r="RDQ185" s="11"/>
      <c r="RDR185" s="12"/>
      <c r="REA185" s="11"/>
      <c r="REB185" s="12"/>
      <c r="REK185" s="11"/>
      <c r="REL185" s="12"/>
      <c r="REU185" s="11"/>
      <c r="REV185" s="12"/>
      <c r="RFE185" s="11"/>
      <c r="RFF185" s="12"/>
      <c r="RFO185" s="11"/>
      <c r="RFP185" s="12"/>
      <c r="RFY185" s="11"/>
      <c r="RFZ185" s="12"/>
      <c r="RGI185" s="11"/>
      <c r="RGJ185" s="12"/>
      <c r="RGS185" s="11"/>
      <c r="RGT185" s="12"/>
      <c r="RHC185" s="11"/>
      <c r="RHD185" s="12"/>
      <c r="RHM185" s="11"/>
      <c r="RHN185" s="12"/>
      <c r="RHW185" s="11"/>
      <c r="RHX185" s="12"/>
      <c r="RIG185" s="11"/>
      <c r="RIH185" s="12"/>
      <c r="RIQ185" s="11"/>
      <c r="RIR185" s="12"/>
      <c r="RJA185" s="11"/>
      <c r="RJB185" s="12"/>
      <c r="RJK185" s="11"/>
      <c r="RJL185" s="12"/>
      <c r="RJU185" s="11"/>
      <c r="RJV185" s="12"/>
      <c r="RKE185" s="11"/>
      <c r="RKF185" s="12"/>
      <c r="RKO185" s="11"/>
      <c r="RKP185" s="12"/>
      <c r="RKY185" s="11"/>
      <c r="RKZ185" s="12"/>
      <c r="RLI185" s="11"/>
      <c r="RLJ185" s="12"/>
      <c r="RLS185" s="11"/>
      <c r="RLT185" s="12"/>
      <c r="RMC185" s="11"/>
      <c r="RMD185" s="12"/>
      <c r="RMM185" s="11"/>
      <c r="RMN185" s="12"/>
      <c r="RMW185" s="11"/>
      <c r="RMX185" s="12"/>
      <c r="RNG185" s="11"/>
      <c r="RNH185" s="12"/>
      <c r="RNQ185" s="11"/>
      <c r="RNR185" s="12"/>
      <c r="ROA185" s="11"/>
      <c r="ROB185" s="12"/>
      <c r="ROK185" s="11"/>
      <c r="ROL185" s="12"/>
      <c r="ROU185" s="11"/>
      <c r="ROV185" s="12"/>
      <c r="RPE185" s="11"/>
      <c r="RPF185" s="12"/>
      <c r="RPO185" s="11"/>
      <c r="RPP185" s="12"/>
      <c r="RPY185" s="11"/>
      <c r="RPZ185" s="12"/>
      <c r="RQI185" s="11"/>
      <c r="RQJ185" s="12"/>
      <c r="RQS185" s="11"/>
      <c r="RQT185" s="12"/>
      <c r="RRC185" s="11"/>
      <c r="RRD185" s="12"/>
      <c r="RRM185" s="11"/>
      <c r="RRN185" s="12"/>
      <c r="RRW185" s="11"/>
      <c r="RRX185" s="12"/>
      <c r="RSG185" s="11"/>
      <c r="RSH185" s="12"/>
      <c r="RSQ185" s="11"/>
      <c r="RSR185" s="12"/>
      <c r="RTA185" s="11"/>
      <c r="RTB185" s="12"/>
      <c r="RTK185" s="11"/>
      <c r="RTL185" s="12"/>
      <c r="RTU185" s="11"/>
      <c r="RTV185" s="12"/>
      <c r="RUE185" s="11"/>
      <c r="RUF185" s="12"/>
      <c r="RUO185" s="11"/>
      <c r="RUP185" s="12"/>
      <c r="RUY185" s="11"/>
      <c r="RUZ185" s="12"/>
      <c r="RVI185" s="11"/>
      <c r="RVJ185" s="12"/>
      <c r="RVS185" s="11"/>
      <c r="RVT185" s="12"/>
      <c r="RWC185" s="11"/>
      <c r="RWD185" s="12"/>
      <c r="RWM185" s="11"/>
      <c r="RWN185" s="12"/>
      <c r="RWW185" s="11"/>
      <c r="RWX185" s="12"/>
      <c r="RXG185" s="11"/>
      <c r="RXH185" s="12"/>
      <c r="RXQ185" s="11"/>
      <c r="RXR185" s="12"/>
      <c r="RYA185" s="11"/>
      <c r="RYB185" s="12"/>
      <c r="RYK185" s="11"/>
      <c r="RYL185" s="12"/>
      <c r="RYU185" s="11"/>
      <c r="RYV185" s="12"/>
      <c r="RZE185" s="11"/>
      <c r="RZF185" s="12"/>
      <c r="RZO185" s="11"/>
      <c r="RZP185" s="12"/>
      <c r="RZY185" s="11"/>
      <c r="RZZ185" s="12"/>
      <c r="SAI185" s="11"/>
      <c r="SAJ185" s="12"/>
      <c r="SAS185" s="11"/>
      <c r="SAT185" s="12"/>
      <c r="SBC185" s="11"/>
      <c r="SBD185" s="12"/>
      <c r="SBM185" s="11"/>
      <c r="SBN185" s="12"/>
      <c r="SBW185" s="11"/>
      <c r="SBX185" s="12"/>
      <c r="SCG185" s="11"/>
      <c r="SCH185" s="12"/>
      <c r="SCQ185" s="11"/>
      <c r="SCR185" s="12"/>
      <c r="SDA185" s="11"/>
      <c r="SDB185" s="12"/>
      <c r="SDK185" s="11"/>
      <c r="SDL185" s="12"/>
      <c r="SDU185" s="11"/>
      <c r="SDV185" s="12"/>
      <c r="SEE185" s="11"/>
      <c r="SEF185" s="12"/>
      <c r="SEO185" s="11"/>
      <c r="SEP185" s="12"/>
      <c r="SEY185" s="11"/>
      <c r="SEZ185" s="12"/>
      <c r="SFI185" s="11"/>
      <c r="SFJ185" s="12"/>
      <c r="SFS185" s="11"/>
      <c r="SFT185" s="12"/>
      <c r="SGC185" s="11"/>
      <c r="SGD185" s="12"/>
      <c r="SGM185" s="11"/>
      <c r="SGN185" s="12"/>
      <c r="SGW185" s="11"/>
      <c r="SGX185" s="12"/>
      <c r="SHG185" s="11"/>
      <c r="SHH185" s="12"/>
      <c r="SHQ185" s="11"/>
      <c r="SHR185" s="12"/>
      <c r="SIA185" s="11"/>
      <c r="SIB185" s="12"/>
      <c r="SIK185" s="11"/>
      <c r="SIL185" s="12"/>
      <c r="SIU185" s="11"/>
      <c r="SIV185" s="12"/>
      <c r="SJE185" s="11"/>
      <c r="SJF185" s="12"/>
      <c r="SJO185" s="11"/>
      <c r="SJP185" s="12"/>
      <c r="SJY185" s="11"/>
      <c r="SJZ185" s="12"/>
      <c r="SKI185" s="11"/>
      <c r="SKJ185" s="12"/>
      <c r="SKS185" s="11"/>
      <c r="SKT185" s="12"/>
      <c r="SLC185" s="11"/>
      <c r="SLD185" s="12"/>
      <c r="SLM185" s="11"/>
      <c r="SLN185" s="12"/>
      <c r="SLW185" s="11"/>
      <c r="SLX185" s="12"/>
      <c r="SMG185" s="11"/>
      <c r="SMH185" s="12"/>
      <c r="SMQ185" s="11"/>
      <c r="SMR185" s="12"/>
      <c r="SNA185" s="11"/>
      <c r="SNB185" s="12"/>
      <c r="SNK185" s="11"/>
      <c r="SNL185" s="12"/>
      <c r="SNU185" s="11"/>
      <c r="SNV185" s="12"/>
      <c r="SOE185" s="11"/>
      <c r="SOF185" s="12"/>
      <c r="SOO185" s="11"/>
      <c r="SOP185" s="12"/>
      <c r="SOY185" s="11"/>
      <c r="SOZ185" s="12"/>
      <c r="SPI185" s="11"/>
      <c r="SPJ185" s="12"/>
      <c r="SPS185" s="11"/>
      <c r="SPT185" s="12"/>
      <c r="SQC185" s="11"/>
      <c r="SQD185" s="12"/>
      <c r="SQM185" s="11"/>
      <c r="SQN185" s="12"/>
      <c r="SQW185" s="11"/>
      <c r="SQX185" s="12"/>
      <c r="SRG185" s="11"/>
      <c r="SRH185" s="12"/>
      <c r="SRQ185" s="11"/>
      <c r="SRR185" s="12"/>
      <c r="SSA185" s="11"/>
      <c r="SSB185" s="12"/>
      <c r="SSK185" s="11"/>
      <c r="SSL185" s="12"/>
      <c r="SSU185" s="11"/>
      <c r="SSV185" s="12"/>
      <c r="STE185" s="11"/>
      <c r="STF185" s="12"/>
      <c r="STO185" s="11"/>
      <c r="STP185" s="12"/>
      <c r="STY185" s="11"/>
      <c r="STZ185" s="12"/>
      <c r="SUI185" s="11"/>
      <c r="SUJ185" s="12"/>
      <c r="SUS185" s="11"/>
      <c r="SUT185" s="12"/>
      <c r="SVC185" s="11"/>
      <c r="SVD185" s="12"/>
      <c r="SVM185" s="11"/>
      <c r="SVN185" s="12"/>
      <c r="SVW185" s="11"/>
      <c r="SVX185" s="12"/>
      <c r="SWG185" s="11"/>
      <c r="SWH185" s="12"/>
      <c r="SWQ185" s="11"/>
      <c r="SWR185" s="12"/>
      <c r="SXA185" s="11"/>
      <c r="SXB185" s="12"/>
      <c r="SXK185" s="11"/>
      <c r="SXL185" s="12"/>
      <c r="SXU185" s="11"/>
      <c r="SXV185" s="12"/>
      <c r="SYE185" s="11"/>
      <c r="SYF185" s="12"/>
      <c r="SYO185" s="11"/>
      <c r="SYP185" s="12"/>
      <c r="SYY185" s="11"/>
      <c r="SYZ185" s="12"/>
      <c r="SZI185" s="11"/>
      <c r="SZJ185" s="12"/>
      <c r="SZS185" s="11"/>
      <c r="SZT185" s="12"/>
      <c r="TAC185" s="11"/>
      <c r="TAD185" s="12"/>
      <c r="TAM185" s="11"/>
      <c r="TAN185" s="12"/>
      <c r="TAW185" s="11"/>
      <c r="TAX185" s="12"/>
      <c r="TBG185" s="11"/>
      <c r="TBH185" s="12"/>
      <c r="TBQ185" s="11"/>
      <c r="TBR185" s="12"/>
      <c r="TCA185" s="11"/>
      <c r="TCB185" s="12"/>
      <c r="TCK185" s="11"/>
      <c r="TCL185" s="12"/>
      <c r="TCU185" s="11"/>
      <c r="TCV185" s="12"/>
      <c r="TDE185" s="11"/>
      <c r="TDF185" s="12"/>
      <c r="TDO185" s="11"/>
      <c r="TDP185" s="12"/>
      <c r="TDY185" s="11"/>
      <c r="TDZ185" s="12"/>
      <c r="TEI185" s="11"/>
      <c r="TEJ185" s="12"/>
      <c r="TES185" s="11"/>
      <c r="TET185" s="12"/>
      <c r="TFC185" s="11"/>
      <c r="TFD185" s="12"/>
      <c r="TFM185" s="11"/>
      <c r="TFN185" s="12"/>
      <c r="TFW185" s="11"/>
      <c r="TFX185" s="12"/>
      <c r="TGG185" s="11"/>
      <c r="TGH185" s="12"/>
      <c r="TGQ185" s="11"/>
      <c r="TGR185" s="12"/>
      <c r="THA185" s="11"/>
      <c r="THB185" s="12"/>
      <c r="THK185" s="11"/>
      <c r="THL185" s="12"/>
      <c r="THU185" s="11"/>
      <c r="THV185" s="12"/>
      <c r="TIE185" s="11"/>
      <c r="TIF185" s="12"/>
      <c r="TIO185" s="11"/>
      <c r="TIP185" s="12"/>
      <c r="TIY185" s="11"/>
      <c r="TIZ185" s="12"/>
      <c r="TJI185" s="11"/>
      <c r="TJJ185" s="12"/>
      <c r="TJS185" s="11"/>
      <c r="TJT185" s="12"/>
      <c r="TKC185" s="11"/>
      <c r="TKD185" s="12"/>
      <c r="TKM185" s="11"/>
      <c r="TKN185" s="12"/>
      <c r="TKW185" s="11"/>
      <c r="TKX185" s="12"/>
      <c r="TLG185" s="11"/>
      <c r="TLH185" s="12"/>
      <c r="TLQ185" s="11"/>
      <c r="TLR185" s="12"/>
      <c r="TMA185" s="11"/>
      <c r="TMB185" s="12"/>
      <c r="TMK185" s="11"/>
      <c r="TML185" s="12"/>
      <c r="TMU185" s="11"/>
      <c r="TMV185" s="12"/>
      <c r="TNE185" s="11"/>
      <c r="TNF185" s="12"/>
      <c r="TNO185" s="11"/>
      <c r="TNP185" s="12"/>
      <c r="TNY185" s="11"/>
      <c r="TNZ185" s="12"/>
      <c r="TOI185" s="11"/>
      <c r="TOJ185" s="12"/>
      <c r="TOS185" s="11"/>
      <c r="TOT185" s="12"/>
      <c r="TPC185" s="11"/>
      <c r="TPD185" s="12"/>
      <c r="TPM185" s="11"/>
      <c r="TPN185" s="12"/>
      <c r="TPW185" s="11"/>
      <c r="TPX185" s="12"/>
      <c r="TQG185" s="11"/>
      <c r="TQH185" s="12"/>
      <c r="TQQ185" s="11"/>
      <c r="TQR185" s="12"/>
      <c r="TRA185" s="11"/>
      <c r="TRB185" s="12"/>
      <c r="TRK185" s="11"/>
      <c r="TRL185" s="12"/>
      <c r="TRU185" s="11"/>
      <c r="TRV185" s="12"/>
      <c r="TSE185" s="11"/>
      <c r="TSF185" s="12"/>
      <c r="TSO185" s="11"/>
      <c r="TSP185" s="12"/>
      <c r="TSY185" s="11"/>
      <c r="TSZ185" s="12"/>
      <c r="TTI185" s="11"/>
      <c r="TTJ185" s="12"/>
      <c r="TTS185" s="11"/>
      <c r="TTT185" s="12"/>
      <c r="TUC185" s="11"/>
      <c r="TUD185" s="12"/>
      <c r="TUM185" s="11"/>
      <c r="TUN185" s="12"/>
      <c r="TUW185" s="11"/>
      <c r="TUX185" s="12"/>
      <c r="TVG185" s="11"/>
      <c r="TVH185" s="12"/>
      <c r="TVQ185" s="11"/>
      <c r="TVR185" s="12"/>
      <c r="TWA185" s="11"/>
      <c r="TWB185" s="12"/>
      <c r="TWK185" s="11"/>
      <c r="TWL185" s="12"/>
      <c r="TWU185" s="11"/>
      <c r="TWV185" s="12"/>
      <c r="TXE185" s="11"/>
      <c r="TXF185" s="12"/>
      <c r="TXO185" s="11"/>
      <c r="TXP185" s="12"/>
      <c r="TXY185" s="11"/>
      <c r="TXZ185" s="12"/>
      <c r="TYI185" s="11"/>
      <c r="TYJ185" s="12"/>
      <c r="TYS185" s="11"/>
      <c r="TYT185" s="12"/>
      <c r="TZC185" s="11"/>
      <c r="TZD185" s="12"/>
      <c r="TZM185" s="11"/>
      <c r="TZN185" s="12"/>
      <c r="TZW185" s="11"/>
      <c r="TZX185" s="12"/>
      <c r="UAG185" s="11"/>
      <c r="UAH185" s="12"/>
      <c r="UAQ185" s="11"/>
      <c r="UAR185" s="12"/>
      <c r="UBA185" s="11"/>
      <c r="UBB185" s="12"/>
      <c r="UBK185" s="11"/>
      <c r="UBL185" s="12"/>
      <c r="UBU185" s="11"/>
      <c r="UBV185" s="12"/>
      <c r="UCE185" s="11"/>
      <c r="UCF185" s="12"/>
      <c r="UCO185" s="11"/>
      <c r="UCP185" s="12"/>
      <c r="UCY185" s="11"/>
      <c r="UCZ185" s="12"/>
      <c r="UDI185" s="11"/>
      <c r="UDJ185" s="12"/>
      <c r="UDS185" s="11"/>
      <c r="UDT185" s="12"/>
      <c r="UEC185" s="11"/>
      <c r="UED185" s="12"/>
      <c r="UEM185" s="11"/>
      <c r="UEN185" s="12"/>
      <c r="UEW185" s="11"/>
      <c r="UEX185" s="12"/>
      <c r="UFG185" s="11"/>
      <c r="UFH185" s="12"/>
      <c r="UFQ185" s="11"/>
      <c r="UFR185" s="12"/>
      <c r="UGA185" s="11"/>
      <c r="UGB185" s="12"/>
      <c r="UGK185" s="11"/>
      <c r="UGL185" s="12"/>
      <c r="UGU185" s="11"/>
      <c r="UGV185" s="12"/>
      <c r="UHE185" s="11"/>
      <c r="UHF185" s="12"/>
      <c r="UHO185" s="11"/>
      <c r="UHP185" s="12"/>
      <c r="UHY185" s="11"/>
      <c r="UHZ185" s="12"/>
      <c r="UII185" s="11"/>
      <c r="UIJ185" s="12"/>
      <c r="UIS185" s="11"/>
      <c r="UIT185" s="12"/>
      <c r="UJC185" s="11"/>
      <c r="UJD185" s="12"/>
      <c r="UJM185" s="11"/>
      <c r="UJN185" s="12"/>
      <c r="UJW185" s="11"/>
      <c r="UJX185" s="12"/>
      <c r="UKG185" s="11"/>
      <c r="UKH185" s="12"/>
      <c r="UKQ185" s="11"/>
      <c r="UKR185" s="12"/>
      <c r="ULA185" s="11"/>
      <c r="ULB185" s="12"/>
      <c r="ULK185" s="11"/>
      <c r="ULL185" s="12"/>
      <c r="ULU185" s="11"/>
      <c r="ULV185" s="12"/>
      <c r="UME185" s="11"/>
      <c r="UMF185" s="12"/>
      <c r="UMO185" s="11"/>
      <c r="UMP185" s="12"/>
      <c r="UMY185" s="11"/>
      <c r="UMZ185" s="12"/>
      <c r="UNI185" s="11"/>
      <c r="UNJ185" s="12"/>
      <c r="UNS185" s="11"/>
      <c r="UNT185" s="12"/>
      <c r="UOC185" s="11"/>
      <c r="UOD185" s="12"/>
      <c r="UOM185" s="11"/>
      <c r="UON185" s="12"/>
      <c r="UOW185" s="11"/>
      <c r="UOX185" s="12"/>
      <c r="UPG185" s="11"/>
      <c r="UPH185" s="12"/>
      <c r="UPQ185" s="11"/>
      <c r="UPR185" s="12"/>
      <c r="UQA185" s="11"/>
      <c r="UQB185" s="12"/>
      <c r="UQK185" s="11"/>
      <c r="UQL185" s="12"/>
      <c r="UQU185" s="11"/>
      <c r="UQV185" s="12"/>
      <c r="URE185" s="11"/>
      <c r="URF185" s="12"/>
      <c r="URO185" s="11"/>
      <c r="URP185" s="12"/>
      <c r="URY185" s="11"/>
      <c r="URZ185" s="12"/>
      <c r="USI185" s="11"/>
      <c r="USJ185" s="12"/>
      <c r="USS185" s="11"/>
      <c r="UST185" s="12"/>
      <c r="UTC185" s="11"/>
      <c r="UTD185" s="12"/>
      <c r="UTM185" s="11"/>
      <c r="UTN185" s="12"/>
      <c r="UTW185" s="11"/>
      <c r="UTX185" s="12"/>
      <c r="UUG185" s="11"/>
      <c r="UUH185" s="12"/>
      <c r="UUQ185" s="11"/>
      <c r="UUR185" s="12"/>
      <c r="UVA185" s="11"/>
      <c r="UVB185" s="12"/>
      <c r="UVK185" s="11"/>
      <c r="UVL185" s="12"/>
      <c r="UVU185" s="11"/>
      <c r="UVV185" s="12"/>
      <c r="UWE185" s="11"/>
      <c r="UWF185" s="12"/>
      <c r="UWO185" s="11"/>
      <c r="UWP185" s="12"/>
      <c r="UWY185" s="11"/>
      <c r="UWZ185" s="12"/>
      <c r="UXI185" s="11"/>
      <c r="UXJ185" s="12"/>
      <c r="UXS185" s="11"/>
      <c r="UXT185" s="12"/>
      <c r="UYC185" s="11"/>
      <c r="UYD185" s="12"/>
      <c r="UYM185" s="11"/>
      <c r="UYN185" s="12"/>
      <c r="UYW185" s="11"/>
      <c r="UYX185" s="12"/>
      <c r="UZG185" s="11"/>
      <c r="UZH185" s="12"/>
      <c r="UZQ185" s="11"/>
      <c r="UZR185" s="12"/>
      <c r="VAA185" s="11"/>
      <c r="VAB185" s="12"/>
      <c r="VAK185" s="11"/>
      <c r="VAL185" s="12"/>
      <c r="VAU185" s="11"/>
      <c r="VAV185" s="12"/>
      <c r="VBE185" s="11"/>
      <c r="VBF185" s="12"/>
      <c r="VBO185" s="11"/>
      <c r="VBP185" s="12"/>
      <c r="VBY185" s="11"/>
      <c r="VBZ185" s="12"/>
      <c r="VCI185" s="11"/>
      <c r="VCJ185" s="12"/>
      <c r="VCS185" s="11"/>
      <c r="VCT185" s="12"/>
      <c r="VDC185" s="11"/>
      <c r="VDD185" s="12"/>
      <c r="VDM185" s="11"/>
      <c r="VDN185" s="12"/>
      <c r="VDW185" s="11"/>
      <c r="VDX185" s="12"/>
      <c r="VEG185" s="11"/>
      <c r="VEH185" s="12"/>
      <c r="VEQ185" s="11"/>
      <c r="VER185" s="12"/>
      <c r="VFA185" s="11"/>
      <c r="VFB185" s="12"/>
      <c r="VFK185" s="11"/>
      <c r="VFL185" s="12"/>
      <c r="VFU185" s="11"/>
      <c r="VFV185" s="12"/>
      <c r="VGE185" s="11"/>
      <c r="VGF185" s="12"/>
      <c r="VGO185" s="11"/>
      <c r="VGP185" s="12"/>
      <c r="VGY185" s="11"/>
      <c r="VGZ185" s="12"/>
      <c r="VHI185" s="11"/>
      <c r="VHJ185" s="12"/>
      <c r="VHS185" s="11"/>
      <c r="VHT185" s="12"/>
      <c r="VIC185" s="11"/>
      <c r="VID185" s="12"/>
      <c r="VIM185" s="11"/>
      <c r="VIN185" s="12"/>
      <c r="VIW185" s="11"/>
      <c r="VIX185" s="12"/>
      <c r="VJG185" s="11"/>
      <c r="VJH185" s="12"/>
      <c r="VJQ185" s="11"/>
      <c r="VJR185" s="12"/>
      <c r="VKA185" s="11"/>
      <c r="VKB185" s="12"/>
      <c r="VKK185" s="11"/>
      <c r="VKL185" s="12"/>
      <c r="VKU185" s="11"/>
      <c r="VKV185" s="12"/>
      <c r="VLE185" s="11"/>
      <c r="VLF185" s="12"/>
      <c r="VLO185" s="11"/>
      <c r="VLP185" s="12"/>
      <c r="VLY185" s="11"/>
      <c r="VLZ185" s="12"/>
      <c r="VMI185" s="11"/>
      <c r="VMJ185" s="12"/>
      <c r="VMS185" s="11"/>
      <c r="VMT185" s="12"/>
      <c r="VNC185" s="11"/>
      <c r="VND185" s="12"/>
      <c r="VNM185" s="11"/>
      <c r="VNN185" s="12"/>
      <c r="VNW185" s="11"/>
      <c r="VNX185" s="12"/>
      <c r="VOG185" s="11"/>
      <c r="VOH185" s="12"/>
      <c r="VOQ185" s="11"/>
      <c r="VOR185" s="12"/>
      <c r="VPA185" s="11"/>
      <c r="VPB185" s="12"/>
      <c r="VPK185" s="11"/>
      <c r="VPL185" s="12"/>
      <c r="VPU185" s="11"/>
      <c r="VPV185" s="12"/>
      <c r="VQE185" s="11"/>
      <c r="VQF185" s="12"/>
      <c r="VQO185" s="11"/>
      <c r="VQP185" s="12"/>
      <c r="VQY185" s="11"/>
      <c r="VQZ185" s="12"/>
      <c r="VRI185" s="11"/>
      <c r="VRJ185" s="12"/>
      <c r="VRS185" s="11"/>
      <c r="VRT185" s="12"/>
      <c r="VSC185" s="11"/>
      <c r="VSD185" s="12"/>
      <c r="VSM185" s="11"/>
      <c r="VSN185" s="12"/>
      <c r="VSW185" s="11"/>
      <c r="VSX185" s="12"/>
      <c r="VTG185" s="11"/>
      <c r="VTH185" s="12"/>
      <c r="VTQ185" s="11"/>
      <c r="VTR185" s="12"/>
      <c r="VUA185" s="11"/>
      <c r="VUB185" s="12"/>
      <c r="VUK185" s="11"/>
      <c r="VUL185" s="12"/>
      <c r="VUU185" s="11"/>
      <c r="VUV185" s="12"/>
      <c r="VVE185" s="11"/>
      <c r="VVF185" s="12"/>
      <c r="VVO185" s="11"/>
      <c r="VVP185" s="12"/>
      <c r="VVY185" s="11"/>
      <c r="VVZ185" s="12"/>
      <c r="VWI185" s="11"/>
      <c r="VWJ185" s="12"/>
      <c r="VWS185" s="11"/>
      <c r="VWT185" s="12"/>
      <c r="VXC185" s="11"/>
      <c r="VXD185" s="12"/>
      <c r="VXM185" s="11"/>
      <c r="VXN185" s="12"/>
      <c r="VXW185" s="11"/>
      <c r="VXX185" s="12"/>
      <c r="VYG185" s="11"/>
      <c r="VYH185" s="12"/>
      <c r="VYQ185" s="11"/>
      <c r="VYR185" s="12"/>
      <c r="VZA185" s="11"/>
      <c r="VZB185" s="12"/>
      <c r="VZK185" s="11"/>
      <c r="VZL185" s="12"/>
      <c r="VZU185" s="11"/>
      <c r="VZV185" s="12"/>
      <c r="WAE185" s="11"/>
      <c r="WAF185" s="12"/>
      <c r="WAO185" s="11"/>
      <c r="WAP185" s="12"/>
      <c r="WAY185" s="11"/>
      <c r="WAZ185" s="12"/>
      <c r="WBI185" s="11"/>
      <c r="WBJ185" s="12"/>
      <c r="WBS185" s="11"/>
      <c r="WBT185" s="12"/>
      <c r="WCC185" s="11"/>
      <c r="WCD185" s="12"/>
      <c r="WCM185" s="11"/>
      <c r="WCN185" s="12"/>
      <c r="WCW185" s="11"/>
      <c r="WCX185" s="12"/>
      <c r="WDG185" s="11"/>
      <c r="WDH185" s="12"/>
      <c r="WDQ185" s="11"/>
      <c r="WDR185" s="12"/>
      <c r="WEA185" s="11"/>
      <c r="WEB185" s="12"/>
      <c r="WEK185" s="11"/>
      <c r="WEL185" s="12"/>
      <c r="WEU185" s="11"/>
      <c r="WEV185" s="12"/>
      <c r="WFE185" s="11"/>
      <c r="WFF185" s="12"/>
      <c r="WFO185" s="11"/>
      <c r="WFP185" s="12"/>
      <c r="WFY185" s="11"/>
      <c r="WFZ185" s="12"/>
      <c r="WGI185" s="11"/>
      <c r="WGJ185" s="12"/>
      <c r="WGS185" s="11"/>
      <c r="WGT185" s="12"/>
      <c r="WHC185" s="11"/>
      <c r="WHD185" s="12"/>
      <c r="WHM185" s="11"/>
      <c r="WHN185" s="12"/>
      <c r="WHW185" s="11"/>
      <c r="WHX185" s="12"/>
      <c r="WIG185" s="11"/>
      <c r="WIH185" s="12"/>
      <c r="WIQ185" s="11"/>
      <c r="WIR185" s="12"/>
      <c r="WJA185" s="11"/>
      <c r="WJB185" s="12"/>
      <c r="WJK185" s="11"/>
      <c r="WJL185" s="12"/>
      <c r="WJU185" s="11"/>
      <c r="WJV185" s="12"/>
      <c r="WKE185" s="11"/>
      <c r="WKF185" s="12"/>
      <c r="WKO185" s="11"/>
      <c r="WKP185" s="12"/>
      <c r="WKY185" s="11"/>
      <c r="WKZ185" s="12"/>
      <c r="WLI185" s="11"/>
      <c r="WLJ185" s="12"/>
      <c r="WLS185" s="11"/>
      <c r="WLT185" s="12"/>
      <c r="WMC185" s="11"/>
      <c r="WMD185" s="12"/>
      <c r="WMM185" s="11"/>
      <c r="WMN185" s="12"/>
      <c r="WMW185" s="11"/>
      <c r="WMX185" s="12"/>
      <c r="WNG185" s="11"/>
      <c r="WNH185" s="12"/>
      <c r="WNQ185" s="11"/>
      <c r="WNR185" s="12"/>
      <c r="WOA185" s="11"/>
      <c r="WOB185" s="12"/>
      <c r="WOK185" s="11"/>
      <c r="WOL185" s="12"/>
      <c r="WOU185" s="11"/>
      <c r="WOV185" s="12"/>
      <c r="WPE185" s="11"/>
      <c r="WPF185" s="12"/>
      <c r="WPO185" s="11"/>
      <c r="WPP185" s="12"/>
      <c r="WPY185" s="11"/>
      <c r="WPZ185" s="12"/>
      <c r="WQI185" s="11"/>
      <c r="WQJ185" s="12"/>
      <c r="WQS185" s="11"/>
      <c r="WQT185" s="12"/>
      <c r="WRC185" s="11"/>
      <c r="WRD185" s="12"/>
      <c r="WRM185" s="11"/>
      <c r="WRN185" s="12"/>
      <c r="WRW185" s="11"/>
      <c r="WRX185" s="12"/>
      <c r="WSG185" s="11"/>
      <c r="WSH185" s="12"/>
      <c r="WSQ185" s="11"/>
      <c r="WSR185" s="12"/>
      <c r="WTA185" s="11"/>
      <c r="WTB185" s="12"/>
      <c r="WTK185" s="11"/>
      <c r="WTL185" s="12"/>
      <c r="WTU185" s="11"/>
      <c r="WTV185" s="12"/>
      <c r="WUE185" s="11"/>
      <c r="WUF185" s="12"/>
      <c r="WUO185" s="11"/>
      <c r="WUP185" s="12"/>
      <c r="WUY185" s="11"/>
      <c r="WUZ185" s="12"/>
      <c r="WVI185" s="11"/>
      <c r="WVJ185" s="12"/>
      <c r="WVS185" s="11"/>
      <c r="WVT185" s="12"/>
      <c r="WWC185" s="11"/>
      <c r="WWD185" s="12"/>
      <c r="WWM185" s="11"/>
      <c r="WWN185" s="12"/>
      <c r="WWW185" s="11"/>
      <c r="WWX185" s="12"/>
      <c r="WXG185" s="11"/>
      <c r="WXH185" s="12"/>
      <c r="WXQ185" s="11"/>
      <c r="WXR185" s="12"/>
      <c r="WYA185" s="11"/>
      <c r="WYB185" s="12"/>
      <c r="WYK185" s="11"/>
      <c r="WYL185" s="12"/>
      <c r="WYU185" s="11"/>
      <c r="WYV185" s="12"/>
      <c r="WZE185" s="11"/>
      <c r="WZF185" s="12"/>
      <c r="WZO185" s="11"/>
      <c r="WZP185" s="12"/>
      <c r="WZY185" s="11"/>
      <c r="WZZ185" s="12"/>
      <c r="XAI185" s="11"/>
      <c r="XAJ185" s="12"/>
      <c r="XAS185" s="11"/>
      <c r="XAT185" s="12"/>
      <c r="XBC185" s="11"/>
      <c r="XBD185" s="12"/>
      <c r="XBM185" s="11"/>
      <c r="XBN185" s="12"/>
      <c r="XBW185" s="11"/>
      <c r="XBX185" s="12"/>
      <c r="XCG185" s="11"/>
      <c r="XCH185" s="12"/>
      <c r="XCQ185" s="11"/>
      <c r="XCR185" s="12"/>
      <c r="XDA185" s="11"/>
      <c r="XDB185" s="12"/>
      <c r="XDK185" s="11"/>
      <c r="XDL185" s="12"/>
      <c r="XDU185" s="11"/>
      <c r="XDV185" s="12"/>
      <c r="XEE185" s="11"/>
      <c r="XEF185" s="12"/>
      <c r="XEO185" s="11"/>
      <c r="XEP185" s="12"/>
      <c r="XEY185" s="11"/>
      <c r="XEZ185" s="12"/>
    </row>
    <row r="186" spans="1:1020 1029:2040 2049:3070 3079:4090 4099:5120 5129:6140 6149:7160 7169:8190 8199:9210 9219:10240 10249:11260 11269:12280 12289:13310 13319:14330 14339:15360 15369:16380" s="10" customFormat="1" ht="27.6" x14ac:dyDescent="0.3">
      <c r="A186"/>
      <c r="B186"/>
      <c r="C186"/>
      <c r="D186"/>
      <c r="E186"/>
      <c r="F186"/>
      <c r="G186"/>
      <c r="H186" s="32" t="s">
        <v>9</v>
      </c>
      <c r="I186" s="33" t="s">
        <v>17</v>
      </c>
      <c r="J186" s="34" t="s">
        <v>19</v>
      </c>
      <c r="K186" s="35" t="s">
        <v>1</v>
      </c>
      <c r="L186" s="33" t="s">
        <v>275</v>
      </c>
      <c r="M186" s="33"/>
      <c r="N186" s="36"/>
      <c r="O186" s="33">
        <v>3</v>
      </c>
      <c r="P186" s="33">
        <f>IF(Tabela1[[#This Row],[Status]]="✔️",Tabela1[[#This Row],[Peso]],IF(Tabela1[[#This Row],[Status]]="✔️✔️",Tabela1[[#This Row],[Peso]]/2,0))</f>
        <v>0</v>
      </c>
      <c r="Q18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86" s="33" t="s">
        <v>264</v>
      </c>
      <c r="S186" s="37" t="s">
        <v>263</v>
      </c>
      <c r="T186" s="12"/>
      <c r="AC186" s="11"/>
      <c r="AD186" s="12"/>
      <c r="AM186" s="11"/>
      <c r="AN186" s="12"/>
      <c r="AW186" s="11"/>
      <c r="AX186" s="12"/>
      <c r="BG186" s="11"/>
      <c r="BH186" s="12"/>
      <c r="BQ186" s="11"/>
      <c r="BR186" s="12"/>
      <c r="CA186" s="11"/>
      <c r="CB186" s="12"/>
      <c r="CK186" s="11"/>
      <c r="CL186" s="12"/>
      <c r="CU186" s="11"/>
      <c r="CV186" s="12"/>
      <c r="DE186" s="11"/>
      <c r="DF186" s="12"/>
      <c r="DO186" s="11"/>
      <c r="DP186" s="12"/>
      <c r="DY186" s="11"/>
      <c r="DZ186" s="12"/>
      <c r="EI186" s="11"/>
      <c r="EJ186" s="12"/>
      <c r="ES186" s="11"/>
      <c r="ET186" s="12"/>
      <c r="FC186" s="11"/>
      <c r="FD186" s="12"/>
      <c r="FM186" s="11"/>
      <c r="FN186" s="12"/>
      <c r="FW186" s="11"/>
      <c r="FX186" s="12"/>
      <c r="GG186" s="11"/>
      <c r="GH186" s="12"/>
      <c r="GQ186" s="11"/>
      <c r="GR186" s="12"/>
      <c r="HA186" s="11"/>
      <c r="HB186" s="12"/>
      <c r="HK186" s="11"/>
      <c r="HL186" s="12"/>
      <c r="HU186" s="11"/>
      <c r="HV186" s="12"/>
      <c r="IE186" s="11"/>
      <c r="IF186" s="12"/>
      <c r="IO186" s="11"/>
      <c r="IP186" s="12"/>
      <c r="IY186" s="11"/>
      <c r="IZ186" s="12"/>
      <c r="JI186" s="11"/>
      <c r="JJ186" s="12"/>
      <c r="JS186" s="11"/>
      <c r="JT186" s="12"/>
      <c r="KC186" s="11"/>
      <c r="KD186" s="12"/>
      <c r="KM186" s="11"/>
      <c r="KN186" s="12"/>
      <c r="KW186" s="11"/>
      <c r="KX186" s="12"/>
      <c r="LG186" s="11"/>
      <c r="LH186" s="12"/>
      <c r="LQ186" s="11"/>
      <c r="LR186" s="12"/>
      <c r="MA186" s="11"/>
      <c r="MB186" s="12"/>
      <c r="MK186" s="11"/>
      <c r="ML186" s="12"/>
      <c r="MU186" s="11"/>
      <c r="MV186" s="12"/>
      <c r="NE186" s="11"/>
      <c r="NF186" s="12"/>
      <c r="NO186" s="11"/>
      <c r="NP186" s="12"/>
      <c r="NY186" s="11"/>
      <c r="NZ186" s="12"/>
      <c r="OI186" s="11"/>
      <c r="OJ186" s="12"/>
      <c r="OS186" s="11"/>
      <c r="OT186" s="12"/>
      <c r="PC186" s="11"/>
      <c r="PD186" s="12"/>
      <c r="PM186" s="11"/>
      <c r="PN186" s="12"/>
      <c r="PW186" s="11"/>
      <c r="PX186" s="12"/>
      <c r="QG186" s="11"/>
      <c r="QH186" s="12"/>
      <c r="QQ186" s="11"/>
      <c r="QR186" s="12"/>
      <c r="RA186" s="11"/>
      <c r="RB186" s="12"/>
      <c r="RK186" s="11"/>
      <c r="RL186" s="12"/>
      <c r="RU186" s="11"/>
      <c r="RV186" s="12"/>
      <c r="SE186" s="11"/>
      <c r="SF186" s="12"/>
      <c r="SO186" s="11"/>
      <c r="SP186" s="12"/>
      <c r="SY186" s="11"/>
      <c r="SZ186" s="12"/>
      <c r="TI186" s="11"/>
      <c r="TJ186" s="12"/>
      <c r="TS186" s="11"/>
      <c r="TT186" s="12"/>
      <c r="UC186" s="11"/>
      <c r="UD186" s="12"/>
      <c r="UM186" s="11"/>
      <c r="UN186" s="12"/>
      <c r="UW186" s="11"/>
      <c r="UX186" s="12"/>
      <c r="VG186" s="11"/>
      <c r="VH186" s="12"/>
      <c r="VQ186" s="11"/>
      <c r="VR186" s="12"/>
      <c r="WA186" s="11"/>
      <c r="WB186" s="12"/>
      <c r="WK186" s="11"/>
      <c r="WL186" s="12"/>
      <c r="WU186" s="11"/>
      <c r="WV186" s="12"/>
      <c r="XE186" s="11"/>
      <c r="XF186" s="12"/>
      <c r="XO186" s="11"/>
      <c r="XP186" s="12"/>
      <c r="XY186" s="11"/>
      <c r="XZ186" s="12"/>
      <c r="YI186" s="11"/>
      <c r="YJ186" s="12"/>
      <c r="YS186" s="11"/>
      <c r="YT186" s="12"/>
      <c r="ZC186" s="11"/>
      <c r="ZD186" s="12"/>
      <c r="ZM186" s="11"/>
      <c r="ZN186" s="12"/>
      <c r="ZW186" s="11"/>
      <c r="ZX186" s="12"/>
      <c r="AAG186" s="11"/>
      <c r="AAH186" s="12"/>
      <c r="AAQ186" s="11"/>
      <c r="AAR186" s="12"/>
      <c r="ABA186" s="11"/>
      <c r="ABB186" s="12"/>
      <c r="ABK186" s="11"/>
      <c r="ABL186" s="12"/>
      <c r="ABU186" s="11"/>
      <c r="ABV186" s="12"/>
      <c r="ACE186" s="11"/>
      <c r="ACF186" s="12"/>
      <c r="ACO186" s="11"/>
      <c r="ACP186" s="12"/>
      <c r="ACY186" s="11"/>
      <c r="ACZ186" s="12"/>
      <c r="ADI186" s="11"/>
      <c r="ADJ186" s="12"/>
      <c r="ADS186" s="11"/>
      <c r="ADT186" s="12"/>
      <c r="AEC186" s="11"/>
      <c r="AED186" s="12"/>
      <c r="AEM186" s="11"/>
      <c r="AEN186" s="12"/>
      <c r="AEW186" s="11"/>
      <c r="AEX186" s="12"/>
      <c r="AFG186" s="11"/>
      <c r="AFH186" s="12"/>
      <c r="AFQ186" s="11"/>
      <c r="AFR186" s="12"/>
      <c r="AGA186" s="11"/>
      <c r="AGB186" s="12"/>
      <c r="AGK186" s="11"/>
      <c r="AGL186" s="12"/>
      <c r="AGU186" s="11"/>
      <c r="AGV186" s="12"/>
      <c r="AHE186" s="11"/>
      <c r="AHF186" s="12"/>
      <c r="AHO186" s="11"/>
      <c r="AHP186" s="12"/>
      <c r="AHY186" s="11"/>
      <c r="AHZ186" s="12"/>
      <c r="AII186" s="11"/>
      <c r="AIJ186" s="12"/>
      <c r="AIS186" s="11"/>
      <c r="AIT186" s="12"/>
      <c r="AJC186" s="11"/>
      <c r="AJD186" s="12"/>
      <c r="AJM186" s="11"/>
      <c r="AJN186" s="12"/>
      <c r="AJW186" s="11"/>
      <c r="AJX186" s="12"/>
      <c r="AKG186" s="11"/>
      <c r="AKH186" s="12"/>
      <c r="AKQ186" s="11"/>
      <c r="AKR186" s="12"/>
      <c r="ALA186" s="11"/>
      <c r="ALB186" s="12"/>
      <c r="ALK186" s="11"/>
      <c r="ALL186" s="12"/>
      <c r="ALU186" s="11"/>
      <c r="ALV186" s="12"/>
      <c r="AME186" s="11"/>
      <c r="AMF186" s="12"/>
      <c r="AMO186" s="11"/>
      <c r="AMP186" s="12"/>
      <c r="AMY186" s="11"/>
      <c r="AMZ186" s="12"/>
      <c r="ANI186" s="11"/>
      <c r="ANJ186" s="12"/>
      <c r="ANS186" s="11"/>
      <c r="ANT186" s="12"/>
      <c r="AOC186" s="11"/>
      <c r="AOD186" s="12"/>
      <c r="AOM186" s="11"/>
      <c r="AON186" s="12"/>
      <c r="AOW186" s="11"/>
      <c r="AOX186" s="12"/>
      <c r="APG186" s="11"/>
      <c r="APH186" s="12"/>
      <c r="APQ186" s="11"/>
      <c r="APR186" s="12"/>
      <c r="AQA186" s="11"/>
      <c r="AQB186" s="12"/>
      <c r="AQK186" s="11"/>
      <c r="AQL186" s="12"/>
      <c r="AQU186" s="11"/>
      <c r="AQV186" s="12"/>
      <c r="ARE186" s="11"/>
      <c r="ARF186" s="12"/>
      <c r="ARO186" s="11"/>
      <c r="ARP186" s="12"/>
      <c r="ARY186" s="11"/>
      <c r="ARZ186" s="12"/>
      <c r="ASI186" s="11"/>
      <c r="ASJ186" s="12"/>
      <c r="ASS186" s="11"/>
      <c r="AST186" s="12"/>
      <c r="ATC186" s="11"/>
      <c r="ATD186" s="12"/>
      <c r="ATM186" s="11"/>
      <c r="ATN186" s="12"/>
      <c r="ATW186" s="11"/>
      <c r="ATX186" s="12"/>
      <c r="AUG186" s="11"/>
      <c r="AUH186" s="12"/>
      <c r="AUQ186" s="11"/>
      <c r="AUR186" s="12"/>
      <c r="AVA186" s="11"/>
      <c r="AVB186" s="12"/>
      <c r="AVK186" s="11"/>
      <c r="AVL186" s="12"/>
      <c r="AVU186" s="11"/>
      <c r="AVV186" s="12"/>
      <c r="AWE186" s="11"/>
      <c r="AWF186" s="12"/>
      <c r="AWO186" s="11"/>
      <c r="AWP186" s="12"/>
      <c r="AWY186" s="11"/>
      <c r="AWZ186" s="12"/>
      <c r="AXI186" s="11"/>
      <c r="AXJ186" s="12"/>
      <c r="AXS186" s="11"/>
      <c r="AXT186" s="12"/>
      <c r="AYC186" s="11"/>
      <c r="AYD186" s="12"/>
      <c r="AYM186" s="11"/>
      <c r="AYN186" s="12"/>
      <c r="AYW186" s="11"/>
      <c r="AYX186" s="12"/>
      <c r="AZG186" s="11"/>
      <c r="AZH186" s="12"/>
      <c r="AZQ186" s="11"/>
      <c r="AZR186" s="12"/>
      <c r="BAA186" s="11"/>
      <c r="BAB186" s="12"/>
      <c r="BAK186" s="11"/>
      <c r="BAL186" s="12"/>
      <c r="BAU186" s="11"/>
      <c r="BAV186" s="12"/>
      <c r="BBE186" s="11"/>
      <c r="BBF186" s="12"/>
      <c r="BBO186" s="11"/>
      <c r="BBP186" s="12"/>
      <c r="BBY186" s="11"/>
      <c r="BBZ186" s="12"/>
      <c r="BCI186" s="11"/>
      <c r="BCJ186" s="12"/>
      <c r="BCS186" s="11"/>
      <c r="BCT186" s="12"/>
      <c r="BDC186" s="11"/>
      <c r="BDD186" s="12"/>
      <c r="BDM186" s="11"/>
      <c r="BDN186" s="12"/>
      <c r="BDW186" s="11"/>
      <c r="BDX186" s="12"/>
      <c r="BEG186" s="11"/>
      <c r="BEH186" s="12"/>
      <c r="BEQ186" s="11"/>
      <c r="BER186" s="12"/>
      <c r="BFA186" s="11"/>
      <c r="BFB186" s="12"/>
      <c r="BFK186" s="11"/>
      <c r="BFL186" s="12"/>
      <c r="BFU186" s="11"/>
      <c r="BFV186" s="12"/>
      <c r="BGE186" s="11"/>
      <c r="BGF186" s="12"/>
      <c r="BGO186" s="11"/>
      <c r="BGP186" s="12"/>
      <c r="BGY186" s="11"/>
      <c r="BGZ186" s="12"/>
      <c r="BHI186" s="11"/>
      <c r="BHJ186" s="12"/>
      <c r="BHS186" s="11"/>
      <c r="BHT186" s="12"/>
      <c r="BIC186" s="11"/>
      <c r="BID186" s="12"/>
      <c r="BIM186" s="11"/>
      <c r="BIN186" s="12"/>
      <c r="BIW186" s="11"/>
      <c r="BIX186" s="12"/>
      <c r="BJG186" s="11"/>
      <c r="BJH186" s="12"/>
      <c r="BJQ186" s="11"/>
      <c r="BJR186" s="12"/>
      <c r="BKA186" s="11"/>
      <c r="BKB186" s="12"/>
      <c r="BKK186" s="11"/>
      <c r="BKL186" s="12"/>
      <c r="BKU186" s="11"/>
      <c r="BKV186" s="12"/>
      <c r="BLE186" s="11"/>
      <c r="BLF186" s="12"/>
      <c r="BLO186" s="11"/>
      <c r="BLP186" s="12"/>
      <c r="BLY186" s="11"/>
      <c r="BLZ186" s="12"/>
      <c r="BMI186" s="11"/>
      <c r="BMJ186" s="12"/>
      <c r="BMS186" s="11"/>
      <c r="BMT186" s="12"/>
      <c r="BNC186" s="11"/>
      <c r="BND186" s="12"/>
      <c r="BNM186" s="11"/>
      <c r="BNN186" s="12"/>
      <c r="BNW186" s="11"/>
      <c r="BNX186" s="12"/>
      <c r="BOG186" s="11"/>
      <c r="BOH186" s="12"/>
      <c r="BOQ186" s="11"/>
      <c r="BOR186" s="12"/>
      <c r="BPA186" s="11"/>
      <c r="BPB186" s="12"/>
      <c r="BPK186" s="11"/>
      <c r="BPL186" s="12"/>
      <c r="BPU186" s="11"/>
      <c r="BPV186" s="12"/>
      <c r="BQE186" s="11"/>
      <c r="BQF186" s="12"/>
      <c r="BQO186" s="11"/>
      <c r="BQP186" s="12"/>
      <c r="BQY186" s="11"/>
      <c r="BQZ186" s="12"/>
      <c r="BRI186" s="11"/>
      <c r="BRJ186" s="12"/>
      <c r="BRS186" s="11"/>
      <c r="BRT186" s="12"/>
      <c r="BSC186" s="11"/>
      <c r="BSD186" s="12"/>
      <c r="BSM186" s="11"/>
      <c r="BSN186" s="12"/>
      <c r="BSW186" s="11"/>
      <c r="BSX186" s="12"/>
      <c r="BTG186" s="11"/>
      <c r="BTH186" s="12"/>
      <c r="BTQ186" s="11"/>
      <c r="BTR186" s="12"/>
      <c r="BUA186" s="11"/>
      <c r="BUB186" s="12"/>
      <c r="BUK186" s="11"/>
      <c r="BUL186" s="12"/>
      <c r="BUU186" s="11"/>
      <c r="BUV186" s="12"/>
      <c r="BVE186" s="11"/>
      <c r="BVF186" s="12"/>
      <c r="BVO186" s="11"/>
      <c r="BVP186" s="12"/>
      <c r="BVY186" s="11"/>
      <c r="BVZ186" s="12"/>
      <c r="BWI186" s="11"/>
      <c r="BWJ186" s="12"/>
      <c r="BWS186" s="11"/>
      <c r="BWT186" s="12"/>
      <c r="BXC186" s="11"/>
      <c r="BXD186" s="12"/>
      <c r="BXM186" s="11"/>
      <c r="BXN186" s="12"/>
      <c r="BXW186" s="11"/>
      <c r="BXX186" s="12"/>
      <c r="BYG186" s="11"/>
      <c r="BYH186" s="12"/>
      <c r="BYQ186" s="11"/>
      <c r="BYR186" s="12"/>
      <c r="BZA186" s="11"/>
      <c r="BZB186" s="12"/>
      <c r="BZK186" s="11"/>
      <c r="BZL186" s="12"/>
      <c r="BZU186" s="11"/>
      <c r="BZV186" s="12"/>
      <c r="CAE186" s="11"/>
      <c r="CAF186" s="12"/>
      <c r="CAO186" s="11"/>
      <c r="CAP186" s="12"/>
      <c r="CAY186" s="11"/>
      <c r="CAZ186" s="12"/>
      <c r="CBI186" s="11"/>
      <c r="CBJ186" s="12"/>
      <c r="CBS186" s="11"/>
      <c r="CBT186" s="12"/>
      <c r="CCC186" s="11"/>
      <c r="CCD186" s="12"/>
      <c r="CCM186" s="11"/>
      <c r="CCN186" s="12"/>
      <c r="CCW186" s="11"/>
      <c r="CCX186" s="12"/>
      <c r="CDG186" s="11"/>
      <c r="CDH186" s="12"/>
      <c r="CDQ186" s="11"/>
      <c r="CDR186" s="12"/>
      <c r="CEA186" s="11"/>
      <c r="CEB186" s="12"/>
      <c r="CEK186" s="11"/>
      <c r="CEL186" s="12"/>
      <c r="CEU186" s="11"/>
      <c r="CEV186" s="12"/>
      <c r="CFE186" s="11"/>
      <c r="CFF186" s="12"/>
      <c r="CFO186" s="11"/>
      <c r="CFP186" s="12"/>
      <c r="CFY186" s="11"/>
      <c r="CFZ186" s="12"/>
      <c r="CGI186" s="11"/>
      <c r="CGJ186" s="12"/>
      <c r="CGS186" s="11"/>
      <c r="CGT186" s="12"/>
      <c r="CHC186" s="11"/>
      <c r="CHD186" s="12"/>
      <c r="CHM186" s="11"/>
      <c r="CHN186" s="12"/>
      <c r="CHW186" s="11"/>
      <c r="CHX186" s="12"/>
      <c r="CIG186" s="11"/>
      <c r="CIH186" s="12"/>
      <c r="CIQ186" s="11"/>
      <c r="CIR186" s="12"/>
      <c r="CJA186" s="11"/>
      <c r="CJB186" s="12"/>
      <c r="CJK186" s="11"/>
      <c r="CJL186" s="12"/>
      <c r="CJU186" s="11"/>
      <c r="CJV186" s="12"/>
      <c r="CKE186" s="11"/>
      <c r="CKF186" s="12"/>
      <c r="CKO186" s="11"/>
      <c r="CKP186" s="12"/>
      <c r="CKY186" s="11"/>
      <c r="CKZ186" s="12"/>
      <c r="CLI186" s="11"/>
      <c r="CLJ186" s="12"/>
      <c r="CLS186" s="11"/>
      <c r="CLT186" s="12"/>
      <c r="CMC186" s="11"/>
      <c r="CMD186" s="12"/>
      <c r="CMM186" s="11"/>
      <c r="CMN186" s="12"/>
      <c r="CMW186" s="11"/>
      <c r="CMX186" s="12"/>
      <c r="CNG186" s="11"/>
      <c r="CNH186" s="12"/>
      <c r="CNQ186" s="11"/>
      <c r="CNR186" s="12"/>
      <c r="COA186" s="11"/>
      <c r="COB186" s="12"/>
      <c r="COK186" s="11"/>
      <c r="COL186" s="12"/>
      <c r="COU186" s="11"/>
      <c r="COV186" s="12"/>
      <c r="CPE186" s="11"/>
      <c r="CPF186" s="12"/>
      <c r="CPO186" s="11"/>
      <c r="CPP186" s="12"/>
      <c r="CPY186" s="11"/>
      <c r="CPZ186" s="12"/>
      <c r="CQI186" s="11"/>
      <c r="CQJ186" s="12"/>
      <c r="CQS186" s="11"/>
      <c r="CQT186" s="12"/>
      <c r="CRC186" s="11"/>
      <c r="CRD186" s="12"/>
      <c r="CRM186" s="11"/>
      <c r="CRN186" s="12"/>
      <c r="CRW186" s="11"/>
      <c r="CRX186" s="12"/>
      <c r="CSG186" s="11"/>
      <c r="CSH186" s="12"/>
      <c r="CSQ186" s="11"/>
      <c r="CSR186" s="12"/>
      <c r="CTA186" s="11"/>
      <c r="CTB186" s="12"/>
      <c r="CTK186" s="11"/>
      <c r="CTL186" s="12"/>
      <c r="CTU186" s="11"/>
      <c r="CTV186" s="12"/>
      <c r="CUE186" s="11"/>
      <c r="CUF186" s="12"/>
      <c r="CUO186" s="11"/>
      <c r="CUP186" s="12"/>
      <c r="CUY186" s="11"/>
      <c r="CUZ186" s="12"/>
      <c r="CVI186" s="11"/>
      <c r="CVJ186" s="12"/>
      <c r="CVS186" s="11"/>
      <c r="CVT186" s="12"/>
      <c r="CWC186" s="11"/>
      <c r="CWD186" s="12"/>
      <c r="CWM186" s="11"/>
      <c r="CWN186" s="12"/>
      <c r="CWW186" s="11"/>
      <c r="CWX186" s="12"/>
      <c r="CXG186" s="11"/>
      <c r="CXH186" s="12"/>
      <c r="CXQ186" s="11"/>
      <c r="CXR186" s="12"/>
      <c r="CYA186" s="11"/>
      <c r="CYB186" s="12"/>
      <c r="CYK186" s="11"/>
      <c r="CYL186" s="12"/>
      <c r="CYU186" s="11"/>
      <c r="CYV186" s="12"/>
      <c r="CZE186" s="11"/>
      <c r="CZF186" s="12"/>
      <c r="CZO186" s="11"/>
      <c r="CZP186" s="12"/>
      <c r="CZY186" s="11"/>
      <c r="CZZ186" s="12"/>
      <c r="DAI186" s="11"/>
      <c r="DAJ186" s="12"/>
      <c r="DAS186" s="11"/>
      <c r="DAT186" s="12"/>
      <c r="DBC186" s="11"/>
      <c r="DBD186" s="12"/>
      <c r="DBM186" s="11"/>
      <c r="DBN186" s="12"/>
      <c r="DBW186" s="11"/>
      <c r="DBX186" s="12"/>
      <c r="DCG186" s="11"/>
      <c r="DCH186" s="12"/>
      <c r="DCQ186" s="11"/>
      <c r="DCR186" s="12"/>
      <c r="DDA186" s="11"/>
      <c r="DDB186" s="12"/>
      <c r="DDK186" s="11"/>
      <c r="DDL186" s="12"/>
      <c r="DDU186" s="11"/>
      <c r="DDV186" s="12"/>
      <c r="DEE186" s="11"/>
      <c r="DEF186" s="12"/>
      <c r="DEO186" s="11"/>
      <c r="DEP186" s="12"/>
      <c r="DEY186" s="11"/>
      <c r="DEZ186" s="12"/>
      <c r="DFI186" s="11"/>
      <c r="DFJ186" s="12"/>
      <c r="DFS186" s="11"/>
      <c r="DFT186" s="12"/>
      <c r="DGC186" s="11"/>
      <c r="DGD186" s="12"/>
      <c r="DGM186" s="11"/>
      <c r="DGN186" s="12"/>
      <c r="DGW186" s="11"/>
      <c r="DGX186" s="12"/>
      <c r="DHG186" s="11"/>
      <c r="DHH186" s="12"/>
      <c r="DHQ186" s="11"/>
      <c r="DHR186" s="12"/>
      <c r="DIA186" s="11"/>
      <c r="DIB186" s="12"/>
      <c r="DIK186" s="11"/>
      <c r="DIL186" s="12"/>
      <c r="DIU186" s="11"/>
      <c r="DIV186" s="12"/>
      <c r="DJE186" s="11"/>
      <c r="DJF186" s="12"/>
      <c r="DJO186" s="11"/>
      <c r="DJP186" s="12"/>
      <c r="DJY186" s="11"/>
      <c r="DJZ186" s="12"/>
      <c r="DKI186" s="11"/>
      <c r="DKJ186" s="12"/>
      <c r="DKS186" s="11"/>
      <c r="DKT186" s="12"/>
      <c r="DLC186" s="11"/>
      <c r="DLD186" s="12"/>
      <c r="DLM186" s="11"/>
      <c r="DLN186" s="12"/>
      <c r="DLW186" s="11"/>
      <c r="DLX186" s="12"/>
      <c r="DMG186" s="11"/>
      <c r="DMH186" s="12"/>
      <c r="DMQ186" s="11"/>
      <c r="DMR186" s="12"/>
      <c r="DNA186" s="11"/>
      <c r="DNB186" s="12"/>
      <c r="DNK186" s="11"/>
      <c r="DNL186" s="12"/>
      <c r="DNU186" s="11"/>
      <c r="DNV186" s="12"/>
      <c r="DOE186" s="11"/>
      <c r="DOF186" s="12"/>
      <c r="DOO186" s="11"/>
      <c r="DOP186" s="12"/>
      <c r="DOY186" s="11"/>
      <c r="DOZ186" s="12"/>
      <c r="DPI186" s="11"/>
      <c r="DPJ186" s="12"/>
      <c r="DPS186" s="11"/>
      <c r="DPT186" s="12"/>
      <c r="DQC186" s="11"/>
      <c r="DQD186" s="12"/>
      <c r="DQM186" s="11"/>
      <c r="DQN186" s="12"/>
      <c r="DQW186" s="11"/>
      <c r="DQX186" s="12"/>
      <c r="DRG186" s="11"/>
      <c r="DRH186" s="12"/>
      <c r="DRQ186" s="11"/>
      <c r="DRR186" s="12"/>
      <c r="DSA186" s="11"/>
      <c r="DSB186" s="12"/>
      <c r="DSK186" s="11"/>
      <c r="DSL186" s="12"/>
      <c r="DSU186" s="11"/>
      <c r="DSV186" s="12"/>
      <c r="DTE186" s="11"/>
      <c r="DTF186" s="12"/>
      <c r="DTO186" s="11"/>
      <c r="DTP186" s="12"/>
      <c r="DTY186" s="11"/>
      <c r="DTZ186" s="12"/>
      <c r="DUI186" s="11"/>
      <c r="DUJ186" s="12"/>
      <c r="DUS186" s="11"/>
      <c r="DUT186" s="12"/>
      <c r="DVC186" s="11"/>
      <c r="DVD186" s="12"/>
      <c r="DVM186" s="11"/>
      <c r="DVN186" s="12"/>
      <c r="DVW186" s="11"/>
      <c r="DVX186" s="12"/>
      <c r="DWG186" s="11"/>
      <c r="DWH186" s="12"/>
      <c r="DWQ186" s="11"/>
      <c r="DWR186" s="12"/>
      <c r="DXA186" s="11"/>
      <c r="DXB186" s="12"/>
      <c r="DXK186" s="11"/>
      <c r="DXL186" s="12"/>
      <c r="DXU186" s="11"/>
      <c r="DXV186" s="12"/>
      <c r="DYE186" s="11"/>
      <c r="DYF186" s="12"/>
      <c r="DYO186" s="11"/>
      <c r="DYP186" s="12"/>
      <c r="DYY186" s="11"/>
      <c r="DYZ186" s="12"/>
      <c r="DZI186" s="11"/>
      <c r="DZJ186" s="12"/>
      <c r="DZS186" s="11"/>
      <c r="DZT186" s="12"/>
      <c r="EAC186" s="11"/>
      <c r="EAD186" s="12"/>
      <c r="EAM186" s="11"/>
      <c r="EAN186" s="12"/>
      <c r="EAW186" s="11"/>
      <c r="EAX186" s="12"/>
      <c r="EBG186" s="11"/>
      <c r="EBH186" s="12"/>
      <c r="EBQ186" s="11"/>
      <c r="EBR186" s="12"/>
      <c r="ECA186" s="11"/>
      <c r="ECB186" s="12"/>
      <c r="ECK186" s="11"/>
      <c r="ECL186" s="12"/>
      <c r="ECU186" s="11"/>
      <c r="ECV186" s="12"/>
      <c r="EDE186" s="11"/>
      <c r="EDF186" s="12"/>
      <c r="EDO186" s="11"/>
      <c r="EDP186" s="12"/>
      <c r="EDY186" s="11"/>
      <c r="EDZ186" s="12"/>
      <c r="EEI186" s="11"/>
      <c r="EEJ186" s="12"/>
      <c r="EES186" s="11"/>
      <c r="EET186" s="12"/>
      <c r="EFC186" s="11"/>
      <c r="EFD186" s="12"/>
      <c r="EFM186" s="11"/>
      <c r="EFN186" s="12"/>
      <c r="EFW186" s="11"/>
      <c r="EFX186" s="12"/>
      <c r="EGG186" s="11"/>
      <c r="EGH186" s="12"/>
      <c r="EGQ186" s="11"/>
      <c r="EGR186" s="12"/>
      <c r="EHA186" s="11"/>
      <c r="EHB186" s="12"/>
      <c r="EHK186" s="11"/>
      <c r="EHL186" s="12"/>
      <c r="EHU186" s="11"/>
      <c r="EHV186" s="12"/>
      <c r="EIE186" s="11"/>
      <c r="EIF186" s="12"/>
      <c r="EIO186" s="11"/>
      <c r="EIP186" s="12"/>
      <c r="EIY186" s="11"/>
      <c r="EIZ186" s="12"/>
      <c r="EJI186" s="11"/>
      <c r="EJJ186" s="12"/>
      <c r="EJS186" s="11"/>
      <c r="EJT186" s="12"/>
      <c r="EKC186" s="11"/>
      <c r="EKD186" s="12"/>
      <c r="EKM186" s="11"/>
      <c r="EKN186" s="12"/>
      <c r="EKW186" s="11"/>
      <c r="EKX186" s="12"/>
      <c r="ELG186" s="11"/>
      <c r="ELH186" s="12"/>
      <c r="ELQ186" s="11"/>
      <c r="ELR186" s="12"/>
      <c r="EMA186" s="11"/>
      <c r="EMB186" s="12"/>
      <c r="EMK186" s="11"/>
      <c r="EML186" s="12"/>
      <c r="EMU186" s="11"/>
      <c r="EMV186" s="12"/>
      <c r="ENE186" s="11"/>
      <c r="ENF186" s="12"/>
      <c r="ENO186" s="11"/>
      <c r="ENP186" s="12"/>
      <c r="ENY186" s="11"/>
      <c r="ENZ186" s="12"/>
      <c r="EOI186" s="11"/>
      <c r="EOJ186" s="12"/>
      <c r="EOS186" s="11"/>
      <c r="EOT186" s="12"/>
      <c r="EPC186" s="11"/>
      <c r="EPD186" s="12"/>
      <c r="EPM186" s="11"/>
      <c r="EPN186" s="12"/>
      <c r="EPW186" s="11"/>
      <c r="EPX186" s="12"/>
      <c r="EQG186" s="11"/>
      <c r="EQH186" s="12"/>
      <c r="EQQ186" s="11"/>
      <c r="EQR186" s="12"/>
      <c r="ERA186" s="11"/>
      <c r="ERB186" s="12"/>
      <c r="ERK186" s="11"/>
      <c r="ERL186" s="12"/>
      <c r="ERU186" s="11"/>
      <c r="ERV186" s="12"/>
      <c r="ESE186" s="11"/>
      <c r="ESF186" s="12"/>
      <c r="ESO186" s="11"/>
      <c r="ESP186" s="12"/>
      <c r="ESY186" s="11"/>
      <c r="ESZ186" s="12"/>
      <c r="ETI186" s="11"/>
      <c r="ETJ186" s="12"/>
      <c r="ETS186" s="11"/>
      <c r="ETT186" s="12"/>
      <c r="EUC186" s="11"/>
      <c r="EUD186" s="12"/>
      <c r="EUM186" s="11"/>
      <c r="EUN186" s="12"/>
      <c r="EUW186" s="11"/>
      <c r="EUX186" s="12"/>
      <c r="EVG186" s="11"/>
      <c r="EVH186" s="12"/>
      <c r="EVQ186" s="11"/>
      <c r="EVR186" s="12"/>
      <c r="EWA186" s="11"/>
      <c r="EWB186" s="12"/>
      <c r="EWK186" s="11"/>
      <c r="EWL186" s="12"/>
      <c r="EWU186" s="11"/>
      <c r="EWV186" s="12"/>
      <c r="EXE186" s="11"/>
      <c r="EXF186" s="12"/>
      <c r="EXO186" s="11"/>
      <c r="EXP186" s="12"/>
      <c r="EXY186" s="11"/>
      <c r="EXZ186" s="12"/>
      <c r="EYI186" s="11"/>
      <c r="EYJ186" s="12"/>
      <c r="EYS186" s="11"/>
      <c r="EYT186" s="12"/>
      <c r="EZC186" s="11"/>
      <c r="EZD186" s="12"/>
      <c r="EZM186" s="11"/>
      <c r="EZN186" s="12"/>
      <c r="EZW186" s="11"/>
      <c r="EZX186" s="12"/>
      <c r="FAG186" s="11"/>
      <c r="FAH186" s="12"/>
      <c r="FAQ186" s="11"/>
      <c r="FAR186" s="12"/>
      <c r="FBA186" s="11"/>
      <c r="FBB186" s="12"/>
      <c r="FBK186" s="11"/>
      <c r="FBL186" s="12"/>
      <c r="FBU186" s="11"/>
      <c r="FBV186" s="12"/>
      <c r="FCE186" s="11"/>
      <c r="FCF186" s="12"/>
      <c r="FCO186" s="11"/>
      <c r="FCP186" s="12"/>
      <c r="FCY186" s="11"/>
      <c r="FCZ186" s="12"/>
      <c r="FDI186" s="11"/>
      <c r="FDJ186" s="12"/>
      <c r="FDS186" s="11"/>
      <c r="FDT186" s="12"/>
      <c r="FEC186" s="11"/>
      <c r="FED186" s="12"/>
      <c r="FEM186" s="11"/>
      <c r="FEN186" s="12"/>
      <c r="FEW186" s="11"/>
      <c r="FEX186" s="12"/>
      <c r="FFG186" s="11"/>
      <c r="FFH186" s="12"/>
      <c r="FFQ186" s="11"/>
      <c r="FFR186" s="12"/>
      <c r="FGA186" s="11"/>
      <c r="FGB186" s="12"/>
      <c r="FGK186" s="11"/>
      <c r="FGL186" s="12"/>
      <c r="FGU186" s="11"/>
      <c r="FGV186" s="12"/>
      <c r="FHE186" s="11"/>
      <c r="FHF186" s="12"/>
      <c r="FHO186" s="11"/>
      <c r="FHP186" s="12"/>
      <c r="FHY186" s="11"/>
      <c r="FHZ186" s="12"/>
      <c r="FII186" s="11"/>
      <c r="FIJ186" s="12"/>
      <c r="FIS186" s="11"/>
      <c r="FIT186" s="12"/>
      <c r="FJC186" s="11"/>
      <c r="FJD186" s="12"/>
      <c r="FJM186" s="11"/>
      <c r="FJN186" s="12"/>
      <c r="FJW186" s="11"/>
      <c r="FJX186" s="12"/>
      <c r="FKG186" s="11"/>
      <c r="FKH186" s="12"/>
      <c r="FKQ186" s="11"/>
      <c r="FKR186" s="12"/>
      <c r="FLA186" s="11"/>
      <c r="FLB186" s="12"/>
      <c r="FLK186" s="11"/>
      <c r="FLL186" s="12"/>
      <c r="FLU186" s="11"/>
      <c r="FLV186" s="12"/>
      <c r="FME186" s="11"/>
      <c r="FMF186" s="12"/>
      <c r="FMO186" s="11"/>
      <c r="FMP186" s="12"/>
      <c r="FMY186" s="11"/>
      <c r="FMZ186" s="12"/>
      <c r="FNI186" s="11"/>
      <c r="FNJ186" s="12"/>
      <c r="FNS186" s="11"/>
      <c r="FNT186" s="12"/>
      <c r="FOC186" s="11"/>
      <c r="FOD186" s="12"/>
      <c r="FOM186" s="11"/>
      <c r="FON186" s="12"/>
      <c r="FOW186" s="11"/>
      <c r="FOX186" s="12"/>
      <c r="FPG186" s="11"/>
      <c r="FPH186" s="12"/>
      <c r="FPQ186" s="11"/>
      <c r="FPR186" s="12"/>
      <c r="FQA186" s="11"/>
      <c r="FQB186" s="12"/>
      <c r="FQK186" s="11"/>
      <c r="FQL186" s="12"/>
      <c r="FQU186" s="11"/>
      <c r="FQV186" s="12"/>
      <c r="FRE186" s="11"/>
      <c r="FRF186" s="12"/>
      <c r="FRO186" s="11"/>
      <c r="FRP186" s="12"/>
      <c r="FRY186" s="11"/>
      <c r="FRZ186" s="12"/>
      <c r="FSI186" s="11"/>
      <c r="FSJ186" s="12"/>
      <c r="FSS186" s="11"/>
      <c r="FST186" s="12"/>
      <c r="FTC186" s="11"/>
      <c r="FTD186" s="12"/>
      <c r="FTM186" s="11"/>
      <c r="FTN186" s="12"/>
      <c r="FTW186" s="11"/>
      <c r="FTX186" s="12"/>
      <c r="FUG186" s="11"/>
      <c r="FUH186" s="12"/>
      <c r="FUQ186" s="11"/>
      <c r="FUR186" s="12"/>
      <c r="FVA186" s="11"/>
      <c r="FVB186" s="12"/>
      <c r="FVK186" s="11"/>
      <c r="FVL186" s="12"/>
      <c r="FVU186" s="11"/>
      <c r="FVV186" s="12"/>
      <c r="FWE186" s="11"/>
      <c r="FWF186" s="12"/>
      <c r="FWO186" s="11"/>
      <c r="FWP186" s="12"/>
      <c r="FWY186" s="11"/>
      <c r="FWZ186" s="12"/>
      <c r="FXI186" s="11"/>
      <c r="FXJ186" s="12"/>
      <c r="FXS186" s="11"/>
      <c r="FXT186" s="12"/>
      <c r="FYC186" s="11"/>
      <c r="FYD186" s="12"/>
      <c r="FYM186" s="11"/>
      <c r="FYN186" s="12"/>
      <c r="FYW186" s="11"/>
      <c r="FYX186" s="12"/>
      <c r="FZG186" s="11"/>
      <c r="FZH186" s="12"/>
      <c r="FZQ186" s="11"/>
      <c r="FZR186" s="12"/>
      <c r="GAA186" s="11"/>
      <c r="GAB186" s="12"/>
      <c r="GAK186" s="11"/>
      <c r="GAL186" s="12"/>
      <c r="GAU186" s="11"/>
      <c r="GAV186" s="12"/>
      <c r="GBE186" s="11"/>
      <c r="GBF186" s="12"/>
      <c r="GBO186" s="11"/>
      <c r="GBP186" s="12"/>
      <c r="GBY186" s="11"/>
      <c r="GBZ186" s="12"/>
      <c r="GCI186" s="11"/>
      <c r="GCJ186" s="12"/>
      <c r="GCS186" s="11"/>
      <c r="GCT186" s="12"/>
      <c r="GDC186" s="11"/>
      <c r="GDD186" s="12"/>
      <c r="GDM186" s="11"/>
      <c r="GDN186" s="12"/>
      <c r="GDW186" s="11"/>
      <c r="GDX186" s="12"/>
      <c r="GEG186" s="11"/>
      <c r="GEH186" s="12"/>
      <c r="GEQ186" s="11"/>
      <c r="GER186" s="12"/>
      <c r="GFA186" s="11"/>
      <c r="GFB186" s="12"/>
      <c r="GFK186" s="11"/>
      <c r="GFL186" s="12"/>
      <c r="GFU186" s="11"/>
      <c r="GFV186" s="12"/>
      <c r="GGE186" s="11"/>
      <c r="GGF186" s="12"/>
      <c r="GGO186" s="11"/>
      <c r="GGP186" s="12"/>
      <c r="GGY186" s="11"/>
      <c r="GGZ186" s="12"/>
      <c r="GHI186" s="11"/>
      <c r="GHJ186" s="12"/>
      <c r="GHS186" s="11"/>
      <c r="GHT186" s="12"/>
      <c r="GIC186" s="11"/>
      <c r="GID186" s="12"/>
      <c r="GIM186" s="11"/>
      <c r="GIN186" s="12"/>
      <c r="GIW186" s="11"/>
      <c r="GIX186" s="12"/>
      <c r="GJG186" s="11"/>
      <c r="GJH186" s="12"/>
      <c r="GJQ186" s="11"/>
      <c r="GJR186" s="12"/>
      <c r="GKA186" s="11"/>
      <c r="GKB186" s="12"/>
      <c r="GKK186" s="11"/>
      <c r="GKL186" s="12"/>
      <c r="GKU186" s="11"/>
      <c r="GKV186" s="12"/>
      <c r="GLE186" s="11"/>
      <c r="GLF186" s="12"/>
      <c r="GLO186" s="11"/>
      <c r="GLP186" s="12"/>
      <c r="GLY186" s="11"/>
      <c r="GLZ186" s="12"/>
      <c r="GMI186" s="11"/>
      <c r="GMJ186" s="12"/>
      <c r="GMS186" s="11"/>
      <c r="GMT186" s="12"/>
      <c r="GNC186" s="11"/>
      <c r="GND186" s="12"/>
      <c r="GNM186" s="11"/>
      <c r="GNN186" s="12"/>
      <c r="GNW186" s="11"/>
      <c r="GNX186" s="12"/>
      <c r="GOG186" s="11"/>
      <c r="GOH186" s="12"/>
      <c r="GOQ186" s="11"/>
      <c r="GOR186" s="12"/>
      <c r="GPA186" s="11"/>
      <c r="GPB186" s="12"/>
      <c r="GPK186" s="11"/>
      <c r="GPL186" s="12"/>
      <c r="GPU186" s="11"/>
      <c r="GPV186" s="12"/>
      <c r="GQE186" s="11"/>
      <c r="GQF186" s="12"/>
      <c r="GQO186" s="11"/>
      <c r="GQP186" s="12"/>
      <c r="GQY186" s="11"/>
      <c r="GQZ186" s="12"/>
      <c r="GRI186" s="11"/>
      <c r="GRJ186" s="12"/>
      <c r="GRS186" s="11"/>
      <c r="GRT186" s="12"/>
      <c r="GSC186" s="11"/>
      <c r="GSD186" s="12"/>
      <c r="GSM186" s="11"/>
      <c r="GSN186" s="12"/>
      <c r="GSW186" s="11"/>
      <c r="GSX186" s="12"/>
      <c r="GTG186" s="11"/>
      <c r="GTH186" s="12"/>
      <c r="GTQ186" s="11"/>
      <c r="GTR186" s="12"/>
      <c r="GUA186" s="11"/>
      <c r="GUB186" s="12"/>
      <c r="GUK186" s="11"/>
      <c r="GUL186" s="12"/>
      <c r="GUU186" s="11"/>
      <c r="GUV186" s="12"/>
      <c r="GVE186" s="11"/>
      <c r="GVF186" s="12"/>
      <c r="GVO186" s="11"/>
      <c r="GVP186" s="12"/>
      <c r="GVY186" s="11"/>
      <c r="GVZ186" s="12"/>
      <c r="GWI186" s="11"/>
      <c r="GWJ186" s="12"/>
      <c r="GWS186" s="11"/>
      <c r="GWT186" s="12"/>
      <c r="GXC186" s="11"/>
      <c r="GXD186" s="12"/>
      <c r="GXM186" s="11"/>
      <c r="GXN186" s="12"/>
      <c r="GXW186" s="11"/>
      <c r="GXX186" s="12"/>
      <c r="GYG186" s="11"/>
      <c r="GYH186" s="12"/>
      <c r="GYQ186" s="11"/>
      <c r="GYR186" s="12"/>
      <c r="GZA186" s="11"/>
      <c r="GZB186" s="12"/>
      <c r="GZK186" s="11"/>
      <c r="GZL186" s="12"/>
      <c r="GZU186" s="11"/>
      <c r="GZV186" s="12"/>
      <c r="HAE186" s="11"/>
      <c r="HAF186" s="12"/>
      <c r="HAO186" s="11"/>
      <c r="HAP186" s="12"/>
      <c r="HAY186" s="11"/>
      <c r="HAZ186" s="12"/>
      <c r="HBI186" s="11"/>
      <c r="HBJ186" s="12"/>
      <c r="HBS186" s="11"/>
      <c r="HBT186" s="12"/>
      <c r="HCC186" s="11"/>
      <c r="HCD186" s="12"/>
      <c r="HCM186" s="11"/>
      <c r="HCN186" s="12"/>
      <c r="HCW186" s="11"/>
      <c r="HCX186" s="12"/>
      <c r="HDG186" s="11"/>
      <c r="HDH186" s="12"/>
      <c r="HDQ186" s="11"/>
      <c r="HDR186" s="12"/>
      <c r="HEA186" s="11"/>
      <c r="HEB186" s="12"/>
      <c r="HEK186" s="11"/>
      <c r="HEL186" s="12"/>
      <c r="HEU186" s="11"/>
      <c r="HEV186" s="12"/>
      <c r="HFE186" s="11"/>
      <c r="HFF186" s="12"/>
      <c r="HFO186" s="11"/>
      <c r="HFP186" s="12"/>
      <c r="HFY186" s="11"/>
      <c r="HFZ186" s="12"/>
      <c r="HGI186" s="11"/>
      <c r="HGJ186" s="12"/>
      <c r="HGS186" s="11"/>
      <c r="HGT186" s="12"/>
      <c r="HHC186" s="11"/>
      <c r="HHD186" s="12"/>
      <c r="HHM186" s="11"/>
      <c r="HHN186" s="12"/>
      <c r="HHW186" s="11"/>
      <c r="HHX186" s="12"/>
      <c r="HIG186" s="11"/>
      <c r="HIH186" s="12"/>
      <c r="HIQ186" s="11"/>
      <c r="HIR186" s="12"/>
      <c r="HJA186" s="11"/>
      <c r="HJB186" s="12"/>
      <c r="HJK186" s="11"/>
      <c r="HJL186" s="12"/>
      <c r="HJU186" s="11"/>
      <c r="HJV186" s="12"/>
      <c r="HKE186" s="11"/>
      <c r="HKF186" s="12"/>
      <c r="HKO186" s="11"/>
      <c r="HKP186" s="12"/>
      <c r="HKY186" s="11"/>
      <c r="HKZ186" s="12"/>
      <c r="HLI186" s="11"/>
      <c r="HLJ186" s="12"/>
      <c r="HLS186" s="11"/>
      <c r="HLT186" s="12"/>
      <c r="HMC186" s="11"/>
      <c r="HMD186" s="12"/>
      <c r="HMM186" s="11"/>
      <c r="HMN186" s="12"/>
      <c r="HMW186" s="11"/>
      <c r="HMX186" s="12"/>
      <c r="HNG186" s="11"/>
      <c r="HNH186" s="12"/>
      <c r="HNQ186" s="11"/>
      <c r="HNR186" s="12"/>
      <c r="HOA186" s="11"/>
      <c r="HOB186" s="12"/>
      <c r="HOK186" s="11"/>
      <c r="HOL186" s="12"/>
      <c r="HOU186" s="11"/>
      <c r="HOV186" s="12"/>
      <c r="HPE186" s="11"/>
      <c r="HPF186" s="12"/>
      <c r="HPO186" s="11"/>
      <c r="HPP186" s="12"/>
      <c r="HPY186" s="11"/>
      <c r="HPZ186" s="12"/>
      <c r="HQI186" s="11"/>
      <c r="HQJ186" s="12"/>
      <c r="HQS186" s="11"/>
      <c r="HQT186" s="12"/>
      <c r="HRC186" s="11"/>
      <c r="HRD186" s="12"/>
      <c r="HRM186" s="11"/>
      <c r="HRN186" s="12"/>
      <c r="HRW186" s="11"/>
      <c r="HRX186" s="12"/>
      <c r="HSG186" s="11"/>
      <c r="HSH186" s="12"/>
      <c r="HSQ186" s="11"/>
      <c r="HSR186" s="12"/>
      <c r="HTA186" s="11"/>
      <c r="HTB186" s="12"/>
      <c r="HTK186" s="11"/>
      <c r="HTL186" s="12"/>
      <c r="HTU186" s="11"/>
      <c r="HTV186" s="12"/>
      <c r="HUE186" s="11"/>
      <c r="HUF186" s="12"/>
      <c r="HUO186" s="11"/>
      <c r="HUP186" s="12"/>
      <c r="HUY186" s="11"/>
      <c r="HUZ186" s="12"/>
      <c r="HVI186" s="11"/>
      <c r="HVJ186" s="12"/>
      <c r="HVS186" s="11"/>
      <c r="HVT186" s="12"/>
      <c r="HWC186" s="11"/>
      <c r="HWD186" s="12"/>
      <c r="HWM186" s="11"/>
      <c r="HWN186" s="12"/>
      <c r="HWW186" s="11"/>
      <c r="HWX186" s="12"/>
      <c r="HXG186" s="11"/>
      <c r="HXH186" s="12"/>
      <c r="HXQ186" s="11"/>
      <c r="HXR186" s="12"/>
      <c r="HYA186" s="11"/>
      <c r="HYB186" s="12"/>
      <c r="HYK186" s="11"/>
      <c r="HYL186" s="12"/>
      <c r="HYU186" s="11"/>
      <c r="HYV186" s="12"/>
      <c r="HZE186" s="11"/>
      <c r="HZF186" s="12"/>
      <c r="HZO186" s="11"/>
      <c r="HZP186" s="12"/>
      <c r="HZY186" s="11"/>
      <c r="HZZ186" s="12"/>
      <c r="IAI186" s="11"/>
      <c r="IAJ186" s="12"/>
      <c r="IAS186" s="11"/>
      <c r="IAT186" s="12"/>
      <c r="IBC186" s="11"/>
      <c r="IBD186" s="12"/>
      <c r="IBM186" s="11"/>
      <c r="IBN186" s="12"/>
      <c r="IBW186" s="11"/>
      <c r="IBX186" s="12"/>
      <c r="ICG186" s="11"/>
      <c r="ICH186" s="12"/>
      <c r="ICQ186" s="11"/>
      <c r="ICR186" s="12"/>
      <c r="IDA186" s="11"/>
      <c r="IDB186" s="12"/>
      <c r="IDK186" s="11"/>
      <c r="IDL186" s="12"/>
      <c r="IDU186" s="11"/>
      <c r="IDV186" s="12"/>
      <c r="IEE186" s="11"/>
      <c r="IEF186" s="12"/>
      <c r="IEO186" s="11"/>
      <c r="IEP186" s="12"/>
      <c r="IEY186" s="11"/>
      <c r="IEZ186" s="12"/>
      <c r="IFI186" s="11"/>
      <c r="IFJ186" s="12"/>
      <c r="IFS186" s="11"/>
      <c r="IFT186" s="12"/>
      <c r="IGC186" s="11"/>
      <c r="IGD186" s="12"/>
      <c r="IGM186" s="11"/>
      <c r="IGN186" s="12"/>
      <c r="IGW186" s="11"/>
      <c r="IGX186" s="12"/>
      <c r="IHG186" s="11"/>
      <c r="IHH186" s="12"/>
      <c r="IHQ186" s="11"/>
      <c r="IHR186" s="12"/>
      <c r="IIA186" s="11"/>
      <c r="IIB186" s="12"/>
      <c r="IIK186" s="11"/>
      <c r="IIL186" s="12"/>
      <c r="IIU186" s="11"/>
      <c r="IIV186" s="12"/>
      <c r="IJE186" s="11"/>
      <c r="IJF186" s="12"/>
      <c r="IJO186" s="11"/>
      <c r="IJP186" s="12"/>
      <c r="IJY186" s="11"/>
      <c r="IJZ186" s="12"/>
      <c r="IKI186" s="11"/>
      <c r="IKJ186" s="12"/>
      <c r="IKS186" s="11"/>
      <c r="IKT186" s="12"/>
      <c r="ILC186" s="11"/>
      <c r="ILD186" s="12"/>
      <c r="ILM186" s="11"/>
      <c r="ILN186" s="12"/>
      <c r="ILW186" s="11"/>
      <c r="ILX186" s="12"/>
      <c r="IMG186" s="11"/>
      <c r="IMH186" s="12"/>
      <c r="IMQ186" s="11"/>
      <c r="IMR186" s="12"/>
      <c r="INA186" s="11"/>
      <c r="INB186" s="12"/>
      <c r="INK186" s="11"/>
      <c r="INL186" s="12"/>
      <c r="INU186" s="11"/>
      <c r="INV186" s="12"/>
      <c r="IOE186" s="11"/>
      <c r="IOF186" s="12"/>
      <c r="IOO186" s="11"/>
      <c r="IOP186" s="12"/>
      <c r="IOY186" s="11"/>
      <c r="IOZ186" s="12"/>
      <c r="IPI186" s="11"/>
      <c r="IPJ186" s="12"/>
      <c r="IPS186" s="11"/>
      <c r="IPT186" s="12"/>
      <c r="IQC186" s="11"/>
      <c r="IQD186" s="12"/>
      <c r="IQM186" s="11"/>
      <c r="IQN186" s="12"/>
      <c r="IQW186" s="11"/>
      <c r="IQX186" s="12"/>
      <c r="IRG186" s="11"/>
      <c r="IRH186" s="12"/>
      <c r="IRQ186" s="11"/>
      <c r="IRR186" s="12"/>
      <c r="ISA186" s="11"/>
      <c r="ISB186" s="12"/>
      <c r="ISK186" s="11"/>
      <c r="ISL186" s="12"/>
      <c r="ISU186" s="11"/>
      <c r="ISV186" s="12"/>
      <c r="ITE186" s="11"/>
      <c r="ITF186" s="12"/>
      <c r="ITO186" s="11"/>
      <c r="ITP186" s="12"/>
      <c r="ITY186" s="11"/>
      <c r="ITZ186" s="12"/>
      <c r="IUI186" s="11"/>
      <c r="IUJ186" s="12"/>
      <c r="IUS186" s="11"/>
      <c r="IUT186" s="12"/>
      <c r="IVC186" s="11"/>
      <c r="IVD186" s="12"/>
      <c r="IVM186" s="11"/>
      <c r="IVN186" s="12"/>
      <c r="IVW186" s="11"/>
      <c r="IVX186" s="12"/>
      <c r="IWG186" s="11"/>
      <c r="IWH186" s="12"/>
      <c r="IWQ186" s="11"/>
      <c r="IWR186" s="12"/>
      <c r="IXA186" s="11"/>
      <c r="IXB186" s="12"/>
      <c r="IXK186" s="11"/>
      <c r="IXL186" s="12"/>
      <c r="IXU186" s="11"/>
      <c r="IXV186" s="12"/>
      <c r="IYE186" s="11"/>
      <c r="IYF186" s="12"/>
      <c r="IYO186" s="11"/>
      <c r="IYP186" s="12"/>
      <c r="IYY186" s="11"/>
      <c r="IYZ186" s="12"/>
      <c r="IZI186" s="11"/>
      <c r="IZJ186" s="12"/>
      <c r="IZS186" s="11"/>
      <c r="IZT186" s="12"/>
      <c r="JAC186" s="11"/>
      <c r="JAD186" s="12"/>
      <c r="JAM186" s="11"/>
      <c r="JAN186" s="12"/>
      <c r="JAW186" s="11"/>
      <c r="JAX186" s="12"/>
      <c r="JBG186" s="11"/>
      <c r="JBH186" s="12"/>
      <c r="JBQ186" s="11"/>
      <c r="JBR186" s="12"/>
      <c r="JCA186" s="11"/>
      <c r="JCB186" s="12"/>
      <c r="JCK186" s="11"/>
      <c r="JCL186" s="12"/>
      <c r="JCU186" s="11"/>
      <c r="JCV186" s="12"/>
      <c r="JDE186" s="11"/>
      <c r="JDF186" s="12"/>
      <c r="JDO186" s="11"/>
      <c r="JDP186" s="12"/>
      <c r="JDY186" s="11"/>
      <c r="JDZ186" s="12"/>
      <c r="JEI186" s="11"/>
      <c r="JEJ186" s="12"/>
      <c r="JES186" s="11"/>
      <c r="JET186" s="12"/>
      <c r="JFC186" s="11"/>
      <c r="JFD186" s="12"/>
      <c r="JFM186" s="11"/>
      <c r="JFN186" s="12"/>
      <c r="JFW186" s="11"/>
      <c r="JFX186" s="12"/>
      <c r="JGG186" s="11"/>
      <c r="JGH186" s="12"/>
      <c r="JGQ186" s="11"/>
      <c r="JGR186" s="12"/>
      <c r="JHA186" s="11"/>
      <c r="JHB186" s="12"/>
      <c r="JHK186" s="11"/>
      <c r="JHL186" s="12"/>
      <c r="JHU186" s="11"/>
      <c r="JHV186" s="12"/>
      <c r="JIE186" s="11"/>
      <c r="JIF186" s="12"/>
      <c r="JIO186" s="11"/>
      <c r="JIP186" s="12"/>
      <c r="JIY186" s="11"/>
      <c r="JIZ186" s="12"/>
      <c r="JJI186" s="11"/>
      <c r="JJJ186" s="12"/>
      <c r="JJS186" s="11"/>
      <c r="JJT186" s="12"/>
      <c r="JKC186" s="11"/>
      <c r="JKD186" s="12"/>
      <c r="JKM186" s="11"/>
      <c r="JKN186" s="12"/>
      <c r="JKW186" s="11"/>
      <c r="JKX186" s="12"/>
      <c r="JLG186" s="11"/>
      <c r="JLH186" s="12"/>
      <c r="JLQ186" s="11"/>
      <c r="JLR186" s="12"/>
      <c r="JMA186" s="11"/>
      <c r="JMB186" s="12"/>
      <c r="JMK186" s="11"/>
      <c r="JML186" s="12"/>
      <c r="JMU186" s="11"/>
      <c r="JMV186" s="12"/>
      <c r="JNE186" s="11"/>
      <c r="JNF186" s="12"/>
      <c r="JNO186" s="11"/>
      <c r="JNP186" s="12"/>
      <c r="JNY186" s="11"/>
      <c r="JNZ186" s="12"/>
      <c r="JOI186" s="11"/>
      <c r="JOJ186" s="12"/>
      <c r="JOS186" s="11"/>
      <c r="JOT186" s="12"/>
      <c r="JPC186" s="11"/>
      <c r="JPD186" s="12"/>
      <c r="JPM186" s="11"/>
      <c r="JPN186" s="12"/>
      <c r="JPW186" s="11"/>
      <c r="JPX186" s="12"/>
      <c r="JQG186" s="11"/>
      <c r="JQH186" s="12"/>
      <c r="JQQ186" s="11"/>
      <c r="JQR186" s="12"/>
      <c r="JRA186" s="11"/>
      <c r="JRB186" s="12"/>
      <c r="JRK186" s="11"/>
      <c r="JRL186" s="12"/>
      <c r="JRU186" s="11"/>
      <c r="JRV186" s="12"/>
      <c r="JSE186" s="11"/>
      <c r="JSF186" s="12"/>
      <c r="JSO186" s="11"/>
      <c r="JSP186" s="12"/>
      <c r="JSY186" s="11"/>
      <c r="JSZ186" s="12"/>
      <c r="JTI186" s="11"/>
      <c r="JTJ186" s="12"/>
      <c r="JTS186" s="11"/>
      <c r="JTT186" s="12"/>
      <c r="JUC186" s="11"/>
      <c r="JUD186" s="12"/>
      <c r="JUM186" s="11"/>
      <c r="JUN186" s="12"/>
      <c r="JUW186" s="11"/>
      <c r="JUX186" s="12"/>
      <c r="JVG186" s="11"/>
      <c r="JVH186" s="12"/>
      <c r="JVQ186" s="11"/>
      <c r="JVR186" s="12"/>
      <c r="JWA186" s="11"/>
      <c r="JWB186" s="12"/>
      <c r="JWK186" s="11"/>
      <c r="JWL186" s="12"/>
      <c r="JWU186" s="11"/>
      <c r="JWV186" s="12"/>
      <c r="JXE186" s="11"/>
      <c r="JXF186" s="12"/>
      <c r="JXO186" s="11"/>
      <c r="JXP186" s="12"/>
      <c r="JXY186" s="11"/>
      <c r="JXZ186" s="12"/>
      <c r="JYI186" s="11"/>
      <c r="JYJ186" s="12"/>
      <c r="JYS186" s="11"/>
      <c r="JYT186" s="12"/>
      <c r="JZC186" s="11"/>
      <c r="JZD186" s="12"/>
      <c r="JZM186" s="11"/>
      <c r="JZN186" s="12"/>
      <c r="JZW186" s="11"/>
      <c r="JZX186" s="12"/>
      <c r="KAG186" s="11"/>
      <c r="KAH186" s="12"/>
      <c r="KAQ186" s="11"/>
      <c r="KAR186" s="12"/>
      <c r="KBA186" s="11"/>
      <c r="KBB186" s="12"/>
      <c r="KBK186" s="11"/>
      <c r="KBL186" s="12"/>
      <c r="KBU186" s="11"/>
      <c r="KBV186" s="12"/>
      <c r="KCE186" s="11"/>
      <c r="KCF186" s="12"/>
      <c r="KCO186" s="11"/>
      <c r="KCP186" s="12"/>
      <c r="KCY186" s="11"/>
      <c r="KCZ186" s="12"/>
      <c r="KDI186" s="11"/>
      <c r="KDJ186" s="12"/>
      <c r="KDS186" s="11"/>
      <c r="KDT186" s="12"/>
      <c r="KEC186" s="11"/>
      <c r="KED186" s="12"/>
      <c r="KEM186" s="11"/>
      <c r="KEN186" s="12"/>
      <c r="KEW186" s="11"/>
      <c r="KEX186" s="12"/>
      <c r="KFG186" s="11"/>
      <c r="KFH186" s="12"/>
      <c r="KFQ186" s="11"/>
      <c r="KFR186" s="12"/>
      <c r="KGA186" s="11"/>
      <c r="KGB186" s="12"/>
      <c r="KGK186" s="11"/>
      <c r="KGL186" s="12"/>
      <c r="KGU186" s="11"/>
      <c r="KGV186" s="12"/>
      <c r="KHE186" s="11"/>
      <c r="KHF186" s="12"/>
      <c r="KHO186" s="11"/>
      <c r="KHP186" s="12"/>
      <c r="KHY186" s="11"/>
      <c r="KHZ186" s="12"/>
      <c r="KII186" s="11"/>
      <c r="KIJ186" s="12"/>
      <c r="KIS186" s="11"/>
      <c r="KIT186" s="12"/>
      <c r="KJC186" s="11"/>
      <c r="KJD186" s="12"/>
      <c r="KJM186" s="11"/>
      <c r="KJN186" s="12"/>
      <c r="KJW186" s="11"/>
      <c r="KJX186" s="12"/>
      <c r="KKG186" s="11"/>
      <c r="KKH186" s="12"/>
      <c r="KKQ186" s="11"/>
      <c r="KKR186" s="12"/>
      <c r="KLA186" s="11"/>
      <c r="KLB186" s="12"/>
      <c r="KLK186" s="11"/>
      <c r="KLL186" s="12"/>
      <c r="KLU186" s="11"/>
      <c r="KLV186" s="12"/>
      <c r="KME186" s="11"/>
      <c r="KMF186" s="12"/>
      <c r="KMO186" s="11"/>
      <c r="KMP186" s="12"/>
      <c r="KMY186" s="11"/>
      <c r="KMZ186" s="12"/>
      <c r="KNI186" s="11"/>
      <c r="KNJ186" s="12"/>
      <c r="KNS186" s="11"/>
      <c r="KNT186" s="12"/>
      <c r="KOC186" s="11"/>
      <c r="KOD186" s="12"/>
      <c r="KOM186" s="11"/>
      <c r="KON186" s="12"/>
      <c r="KOW186" s="11"/>
      <c r="KOX186" s="12"/>
      <c r="KPG186" s="11"/>
      <c r="KPH186" s="12"/>
      <c r="KPQ186" s="11"/>
      <c r="KPR186" s="12"/>
      <c r="KQA186" s="11"/>
      <c r="KQB186" s="12"/>
      <c r="KQK186" s="11"/>
      <c r="KQL186" s="12"/>
      <c r="KQU186" s="11"/>
      <c r="KQV186" s="12"/>
      <c r="KRE186" s="11"/>
      <c r="KRF186" s="12"/>
      <c r="KRO186" s="11"/>
      <c r="KRP186" s="12"/>
      <c r="KRY186" s="11"/>
      <c r="KRZ186" s="12"/>
      <c r="KSI186" s="11"/>
      <c r="KSJ186" s="12"/>
      <c r="KSS186" s="11"/>
      <c r="KST186" s="12"/>
      <c r="KTC186" s="11"/>
      <c r="KTD186" s="12"/>
      <c r="KTM186" s="11"/>
      <c r="KTN186" s="12"/>
      <c r="KTW186" s="11"/>
      <c r="KTX186" s="12"/>
      <c r="KUG186" s="11"/>
      <c r="KUH186" s="12"/>
      <c r="KUQ186" s="11"/>
      <c r="KUR186" s="12"/>
      <c r="KVA186" s="11"/>
      <c r="KVB186" s="12"/>
      <c r="KVK186" s="11"/>
      <c r="KVL186" s="12"/>
      <c r="KVU186" s="11"/>
      <c r="KVV186" s="12"/>
      <c r="KWE186" s="11"/>
      <c r="KWF186" s="12"/>
      <c r="KWO186" s="11"/>
      <c r="KWP186" s="12"/>
      <c r="KWY186" s="11"/>
      <c r="KWZ186" s="12"/>
      <c r="KXI186" s="11"/>
      <c r="KXJ186" s="12"/>
      <c r="KXS186" s="11"/>
      <c r="KXT186" s="12"/>
      <c r="KYC186" s="11"/>
      <c r="KYD186" s="12"/>
      <c r="KYM186" s="11"/>
      <c r="KYN186" s="12"/>
      <c r="KYW186" s="11"/>
      <c r="KYX186" s="12"/>
      <c r="KZG186" s="11"/>
      <c r="KZH186" s="12"/>
      <c r="KZQ186" s="11"/>
      <c r="KZR186" s="12"/>
      <c r="LAA186" s="11"/>
      <c r="LAB186" s="12"/>
      <c r="LAK186" s="11"/>
      <c r="LAL186" s="12"/>
      <c r="LAU186" s="11"/>
      <c r="LAV186" s="12"/>
      <c r="LBE186" s="11"/>
      <c r="LBF186" s="12"/>
      <c r="LBO186" s="11"/>
      <c r="LBP186" s="12"/>
      <c r="LBY186" s="11"/>
      <c r="LBZ186" s="12"/>
      <c r="LCI186" s="11"/>
      <c r="LCJ186" s="12"/>
      <c r="LCS186" s="11"/>
      <c r="LCT186" s="12"/>
      <c r="LDC186" s="11"/>
      <c r="LDD186" s="12"/>
      <c r="LDM186" s="11"/>
      <c r="LDN186" s="12"/>
      <c r="LDW186" s="11"/>
      <c r="LDX186" s="12"/>
      <c r="LEG186" s="11"/>
      <c r="LEH186" s="12"/>
      <c r="LEQ186" s="11"/>
      <c r="LER186" s="12"/>
      <c r="LFA186" s="11"/>
      <c r="LFB186" s="12"/>
      <c r="LFK186" s="11"/>
      <c r="LFL186" s="12"/>
      <c r="LFU186" s="11"/>
      <c r="LFV186" s="12"/>
      <c r="LGE186" s="11"/>
      <c r="LGF186" s="12"/>
      <c r="LGO186" s="11"/>
      <c r="LGP186" s="12"/>
      <c r="LGY186" s="11"/>
      <c r="LGZ186" s="12"/>
      <c r="LHI186" s="11"/>
      <c r="LHJ186" s="12"/>
      <c r="LHS186" s="11"/>
      <c r="LHT186" s="12"/>
      <c r="LIC186" s="11"/>
      <c r="LID186" s="12"/>
      <c r="LIM186" s="11"/>
      <c r="LIN186" s="12"/>
      <c r="LIW186" s="11"/>
      <c r="LIX186" s="12"/>
      <c r="LJG186" s="11"/>
      <c r="LJH186" s="12"/>
      <c r="LJQ186" s="11"/>
      <c r="LJR186" s="12"/>
      <c r="LKA186" s="11"/>
      <c r="LKB186" s="12"/>
      <c r="LKK186" s="11"/>
      <c r="LKL186" s="12"/>
      <c r="LKU186" s="11"/>
      <c r="LKV186" s="12"/>
      <c r="LLE186" s="11"/>
      <c r="LLF186" s="12"/>
      <c r="LLO186" s="11"/>
      <c r="LLP186" s="12"/>
      <c r="LLY186" s="11"/>
      <c r="LLZ186" s="12"/>
      <c r="LMI186" s="11"/>
      <c r="LMJ186" s="12"/>
      <c r="LMS186" s="11"/>
      <c r="LMT186" s="12"/>
      <c r="LNC186" s="11"/>
      <c r="LND186" s="12"/>
      <c r="LNM186" s="11"/>
      <c r="LNN186" s="12"/>
      <c r="LNW186" s="11"/>
      <c r="LNX186" s="12"/>
      <c r="LOG186" s="11"/>
      <c r="LOH186" s="12"/>
      <c r="LOQ186" s="11"/>
      <c r="LOR186" s="12"/>
      <c r="LPA186" s="11"/>
      <c r="LPB186" s="12"/>
      <c r="LPK186" s="11"/>
      <c r="LPL186" s="12"/>
      <c r="LPU186" s="11"/>
      <c r="LPV186" s="12"/>
      <c r="LQE186" s="11"/>
      <c r="LQF186" s="12"/>
      <c r="LQO186" s="11"/>
      <c r="LQP186" s="12"/>
      <c r="LQY186" s="11"/>
      <c r="LQZ186" s="12"/>
      <c r="LRI186" s="11"/>
      <c r="LRJ186" s="12"/>
      <c r="LRS186" s="11"/>
      <c r="LRT186" s="12"/>
      <c r="LSC186" s="11"/>
      <c r="LSD186" s="12"/>
      <c r="LSM186" s="11"/>
      <c r="LSN186" s="12"/>
      <c r="LSW186" s="11"/>
      <c r="LSX186" s="12"/>
      <c r="LTG186" s="11"/>
      <c r="LTH186" s="12"/>
      <c r="LTQ186" s="11"/>
      <c r="LTR186" s="12"/>
      <c r="LUA186" s="11"/>
      <c r="LUB186" s="12"/>
      <c r="LUK186" s="11"/>
      <c r="LUL186" s="12"/>
      <c r="LUU186" s="11"/>
      <c r="LUV186" s="12"/>
      <c r="LVE186" s="11"/>
      <c r="LVF186" s="12"/>
      <c r="LVO186" s="11"/>
      <c r="LVP186" s="12"/>
      <c r="LVY186" s="11"/>
      <c r="LVZ186" s="12"/>
      <c r="LWI186" s="11"/>
      <c r="LWJ186" s="12"/>
      <c r="LWS186" s="11"/>
      <c r="LWT186" s="12"/>
      <c r="LXC186" s="11"/>
      <c r="LXD186" s="12"/>
      <c r="LXM186" s="11"/>
      <c r="LXN186" s="12"/>
      <c r="LXW186" s="11"/>
      <c r="LXX186" s="12"/>
      <c r="LYG186" s="11"/>
      <c r="LYH186" s="12"/>
      <c r="LYQ186" s="11"/>
      <c r="LYR186" s="12"/>
      <c r="LZA186" s="11"/>
      <c r="LZB186" s="12"/>
      <c r="LZK186" s="11"/>
      <c r="LZL186" s="12"/>
      <c r="LZU186" s="11"/>
      <c r="LZV186" s="12"/>
      <c r="MAE186" s="11"/>
      <c r="MAF186" s="12"/>
      <c r="MAO186" s="11"/>
      <c r="MAP186" s="12"/>
      <c r="MAY186" s="11"/>
      <c r="MAZ186" s="12"/>
      <c r="MBI186" s="11"/>
      <c r="MBJ186" s="12"/>
      <c r="MBS186" s="11"/>
      <c r="MBT186" s="12"/>
      <c r="MCC186" s="11"/>
      <c r="MCD186" s="12"/>
      <c r="MCM186" s="11"/>
      <c r="MCN186" s="12"/>
      <c r="MCW186" s="11"/>
      <c r="MCX186" s="12"/>
      <c r="MDG186" s="11"/>
      <c r="MDH186" s="12"/>
      <c r="MDQ186" s="11"/>
      <c r="MDR186" s="12"/>
      <c r="MEA186" s="11"/>
      <c r="MEB186" s="12"/>
      <c r="MEK186" s="11"/>
      <c r="MEL186" s="12"/>
      <c r="MEU186" s="11"/>
      <c r="MEV186" s="12"/>
      <c r="MFE186" s="11"/>
      <c r="MFF186" s="12"/>
      <c r="MFO186" s="11"/>
      <c r="MFP186" s="12"/>
      <c r="MFY186" s="11"/>
      <c r="MFZ186" s="12"/>
      <c r="MGI186" s="11"/>
      <c r="MGJ186" s="12"/>
      <c r="MGS186" s="11"/>
      <c r="MGT186" s="12"/>
      <c r="MHC186" s="11"/>
      <c r="MHD186" s="12"/>
      <c r="MHM186" s="11"/>
      <c r="MHN186" s="12"/>
      <c r="MHW186" s="11"/>
      <c r="MHX186" s="12"/>
      <c r="MIG186" s="11"/>
      <c r="MIH186" s="12"/>
      <c r="MIQ186" s="11"/>
      <c r="MIR186" s="12"/>
      <c r="MJA186" s="11"/>
      <c r="MJB186" s="12"/>
      <c r="MJK186" s="11"/>
      <c r="MJL186" s="12"/>
      <c r="MJU186" s="11"/>
      <c r="MJV186" s="12"/>
      <c r="MKE186" s="11"/>
      <c r="MKF186" s="12"/>
      <c r="MKO186" s="11"/>
      <c r="MKP186" s="12"/>
      <c r="MKY186" s="11"/>
      <c r="MKZ186" s="12"/>
      <c r="MLI186" s="11"/>
      <c r="MLJ186" s="12"/>
      <c r="MLS186" s="11"/>
      <c r="MLT186" s="12"/>
      <c r="MMC186" s="11"/>
      <c r="MMD186" s="12"/>
      <c r="MMM186" s="11"/>
      <c r="MMN186" s="12"/>
      <c r="MMW186" s="11"/>
      <c r="MMX186" s="12"/>
      <c r="MNG186" s="11"/>
      <c r="MNH186" s="12"/>
      <c r="MNQ186" s="11"/>
      <c r="MNR186" s="12"/>
      <c r="MOA186" s="11"/>
      <c r="MOB186" s="12"/>
      <c r="MOK186" s="11"/>
      <c r="MOL186" s="12"/>
      <c r="MOU186" s="11"/>
      <c r="MOV186" s="12"/>
      <c r="MPE186" s="11"/>
      <c r="MPF186" s="12"/>
      <c r="MPO186" s="11"/>
      <c r="MPP186" s="12"/>
      <c r="MPY186" s="11"/>
      <c r="MPZ186" s="12"/>
      <c r="MQI186" s="11"/>
      <c r="MQJ186" s="12"/>
      <c r="MQS186" s="11"/>
      <c r="MQT186" s="12"/>
      <c r="MRC186" s="11"/>
      <c r="MRD186" s="12"/>
      <c r="MRM186" s="11"/>
      <c r="MRN186" s="12"/>
      <c r="MRW186" s="11"/>
      <c r="MRX186" s="12"/>
      <c r="MSG186" s="11"/>
      <c r="MSH186" s="12"/>
      <c r="MSQ186" s="11"/>
      <c r="MSR186" s="12"/>
      <c r="MTA186" s="11"/>
      <c r="MTB186" s="12"/>
      <c r="MTK186" s="11"/>
      <c r="MTL186" s="12"/>
      <c r="MTU186" s="11"/>
      <c r="MTV186" s="12"/>
      <c r="MUE186" s="11"/>
      <c r="MUF186" s="12"/>
      <c r="MUO186" s="11"/>
      <c r="MUP186" s="12"/>
      <c r="MUY186" s="11"/>
      <c r="MUZ186" s="12"/>
      <c r="MVI186" s="11"/>
      <c r="MVJ186" s="12"/>
      <c r="MVS186" s="11"/>
      <c r="MVT186" s="12"/>
      <c r="MWC186" s="11"/>
      <c r="MWD186" s="12"/>
      <c r="MWM186" s="11"/>
      <c r="MWN186" s="12"/>
      <c r="MWW186" s="11"/>
      <c r="MWX186" s="12"/>
      <c r="MXG186" s="11"/>
      <c r="MXH186" s="12"/>
      <c r="MXQ186" s="11"/>
      <c r="MXR186" s="12"/>
      <c r="MYA186" s="11"/>
      <c r="MYB186" s="12"/>
      <c r="MYK186" s="11"/>
      <c r="MYL186" s="12"/>
      <c r="MYU186" s="11"/>
      <c r="MYV186" s="12"/>
      <c r="MZE186" s="11"/>
      <c r="MZF186" s="12"/>
      <c r="MZO186" s="11"/>
      <c r="MZP186" s="12"/>
      <c r="MZY186" s="11"/>
      <c r="MZZ186" s="12"/>
      <c r="NAI186" s="11"/>
      <c r="NAJ186" s="12"/>
      <c r="NAS186" s="11"/>
      <c r="NAT186" s="12"/>
      <c r="NBC186" s="11"/>
      <c r="NBD186" s="12"/>
      <c r="NBM186" s="11"/>
      <c r="NBN186" s="12"/>
      <c r="NBW186" s="11"/>
      <c r="NBX186" s="12"/>
      <c r="NCG186" s="11"/>
      <c r="NCH186" s="12"/>
      <c r="NCQ186" s="11"/>
      <c r="NCR186" s="12"/>
      <c r="NDA186" s="11"/>
      <c r="NDB186" s="12"/>
      <c r="NDK186" s="11"/>
      <c r="NDL186" s="12"/>
      <c r="NDU186" s="11"/>
      <c r="NDV186" s="12"/>
      <c r="NEE186" s="11"/>
      <c r="NEF186" s="12"/>
      <c r="NEO186" s="11"/>
      <c r="NEP186" s="12"/>
      <c r="NEY186" s="11"/>
      <c r="NEZ186" s="12"/>
      <c r="NFI186" s="11"/>
      <c r="NFJ186" s="12"/>
      <c r="NFS186" s="11"/>
      <c r="NFT186" s="12"/>
      <c r="NGC186" s="11"/>
      <c r="NGD186" s="12"/>
      <c r="NGM186" s="11"/>
      <c r="NGN186" s="12"/>
      <c r="NGW186" s="11"/>
      <c r="NGX186" s="12"/>
      <c r="NHG186" s="11"/>
      <c r="NHH186" s="12"/>
      <c r="NHQ186" s="11"/>
      <c r="NHR186" s="12"/>
      <c r="NIA186" s="11"/>
      <c r="NIB186" s="12"/>
      <c r="NIK186" s="11"/>
      <c r="NIL186" s="12"/>
      <c r="NIU186" s="11"/>
      <c r="NIV186" s="12"/>
      <c r="NJE186" s="11"/>
      <c r="NJF186" s="12"/>
      <c r="NJO186" s="11"/>
      <c r="NJP186" s="12"/>
      <c r="NJY186" s="11"/>
      <c r="NJZ186" s="12"/>
      <c r="NKI186" s="11"/>
      <c r="NKJ186" s="12"/>
      <c r="NKS186" s="11"/>
      <c r="NKT186" s="12"/>
      <c r="NLC186" s="11"/>
      <c r="NLD186" s="12"/>
      <c r="NLM186" s="11"/>
      <c r="NLN186" s="12"/>
      <c r="NLW186" s="11"/>
      <c r="NLX186" s="12"/>
      <c r="NMG186" s="11"/>
      <c r="NMH186" s="12"/>
      <c r="NMQ186" s="11"/>
      <c r="NMR186" s="12"/>
      <c r="NNA186" s="11"/>
      <c r="NNB186" s="12"/>
      <c r="NNK186" s="11"/>
      <c r="NNL186" s="12"/>
      <c r="NNU186" s="11"/>
      <c r="NNV186" s="12"/>
      <c r="NOE186" s="11"/>
      <c r="NOF186" s="12"/>
      <c r="NOO186" s="11"/>
      <c r="NOP186" s="12"/>
      <c r="NOY186" s="11"/>
      <c r="NOZ186" s="12"/>
      <c r="NPI186" s="11"/>
      <c r="NPJ186" s="12"/>
      <c r="NPS186" s="11"/>
      <c r="NPT186" s="12"/>
      <c r="NQC186" s="11"/>
      <c r="NQD186" s="12"/>
      <c r="NQM186" s="11"/>
      <c r="NQN186" s="12"/>
      <c r="NQW186" s="11"/>
      <c r="NQX186" s="12"/>
      <c r="NRG186" s="11"/>
      <c r="NRH186" s="12"/>
      <c r="NRQ186" s="11"/>
      <c r="NRR186" s="12"/>
      <c r="NSA186" s="11"/>
      <c r="NSB186" s="12"/>
      <c r="NSK186" s="11"/>
      <c r="NSL186" s="12"/>
      <c r="NSU186" s="11"/>
      <c r="NSV186" s="12"/>
      <c r="NTE186" s="11"/>
      <c r="NTF186" s="12"/>
      <c r="NTO186" s="11"/>
      <c r="NTP186" s="12"/>
      <c r="NTY186" s="11"/>
      <c r="NTZ186" s="12"/>
      <c r="NUI186" s="11"/>
      <c r="NUJ186" s="12"/>
      <c r="NUS186" s="11"/>
      <c r="NUT186" s="12"/>
      <c r="NVC186" s="11"/>
      <c r="NVD186" s="12"/>
      <c r="NVM186" s="11"/>
      <c r="NVN186" s="12"/>
      <c r="NVW186" s="11"/>
      <c r="NVX186" s="12"/>
      <c r="NWG186" s="11"/>
      <c r="NWH186" s="12"/>
      <c r="NWQ186" s="11"/>
      <c r="NWR186" s="12"/>
      <c r="NXA186" s="11"/>
      <c r="NXB186" s="12"/>
      <c r="NXK186" s="11"/>
      <c r="NXL186" s="12"/>
      <c r="NXU186" s="11"/>
      <c r="NXV186" s="12"/>
      <c r="NYE186" s="11"/>
      <c r="NYF186" s="12"/>
      <c r="NYO186" s="11"/>
      <c r="NYP186" s="12"/>
      <c r="NYY186" s="11"/>
      <c r="NYZ186" s="12"/>
      <c r="NZI186" s="11"/>
      <c r="NZJ186" s="12"/>
      <c r="NZS186" s="11"/>
      <c r="NZT186" s="12"/>
      <c r="OAC186" s="11"/>
      <c r="OAD186" s="12"/>
      <c r="OAM186" s="11"/>
      <c r="OAN186" s="12"/>
      <c r="OAW186" s="11"/>
      <c r="OAX186" s="12"/>
      <c r="OBG186" s="11"/>
      <c r="OBH186" s="12"/>
      <c r="OBQ186" s="11"/>
      <c r="OBR186" s="12"/>
      <c r="OCA186" s="11"/>
      <c r="OCB186" s="12"/>
      <c r="OCK186" s="11"/>
      <c r="OCL186" s="12"/>
      <c r="OCU186" s="11"/>
      <c r="OCV186" s="12"/>
      <c r="ODE186" s="11"/>
      <c r="ODF186" s="12"/>
      <c r="ODO186" s="11"/>
      <c r="ODP186" s="12"/>
      <c r="ODY186" s="11"/>
      <c r="ODZ186" s="12"/>
      <c r="OEI186" s="11"/>
      <c r="OEJ186" s="12"/>
      <c r="OES186" s="11"/>
      <c r="OET186" s="12"/>
      <c r="OFC186" s="11"/>
      <c r="OFD186" s="12"/>
      <c r="OFM186" s="11"/>
      <c r="OFN186" s="12"/>
      <c r="OFW186" s="11"/>
      <c r="OFX186" s="12"/>
      <c r="OGG186" s="11"/>
      <c r="OGH186" s="12"/>
      <c r="OGQ186" s="11"/>
      <c r="OGR186" s="12"/>
      <c r="OHA186" s="11"/>
      <c r="OHB186" s="12"/>
      <c r="OHK186" s="11"/>
      <c r="OHL186" s="12"/>
      <c r="OHU186" s="11"/>
      <c r="OHV186" s="12"/>
      <c r="OIE186" s="11"/>
      <c r="OIF186" s="12"/>
      <c r="OIO186" s="11"/>
      <c r="OIP186" s="12"/>
      <c r="OIY186" s="11"/>
      <c r="OIZ186" s="12"/>
      <c r="OJI186" s="11"/>
      <c r="OJJ186" s="12"/>
      <c r="OJS186" s="11"/>
      <c r="OJT186" s="12"/>
      <c r="OKC186" s="11"/>
      <c r="OKD186" s="12"/>
      <c r="OKM186" s="11"/>
      <c r="OKN186" s="12"/>
      <c r="OKW186" s="11"/>
      <c r="OKX186" s="12"/>
      <c r="OLG186" s="11"/>
      <c r="OLH186" s="12"/>
      <c r="OLQ186" s="11"/>
      <c r="OLR186" s="12"/>
      <c r="OMA186" s="11"/>
      <c r="OMB186" s="12"/>
      <c r="OMK186" s="11"/>
      <c r="OML186" s="12"/>
      <c r="OMU186" s="11"/>
      <c r="OMV186" s="12"/>
      <c r="ONE186" s="11"/>
      <c r="ONF186" s="12"/>
      <c r="ONO186" s="11"/>
      <c r="ONP186" s="12"/>
      <c r="ONY186" s="11"/>
      <c r="ONZ186" s="12"/>
      <c r="OOI186" s="11"/>
      <c r="OOJ186" s="12"/>
      <c r="OOS186" s="11"/>
      <c r="OOT186" s="12"/>
      <c r="OPC186" s="11"/>
      <c r="OPD186" s="12"/>
      <c r="OPM186" s="11"/>
      <c r="OPN186" s="12"/>
      <c r="OPW186" s="11"/>
      <c r="OPX186" s="12"/>
      <c r="OQG186" s="11"/>
      <c r="OQH186" s="12"/>
      <c r="OQQ186" s="11"/>
      <c r="OQR186" s="12"/>
      <c r="ORA186" s="11"/>
      <c r="ORB186" s="12"/>
      <c r="ORK186" s="11"/>
      <c r="ORL186" s="12"/>
      <c r="ORU186" s="11"/>
      <c r="ORV186" s="12"/>
      <c r="OSE186" s="11"/>
      <c r="OSF186" s="12"/>
      <c r="OSO186" s="11"/>
      <c r="OSP186" s="12"/>
      <c r="OSY186" s="11"/>
      <c r="OSZ186" s="12"/>
      <c r="OTI186" s="11"/>
      <c r="OTJ186" s="12"/>
      <c r="OTS186" s="11"/>
      <c r="OTT186" s="12"/>
      <c r="OUC186" s="11"/>
      <c r="OUD186" s="12"/>
      <c r="OUM186" s="11"/>
      <c r="OUN186" s="12"/>
      <c r="OUW186" s="11"/>
      <c r="OUX186" s="12"/>
      <c r="OVG186" s="11"/>
      <c r="OVH186" s="12"/>
      <c r="OVQ186" s="11"/>
      <c r="OVR186" s="12"/>
      <c r="OWA186" s="11"/>
      <c r="OWB186" s="12"/>
      <c r="OWK186" s="11"/>
      <c r="OWL186" s="12"/>
      <c r="OWU186" s="11"/>
      <c r="OWV186" s="12"/>
      <c r="OXE186" s="11"/>
      <c r="OXF186" s="12"/>
      <c r="OXO186" s="11"/>
      <c r="OXP186" s="12"/>
      <c r="OXY186" s="11"/>
      <c r="OXZ186" s="12"/>
      <c r="OYI186" s="11"/>
      <c r="OYJ186" s="12"/>
      <c r="OYS186" s="11"/>
      <c r="OYT186" s="12"/>
      <c r="OZC186" s="11"/>
      <c r="OZD186" s="12"/>
      <c r="OZM186" s="11"/>
      <c r="OZN186" s="12"/>
      <c r="OZW186" s="11"/>
      <c r="OZX186" s="12"/>
      <c r="PAG186" s="11"/>
      <c r="PAH186" s="12"/>
      <c r="PAQ186" s="11"/>
      <c r="PAR186" s="12"/>
      <c r="PBA186" s="11"/>
      <c r="PBB186" s="12"/>
      <c r="PBK186" s="11"/>
      <c r="PBL186" s="12"/>
      <c r="PBU186" s="11"/>
      <c r="PBV186" s="12"/>
      <c r="PCE186" s="11"/>
      <c r="PCF186" s="12"/>
      <c r="PCO186" s="11"/>
      <c r="PCP186" s="12"/>
      <c r="PCY186" s="11"/>
      <c r="PCZ186" s="12"/>
      <c r="PDI186" s="11"/>
      <c r="PDJ186" s="12"/>
      <c r="PDS186" s="11"/>
      <c r="PDT186" s="12"/>
      <c r="PEC186" s="11"/>
      <c r="PED186" s="12"/>
      <c r="PEM186" s="11"/>
      <c r="PEN186" s="12"/>
      <c r="PEW186" s="11"/>
      <c r="PEX186" s="12"/>
      <c r="PFG186" s="11"/>
      <c r="PFH186" s="12"/>
      <c r="PFQ186" s="11"/>
      <c r="PFR186" s="12"/>
      <c r="PGA186" s="11"/>
      <c r="PGB186" s="12"/>
      <c r="PGK186" s="11"/>
      <c r="PGL186" s="12"/>
      <c r="PGU186" s="11"/>
      <c r="PGV186" s="12"/>
      <c r="PHE186" s="11"/>
      <c r="PHF186" s="12"/>
      <c r="PHO186" s="11"/>
      <c r="PHP186" s="12"/>
      <c r="PHY186" s="11"/>
      <c r="PHZ186" s="12"/>
      <c r="PII186" s="11"/>
      <c r="PIJ186" s="12"/>
      <c r="PIS186" s="11"/>
      <c r="PIT186" s="12"/>
      <c r="PJC186" s="11"/>
      <c r="PJD186" s="12"/>
      <c r="PJM186" s="11"/>
      <c r="PJN186" s="12"/>
      <c r="PJW186" s="11"/>
      <c r="PJX186" s="12"/>
      <c r="PKG186" s="11"/>
      <c r="PKH186" s="12"/>
      <c r="PKQ186" s="11"/>
      <c r="PKR186" s="12"/>
      <c r="PLA186" s="11"/>
      <c r="PLB186" s="12"/>
      <c r="PLK186" s="11"/>
      <c r="PLL186" s="12"/>
      <c r="PLU186" s="11"/>
      <c r="PLV186" s="12"/>
      <c r="PME186" s="11"/>
      <c r="PMF186" s="12"/>
      <c r="PMO186" s="11"/>
      <c r="PMP186" s="12"/>
      <c r="PMY186" s="11"/>
      <c r="PMZ186" s="12"/>
      <c r="PNI186" s="11"/>
      <c r="PNJ186" s="12"/>
      <c r="PNS186" s="11"/>
      <c r="PNT186" s="12"/>
      <c r="POC186" s="11"/>
      <c r="POD186" s="12"/>
      <c r="POM186" s="11"/>
      <c r="PON186" s="12"/>
      <c r="POW186" s="11"/>
      <c r="POX186" s="12"/>
      <c r="PPG186" s="11"/>
      <c r="PPH186" s="12"/>
      <c r="PPQ186" s="11"/>
      <c r="PPR186" s="12"/>
      <c r="PQA186" s="11"/>
      <c r="PQB186" s="12"/>
      <c r="PQK186" s="11"/>
      <c r="PQL186" s="12"/>
      <c r="PQU186" s="11"/>
      <c r="PQV186" s="12"/>
      <c r="PRE186" s="11"/>
      <c r="PRF186" s="12"/>
      <c r="PRO186" s="11"/>
      <c r="PRP186" s="12"/>
      <c r="PRY186" s="11"/>
      <c r="PRZ186" s="12"/>
      <c r="PSI186" s="11"/>
      <c r="PSJ186" s="12"/>
      <c r="PSS186" s="11"/>
      <c r="PST186" s="12"/>
      <c r="PTC186" s="11"/>
      <c r="PTD186" s="12"/>
      <c r="PTM186" s="11"/>
      <c r="PTN186" s="12"/>
      <c r="PTW186" s="11"/>
      <c r="PTX186" s="12"/>
      <c r="PUG186" s="11"/>
      <c r="PUH186" s="12"/>
      <c r="PUQ186" s="11"/>
      <c r="PUR186" s="12"/>
      <c r="PVA186" s="11"/>
      <c r="PVB186" s="12"/>
      <c r="PVK186" s="11"/>
      <c r="PVL186" s="12"/>
      <c r="PVU186" s="11"/>
      <c r="PVV186" s="12"/>
      <c r="PWE186" s="11"/>
      <c r="PWF186" s="12"/>
      <c r="PWO186" s="11"/>
      <c r="PWP186" s="12"/>
      <c r="PWY186" s="11"/>
      <c r="PWZ186" s="12"/>
      <c r="PXI186" s="11"/>
      <c r="PXJ186" s="12"/>
      <c r="PXS186" s="11"/>
      <c r="PXT186" s="12"/>
      <c r="PYC186" s="11"/>
      <c r="PYD186" s="12"/>
      <c r="PYM186" s="11"/>
      <c r="PYN186" s="12"/>
      <c r="PYW186" s="11"/>
      <c r="PYX186" s="12"/>
      <c r="PZG186" s="11"/>
      <c r="PZH186" s="12"/>
      <c r="PZQ186" s="11"/>
      <c r="PZR186" s="12"/>
      <c r="QAA186" s="11"/>
      <c r="QAB186" s="12"/>
      <c r="QAK186" s="11"/>
      <c r="QAL186" s="12"/>
      <c r="QAU186" s="11"/>
      <c r="QAV186" s="12"/>
      <c r="QBE186" s="11"/>
      <c r="QBF186" s="12"/>
      <c r="QBO186" s="11"/>
      <c r="QBP186" s="12"/>
      <c r="QBY186" s="11"/>
      <c r="QBZ186" s="12"/>
      <c r="QCI186" s="11"/>
      <c r="QCJ186" s="12"/>
      <c r="QCS186" s="11"/>
      <c r="QCT186" s="12"/>
      <c r="QDC186" s="11"/>
      <c r="QDD186" s="12"/>
      <c r="QDM186" s="11"/>
      <c r="QDN186" s="12"/>
      <c r="QDW186" s="11"/>
      <c r="QDX186" s="12"/>
      <c r="QEG186" s="11"/>
      <c r="QEH186" s="12"/>
      <c r="QEQ186" s="11"/>
      <c r="QER186" s="12"/>
      <c r="QFA186" s="11"/>
      <c r="QFB186" s="12"/>
      <c r="QFK186" s="11"/>
      <c r="QFL186" s="12"/>
      <c r="QFU186" s="11"/>
      <c r="QFV186" s="12"/>
      <c r="QGE186" s="11"/>
      <c r="QGF186" s="12"/>
      <c r="QGO186" s="11"/>
      <c r="QGP186" s="12"/>
      <c r="QGY186" s="11"/>
      <c r="QGZ186" s="12"/>
      <c r="QHI186" s="11"/>
      <c r="QHJ186" s="12"/>
      <c r="QHS186" s="11"/>
      <c r="QHT186" s="12"/>
      <c r="QIC186" s="11"/>
      <c r="QID186" s="12"/>
      <c r="QIM186" s="11"/>
      <c r="QIN186" s="12"/>
      <c r="QIW186" s="11"/>
      <c r="QIX186" s="12"/>
      <c r="QJG186" s="11"/>
      <c r="QJH186" s="12"/>
      <c r="QJQ186" s="11"/>
      <c r="QJR186" s="12"/>
      <c r="QKA186" s="11"/>
      <c r="QKB186" s="12"/>
      <c r="QKK186" s="11"/>
      <c r="QKL186" s="12"/>
      <c r="QKU186" s="11"/>
      <c r="QKV186" s="12"/>
      <c r="QLE186" s="11"/>
      <c r="QLF186" s="12"/>
      <c r="QLO186" s="11"/>
      <c r="QLP186" s="12"/>
      <c r="QLY186" s="11"/>
      <c r="QLZ186" s="12"/>
      <c r="QMI186" s="11"/>
      <c r="QMJ186" s="12"/>
      <c r="QMS186" s="11"/>
      <c r="QMT186" s="12"/>
      <c r="QNC186" s="11"/>
      <c r="QND186" s="12"/>
      <c r="QNM186" s="11"/>
      <c r="QNN186" s="12"/>
      <c r="QNW186" s="11"/>
      <c r="QNX186" s="12"/>
      <c r="QOG186" s="11"/>
      <c r="QOH186" s="12"/>
      <c r="QOQ186" s="11"/>
      <c r="QOR186" s="12"/>
      <c r="QPA186" s="11"/>
      <c r="QPB186" s="12"/>
      <c r="QPK186" s="11"/>
      <c r="QPL186" s="12"/>
      <c r="QPU186" s="11"/>
      <c r="QPV186" s="12"/>
      <c r="QQE186" s="11"/>
      <c r="QQF186" s="12"/>
      <c r="QQO186" s="11"/>
      <c r="QQP186" s="12"/>
      <c r="QQY186" s="11"/>
      <c r="QQZ186" s="12"/>
      <c r="QRI186" s="11"/>
      <c r="QRJ186" s="12"/>
      <c r="QRS186" s="11"/>
      <c r="QRT186" s="12"/>
      <c r="QSC186" s="11"/>
      <c r="QSD186" s="12"/>
      <c r="QSM186" s="11"/>
      <c r="QSN186" s="12"/>
      <c r="QSW186" s="11"/>
      <c r="QSX186" s="12"/>
      <c r="QTG186" s="11"/>
      <c r="QTH186" s="12"/>
      <c r="QTQ186" s="11"/>
      <c r="QTR186" s="12"/>
      <c r="QUA186" s="11"/>
      <c r="QUB186" s="12"/>
      <c r="QUK186" s="11"/>
      <c r="QUL186" s="12"/>
      <c r="QUU186" s="11"/>
      <c r="QUV186" s="12"/>
      <c r="QVE186" s="11"/>
      <c r="QVF186" s="12"/>
      <c r="QVO186" s="11"/>
      <c r="QVP186" s="12"/>
      <c r="QVY186" s="11"/>
      <c r="QVZ186" s="12"/>
      <c r="QWI186" s="11"/>
      <c r="QWJ186" s="12"/>
      <c r="QWS186" s="11"/>
      <c r="QWT186" s="12"/>
      <c r="QXC186" s="11"/>
      <c r="QXD186" s="12"/>
      <c r="QXM186" s="11"/>
      <c r="QXN186" s="12"/>
      <c r="QXW186" s="11"/>
      <c r="QXX186" s="12"/>
      <c r="QYG186" s="11"/>
      <c r="QYH186" s="12"/>
      <c r="QYQ186" s="11"/>
      <c r="QYR186" s="12"/>
      <c r="QZA186" s="11"/>
      <c r="QZB186" s="12"/>
      <c r="QZK186" s="11"/>
      <c r="QZL186" s="12"/>
      <c r="QZU186" s="11"/>
      <c r="QZV186" s="12"/>
      <c r="RAE186" s="11"/>
      <c r="RAF186" s="12"/>
      <c r="RAO186" s="11"/>
      <c r="RAP186" s="12"/>
      <c r="RAY186" s="11"/>
      <c r="RAZ186" s="12"/>
      <c r="RBI186" s="11"/>
      <c r="RBJ186" s="12"/>
      <c r="RBS186" s="11"/>
      <c r="RBT186" s="12"/>
      <c r="RCC186" s="11"/>
      <c r="RCD186" s="12"/>
      <c r="RCM186" s="11"/>
      <c r="RCN186" s="12"/>
      <c r="RCW186" s="11"/>
      <c r="RCX186" s="12"/>
      <c r="RDG186" s="11"/>
      <c r="RDH186" s="12"/>
      <c r="RDQ186" s="11"/>
      <c r="RDR186" s="12"/>
      <c r="REA186" s="11"/>
      <c r="REB186" s="12"/>
      <c r="REK186" s="11"/>
      <c r="REL186" s="12"/>
      <c r="REU186" s="11"/>
      <c r="REV186" s="12"/>
      <c r="RFE186" s="11"/>
      <c r="RFF186" s="12"/>
      <c r="RFO186" s="11"/>
      <c r="RFP186" s="12"/>
      <c r="RFY186" s="11"/>
      <c r="RFZ186" s="12"/>
      <c r="RGI186" s="11"/>
      <c r="RGJ186" s="12"/>
      <c r="RGS186" s="11"/>
      <c r="RGT186" s="12"/>
      <c r="RHC186" s="11"/>
      <c r="RHD186" s="12"/>
      <c r="RHM186" s="11"/>
      <c r="RHN186" s="12"/>
      <c r="RHW186" s="11"/>
      <c r="RHX186" s="12"/>
      <c r="RIG186" s="11"/>
      <c r="RIH186" s="12"/>
      <c r="RIQ186" s="11"/>
      <c r="RIR186" s="12"/>
      <c r="RJA186" s="11"/>
      <c r="RJB186" s="12"/>
      <c r="RJK186" s="11"/>
      <c r="RJL186" s="12"/>
      <c r="RJU186" s="11"/>
      <c r="RJV186" s="12"/>
      <c r="RKE186" s="11"/>
      <c r="RKF186" s="12"/>
      <c r="RKO186" s="11"/>
      <c r="RKP186" s="12"/>
      <c r="RKY186" s="11"/>
      <c r="RKZ186" s="12"/>
      <c r="RLI186" s="11"/>
      <c r="RLJ186" s="12"/>
      <c r="RLS186" s="11"/>
      <c r="RLT186" s="12"/>
      <c r="RMC186" s="11"/>
      <c r="RMD186" s="12"/>
      <c r="RMM186" s="11"/>
      <c r="RMN186" s="12"/>
      <c r="RMW186" s="11"/>
      <c r="RMX186" s="12"/>
      <c r="RNG186" s="11"/>
      <c r="RNH186" s="12"/>
      <c r="RNQ186" s="11"/>
      <c r="RNR186" s="12"/>
      <c r="ROA186" s="11"/>
      <c r="ROB186" s="12"/>
      <c r="ROK186" s="11"/>
      <c r="ROL186" s="12"/>
      <c r="ROU186" s="11"/>
      <c r="ROV186" s="12"/>
      <c r="RPE186" s="11"/>
      <c r="RPF186" s="12"/>
      <c r="RPO186" s="11"/>
      <c r="RPP186" s="12"/>
      <c r="RPY186" s="11"/>
      <c r="RPZ186" s="12"/>
      <c r="RQI186" s="11"/>
      <c r="RQJ186" s="12"/>
      <c r="RQS186" s="11"/>
      <c r="RQT186" s="12"/>
      <c r="RRC186" s="11"/>
      <c r="RRD186" s="12"/>
      <c r="RRM186" s="11"/>
      <c r="RRN186" s="12"/>
      <c r="RRW186" s="11"/>
      <c r="RRX186" s="12"/>
      <c r="RSG186" s="11"/>
      <c r="RSH186" s="12"/>
      <c r="RSQ186" s="11"/>
      <c r="RSR186" s="12"/>
      <c r="RTA186" s="11"/>
      <c r="RTB186" s="12"/>
      <c r="RTK186" s="11"/>
      <c r="RTL186" s="12"/>
      <c r="RTU186" s="11"/>
      <c r="RTV186" s="12"/>
      <c r="RUE186" s="11"/>
      <c r="RUF186" s="12"/>
      <c r="RUO186" s="11"/>
      <c r="RUP186" s="12"/>
      <c r="RUY186" s="11"/>
      <c r="RUZ186" s="12"/>
      <c r="RVI186" s="11"/>
      <c r="RVJ186" s="12"/>
      <c r="RVS186" s="11"/>
      <c r="RVT186" s="12"/>
      <c r="RWC186" s="11"/>
      <c r="RWD186" s="12"/>
      <c r="RWM186" s="11"/>
      <c r="RWN186" s="12"/>
      <c r="RWW186" s="11"/>
      <c r="RWX186" s="12"/>
      <c r="RXG186" s="11"/>
      <c r="RXH186" s="12"/>
      <c r="RXQ186" s="11"/>
      <c r="RXR186" s="12"/>
      <c r="RYA186" s="11"/>
      <c r="RYB186" s="12"/>
      <c r="RYK186" s="11"/>
      <c r="RYL186" s="12"/>
      <c r="RYU186" s="11"/>
      <c r="RYV186" s="12"/>
      <c r="RZE186" s="11"/>
      <c r="RZF186" s="12"/>
      <c r="RZO186" s="11"/>
      <c r="RZP186" s="12"/>
      <c r="RZY186" s="11"/>
      <c r="RZZ186" s="12"/>
      <c r="SAI186" s="11"/>
      <c r="SAJ186" s="12"/>
      <c r="SAS186" s="11"/>
      <c r="SAT186" s="12"/>
      <c r="SBC186" s="11"/>
      <c r="SBD186" s="12"/>
      <c r="SBM186" s="11"/>
      <c r="SBN186" s="12"/>
      <c r="SBW186" s="11"/>
      <c r="SBX186" s="12"/>
      <c r="SCG186" s="11"/>
      <c r="SCH186" s="12"/>
      <c r="SCQ186" s="11"/>
      <c r="SCR186" s="12"/>
      <c r="SDA186" s="11"/>
      <c r="SDB186" s="12"/>
      <c r="SDK186" s="11"/>
      <c r="SDL186" s="12"/>
      <c r="SDU186" s="11"/>
      <c r="SDV186" s="12"/>
      <c r="SEE186" s="11"/>
      <c r="SEF186" s="12"/>
      <c r="SEO186" s="11"/>
      <c r="SEP186" s="12"/>
      <c r="SEY186" s="11"/>
      <c r="SEZ186" s="12"/>
      <c r="SFI186" s="11"/>
      <c r="SFJ186" s="12"/>
      <c r="SFS186" s="11"/>
      <c r="SFT186" s="12"/>
      <c r="SGC186" s="11"/>
      <c r="SGD186" s="12"/>
      <c r="SGM186" s="11"/>
      <c r="SGN186" s="12"/>
      <c r="SGW186" s="11"/>
      <c r="SGX186" s="12"/>
      <c r="SHG186" s="11"/>
      <c r="SHH186" s="12"/>
      <c r="SHQ186" s="11"/>
      <c r="SHR186" s="12"/>
      <c r="SIA186" s="11"/>
      <c r="SIB186" s="12"/>
      <c r="SIK186" s="11"/>
      <c r="SIL186" s="12"/>
      <c r="SIU186" s="11"/>
      <c r="SIV186" s="12"/>
      <c r="SJE186" s="11"/>
      <c r="SJF186" s="12"/>
      <c r="SJO186" s="11"/>
      <c r="SJP186" s="12"/>
      <c r="SJY186" s="11"/>
      <c r="SJZ186" s="12"/>
      <c r="SKI186" s="11"/>
      <c r="SKJ186" s="12"/>
      <c r="SKS186" s="11"/>
      <c r="SKT186" s="12"/>
      <c r="SLC186" s="11"/>
      <c r="SLD186" s="12"/>
      <c r="SLM186" s="11"/>
      <c r="SLN186" s="12"/>
      <c r="SLW186" s="11"/>
      <c r="SLX186" s="12"/>
      <c r="SMG186" s="11"/>
      <c r="SMH186" s="12"/>
      <c r="SMQ186" s="11"/>
      <c r="SMR186" s="12"/>
      <c r="SNA186" s="11"/>
      <c r="SNB186" s="12"/>
      <c r="SNK186" s="11"/>
      <c r="SNL186" s="12"/>
      <c r="SNU186" s="11"/>
      <c r="SNV186" s="12"/>
      <c r="SOE186" s="11"/>
      <c r="SOF186" s="12"/>
      <c r="SOO186" s="11"/>
      <c r="SOP186" s="12"/>
      <c r="SOY186" s="11"/>
      <c r="SOZ186" s="12"/>
      <c r="SPI186" s="11"/>
      <c r="SPJ186" s="12"/>
      <c r="SPS186" s="11"/>
      <c r="SPT186" s="12"/>
      <c r="SQC186" s="11"/>
      <c r="SQD186" s="12"/>
      <c r="SQM186" s="11"/>
      <c r="SQN186" s="12"/>
      <c r="SQW186" s="11"/>
      <c r="SQX186" s="12"/>
      <c r="SRG186" s="11"/>
      <c r="SRH186" s="12"/>
      <c r="SRQ186" s="11"/>
      <c r="SRR186" s="12"/>
      <c r="SSA186" s="11"/>
      <c r="SSB186" s="12"/>
      <c r="SSK186" s="11"/>
      <c r="SSL186" s="12"/>
      <c r="SSU186" s="11"/>
      <c r="SSV186" s="12"/>
      <c r="STE186" s="11"/>
      <c r="STF186" s="12"/>
      <c r="STO186" s="11"/>
      <c r="STP186" s="12"/>
      <c r="STY186" s="11"/>
      <c r="STZ186" s="12"/>
      <c r="SUI186" s="11"/>
      <c r="SUJ186" s="12"/>
      <c r="SUS186" s="11"/>
      <c r="SUT186" s="12"/>
      <c r="SVC186" s="11"/>
      <c r="SVD186" s="12"/>
      <c r="SVM186" s="11"/>
      <c r="SVN186" s="12"/>
      <c r="SVW186" s="11"/>
      <c r="SVX186" s="12"/>
      <c r="SWG186" s="11"/>
      <c r="SWH186" s="12"/>
      <c r="SWQ186" s="11"/>
      <c r="SWR186" s="12"/>
      <c r="SXA186" s="11"/>
      <c r="SXB186" s="12"/>
      <c r="SXK186" s="11"/>
      <c r="SXL186" s="12"/>
      <c r="SXU186" s="11"/>
      <c r="SXV186" s="12"/>
      <c r="SYE186" s="11"/>
      <c r="SYF186" s="12"/>
      <c r="SYO186" s="11"/>
      <c r="SYP186" s="12"/>
      <c r="SYY186" s="11"/>
      <c r="SYZ186" s="12"/>
      <c r="SZI186" s="11"/>
      <c r="SZJ186" s="12"/>
      <c r="SZS186" s="11"/>
      <c r="SZT186" s="12"/>
      <c r="TAC186" s="11"/>
      <c r="TAD186" s="12"/>
      <c r="TAM186" s="11"/>
      <c r="TAN186" s="12"/>
      <c r="TAW186" s="11"/>
      <c r="TAX186" s="12"/>
      <c r="TBG186" s="11"/>
      <c r="TBH186" s="12"/>
      <c r="TBQ186" s="11"/>
      <c r="TBR186" s="12"/>
      <c r="TCA186" s="11"/>
      <c r="TCB186" s="12"/>
      <c r="TCK186" s="11"/>
      <c r="TCL186" s="12"/>
      <c r="TCU186" s="11"/>
      <c r="TCV186" s="12"/>
      <c r="TDE186" s="11"/>
      <c r="TDF186" s="12"/>
      <c r="TDO186" s="11"/>
      <c r="TDP186" s="12"/>
      <c r="TDY186" s="11"/>
      <c r="TDZ186" s="12"/>
      <c r="TEI186" s="11"/>
      <c r="TEJ186" s="12"/>
      <c r="TES186" s="11"/>
      <c r="TET186" s="12"/>
      <c r="TFC186" s="11"/>
      <c r="TFD186" s="12"/>
      <c r="TFM186" s="11"/>
      <c r="TFN186" s="12"/>
      <c r="TFW186" s="11"/>
      <c r="TFX186" s="12"/>
      <c r="TGG186" s="11"/>
      <c r="TGH186" s="12"/>
      <c r="TGQ186" s="11"/>
      <c r="TGR186" s="12"/>
      <c r="THA186" s="11"/>
      <c r="THB186" s="12"/>
      <c r="THK186" s="11"/>
      <c r="THL186" s="12"/>
      <c r="THU186" s="11"/>
      <c r="THV186" s="12"/>
      <c r="TIE186" s="11"/>
      <c r="TIF186" s="12"/>
      <c r="TIO186" s="11"/>
      <c r="TIP186" s="12"/>
      <c r="TIY186" s="11"/>
      <c r="TIZ186" s="12"/>
      <c r="TJI186" s="11"/>
      <c r="TJJ186" s="12"/>
      <c r="TJS186" s="11"/>
      <c r="TJT186" s="12"/>
      <c r="TKC186" s="11"/>
      <c r="TKD186" s="12"/>
      <c r="TKM186" s="11"/>
      <c r="TKN186" s="12"/>
      <c r="TKW186" s="11"/>
      <c r="TKX186" s="12"/>
      <c r="TLG186" s="11"/>
      <c r="TLH186" s="12"/>
      <c r="TLQ186" s="11"/>
      <c r="TLR186" s="12"/>
      <c r="TMA186" s="11"/>
      <c r="TMB186" s="12"/>
      <c r="TMK186" s="11"/>
      <c r="TML186" s="12"/>
      <c r="TMU186" s="11"/>
      <c r="TMV186" s="12"/>
      <c r="TNE186" s="11"/>
      <c r="TNF186" s="12"/>
      <c r="TNO186" s="11"/>
      <c r="TNP186" s="12"/>
      <c r="TNY186" s="11"/>
      <c r="TNZ186" s="12"/>
      <c r="TOI186" s="11"/>
      <c r="TOJ186" s="12"/>
      <c r="TOS186" s="11"/>
      <c r="TOT186" s="12"/>
      <c r="TPC186" s="11"/>
      <c r="TPD186" s="12"/>
      <c r="TPM186" s="11"/>
      <c r="TPN186" s="12"/>
      <c r="TPW186" s="11"/>
      <c r="TPX186" s="12"/>
      <c r="TQG186" s="11"/>
      <c r="TQH186" s="12"/>
      <c r="TQQ186" s="11"/>
      <c r="TQR186" s="12"/>
      <c r="TRA186" s="11"/>
      <c r="TRB186" s="12"/>
      <c r="TRK186" s="11"/>
      <c r="TRL186" s="12"/>
      <c r="TRU186" s="11"/>
      <c r="TRV186" s="12"/>
      <c r="TSE186" s="11"/>
      <c r="TSF186" s="12"/>
      <c r="TSO186" s="11"/>
      <c r="TSP186" s="12"/>
      <c r="TSY186" s="11"/>
      <c r="TSZ186" s="12"/>
      <c r="TTI186" s="11"/>
      <c r="TTJ186" s="12"/>
      <c r="TTS186" s="11"/>
      <c r="TTT186" s="12"/>
      <c r="TUC186" s="11"/>
      <c r="TUD186" s="12"/>
      <c r="TUM186" s="11"/>
      <c r="TUN186" s="12"/>
      <c r="TUW186" s="11"/>
      <c r="TUX186" s="12"/>
      <c r="TVG186" s="11"/>
      <c r="TVH186" s="12"/>
      <c r="TVQ186" s="11"/>
      <c r="TVR186" s="12"/>
      <c r="TWA186" s="11"/>
      <c r="TWB186" s="12"/>
      <c r="TWK186" s="11"/>
      <c r="TWL186" s="12"/>
      <c r="TWU186" s="11"/>
      <c r="TWV186" s="12"/>
      <c r="TXE186" s="11"/>
      <c r="TXF186" s="12"/>
      <c r="TXO186" s="11"/>
      <c r="TXP186" s="12"/>
      <c r="TXY186" s="11"/>
      <c r="TXZ186" s="12"/>
      <c r="TYI186" s="11"/>
      <c r="TYJ186" s="12"/>
      <c r="TYS186" s="11"/>
      <c r="TYT186" s="12"/>
      <c r="TZC186" s="11"/>
      <c r="TZD186" s="12"/>
      <c r="TZM186" s="11"/>
      <c r="TZN186" s="12"/>
      <c r="TZW186" s="11"/>
      <c r="TZX186" s="12"/>
      <c r="UAG186" s="11"/>
      <c r="UAH186" s="12"/>
      <c r="UAQ186" s="11"/>
      <c r="UAR186" s="12"/>
      <c r="UBA186" s="11"/>
      <c r="UBB186" s="12"/>
      <c r="UBK186" s="11"/>
      <c r="UBL186" s="12"/>
      <c r="UBU186" s="11"/>
      <c r="UBV186" s="12"/>
      <c r="UCE186" s="11"/>
      <c r="UCF186" s="12"/>
      <c r="UCO186" s="11"/>
      <c r="UCP186" s="12"/>
      <c r="UCY186" s="11"/>
      <c r="UCZ186" s="12"/>
      <c r="UDI186" s="11"/>
      <c r="UDJ186" s="12"/>
      <c r="UDS186" s="11"/>
      <c r="UDT186" s="12"/>
      <c r="UEC186" s="11"/>
      <c r="UED186" s="12"/>
      <c r="UEM186" s="11"/>
      <c r="UEN186" s="12"/>
      <c r="UEW186" s="11"/>
      <c r="UEX186" s="12"/>
      <c r="UFG186" s="11"/>
      <c r="UFH186" s="12"/>
      <c r="UFQ186" s="11"/>
      <c r="UFR186" s="12"/>
      <c r="UGA186" s="11"/>
      <c r="UGB186" s="12"/>
      <c r="UGK186" s="11"/>
      <c r="UGL186" s="12"/>
      <c r="UGU186" s="11"/>
      <c r="UGV186" s="12"/>
      <c r="UHE186" s="11"/>
      <c r="UHF186" s="12"/>
      <c r="UHO186" s="11"/>
      <c r="UHP186" s="12"/>
      <c r="UHY186" s="11"/>
      <c r="UHZ186" s="12"/>
      <c r="UII186" s="11"/>
      <c r="UIJ186" s="12"/>
      <c r="UIS186" s="11"/>
      <c r="UIT186" s="12"/>
      <c r="UJC186" s="11"/>
      <c r="UJD186" s="12"/>
      <c r="UJM186" s="11"/>
      <c r="UJN186" s="12"/>
      <c r="UJW186" s="11"/>
      <c r="UJX186" s="12"/>
      <c r="UKG186" s="11"/>
      <c r="UKH186" s="12"/>
      <c r="UKQ186" s="11"/>
      <c r="UKR186" s="12"/>
      <c r="ULA186" s="11"/>
      <c r="ULB186" s="12"/>
      <c r="ULK186" s="11"/>
      <c r="ULL186" s="12"/>
      <c r="ULU186" s="11"/>
      <c r="ULV186" s="12"/>
      <c r="UME186" s="11"/>
      <c r="UMF186" s="12"/>
      <c r="UMO186" s="11"/>
      <c r="UMP186" s="12"/>
      <c r="UMY186" s="11"/>
      <c r="UMZ186" s="12"/>
      <c r="UNI186" s="11"/>
      <c r="UNJ186" s="12"/>
      <c r="UNS186" s="11"/>
      <c r="UNT186" s="12"/>
      <c r="UOC186" s="11"/>
      <c r="UOD186" s="12"/>
      <c r="UOM186" s="11"/>
      <c r="UON186" s="12"/>
      <c r="UOW186" s="11"/>
      <c r="UOX186" s="12"/>
      <c r="UPG186" s="11"/>
      <c r="UPH186" s="12"/>
      <c r="UPQ186" s="11"/>
      <c r="UPR186" s="12"/>
      <c r="UQA186" s="11"/>
      <c r="UQB186" s="12"/>
      <c r="UQK186" s="11"/>
      <c r="UQL186" s="12"/>
      <c r="UQU186" s="11"/>
      <c r="UQV186" s="12"/>
      <c r="URE186" s="11"/>
      <c r="URF186" s="12"/>
      <c r="URO186" s="11"/>
      <c r="URP186" s="12"/>
      <c r="URY186" s="11"/>
      <c r="URZ186" s="12"/>
      <c r="USI186" s="11"/>
      <c r="USJ186" s="12"/>
      <c r="USS186" s="11"/>
      <c r="UST186" s="12"/>
      <c r="UTC186" s="11"/>
      <c r="UTD186" s="12"/>
      <c r="UTM186" s="11"/>
      <c r="UTN186" s="12"/>
      <c r="UTW186" s="11"/>
      <c r="UTX186" s="12"/>
      <c r="UUG186" s="11"/>
      <c r="UUH186" s="12"/>
      <c r="UUQ186" s="11"/>
      <c r="UUR186" s="12"/>
      <c r="UVA186" s="11"/>
      <c r="UVB186" s="12"/>
      <c r="UVK186" s="11"/>
      <c r="UVL186" s="12"/>
      <c r="UVU186" s="11"/>
      <c r="UVV186" s="12"/>
      <c r="UWE186" s="11"/>
      <c r="UWF186" s="12"/>
      <c r="UWO186" s="11"/>
      <c r="UWP186" s="12"/>
      <c r="UWY186" s="11"/>
      <c r="UWZ186" s="12"/>
      <c r="UXI186" s="11"/>
      <c r="UXJ186" s="12"/>
      <c r="UXS186" s="11"/>
      <c r="UXT186" s="12"/>
      <c r="UYC186" s="11"/>
      <c r="UYD186" s="12"/>
      <c r="UYM186" s="11"/>
      <c r="UYN186" s="12"/>
      <c r="UYW186" s="11"/>
      <c r="UYX186" s="12"/>
      <c r="UZG186" s="11"/>
      <c r="UZH186" s="12"/>
      <c r="UZQ186" s="11"/>
      <c r="UZR186" s="12"/>
      <c r="VAA186" s="11"/>
      <c r="VAB186" s="12"/>
      <c r="VAK186" s="11"/>
      <c r="VAL186" s="12"/>
      <c r="VAU186" s="11"/>
      <c r="VAV186" s="12"/>
      <c r="VBE186" s="11"/>
      <c r="VBF186" s="12"/>
      <c r="VBO186" s="11"/>
      <c r="VBP186" s="12"/>
      <c r="VBY186" s="11"/>
      <c r="VBZ186" s="12"/>
      <c r="VCI186" s="11"/>
      <c r="VCJ186" s="12"/>
      <c r="VCS186" s="11"/>
      <c r="VCT186" s="12"/>
      <c r="VDC186" s="11"/>
      <c r="VDD186" s="12"/>
      <c r="VDM186" s="11"/>
      <c r="VDN186" s="12"/>
      <c r="VDW186" s="11"/>
      <c r="VDX186" s="12"/>
      <c r="VEG186" s="11"/>
      <c r="VEH186" s="12"/>
      <c r="VEQ186" s="11"/>
      <c r="VER186" s="12"/>
      <c r="VFA186" s="11"/>
      <c r="VFB186" s="12"/>
      <c r="VFK186" s="11"/>
      <c r="VFL186" s="12"/>
      <c r="VFU186" s="11"/>
      <c r="VFV186" s="12"/>
      <c r="VGE186" s="11"/>
      <c r="VGF186" s="12"/>
      <c r="VGO186" s="11"/>
      <c r="VGP186" s="12"/>
      <c r="VGY186" s="11"/>
      <c r="VGZ186" s="12"/>
      <c r="VHI186" s="11"/>
      <c r="VHJ186" s="12"/>
      <c r="VHS186" s="11"/>
      <c r="VHT186" s="12"/>
      <c r="VIC186" s="11"/>
      <c r="VID186" s="12"/>
      <c r="VIM186" s="11"/>
      <c r="VIN186" s="12"/>
      <c r="VIW186" s="11"/>
      <c r="VIX186" s="12"/>
      <c r="VJG186" s="11"/>
      <c r="VJH186" s="12"/>
      <c r="VJQ186" s="11"/>
      <c r="VJR186" s="12"/>
      <c r="VKA186" s="11"/>
      <c r="VKB186" s="12"/>
      <c r="VKK186" s="11"/>
      <c r="VKL186" s="12"/>
      <c r="VKU186" s="11"/>
      <c r="VKV186" s="12"/>
      <c r="VLE186" s="11"/>
      <c r="VLF186" s="12"/>
      <c r="VLO186" s="11"/>
      <c r="VLP186" s="12"/>
      <c r="VLY186" s="11"/>
      <c r="VLZ186" s="12"/>
      <c r="VMI186" s="11"/>
      <c r="VMJ186" s="12"/>
      <c r="VMS186" s="11"/>
      <c r="VMT186" s="12"/>
      <c r="VNC186" s="11"/>
      <c r="VND186" s="12"/>
      <c r="VNM186" s="11"/>
      <c r="VNN186" s="12"/>
      <c r="VNW186" s="11"/>
      <c r="VNX186" s="12"/>
      <c r="VOG186" s="11"/>
      <c r="VOH186" s="12"/>
      <c r="VOQ186" s="11"/>
      <c r="VOR186" s="12"/>
      <c r="VPA186" s="11"/>
      <c r="VPB186" s="12"/>
      <c r="VPK186" s="11"/>
      <c r="VPL186" s="12"/>
      <c r="VPU186" s="11"/>
      <c r="VPV186" s="12"/>
      <c r="VQE186" s="11"/>
      <c r="VQF186" s="12"/>
      <c r="VQO186" s="11"/>
      <c r="VQP186" s="12"/>
      <c r="VQY186" s="11"/>
      <c r="VQZ186" s="12"/>
      <c r="VRI186" s="11"/>
      <c r="VRJ186" s="12"/>
      <c r="VRS186" s="11"/>
      <c r="VRT186" s="12"/>
      <c r="VSC186" s="11"/>
      <c r="VSD186" s="12"/>
      <c r="VSM186" s="11"/>
      <c r="VSN186" s="12"/>
      <c r="VSW186" s="11"/>
      <c r="VSX186" s="12"/>
      <c r="VTG186" s="11"/>
      <c r="VTH186" s="12"/>
      <c r="VTQ186" s="11"/>
      <c r="VTR186" s="12"/>
      <c r="VUA186" s="11"/>
      <c r="VUB186" s="12"/>
      <c r="VUK186" s="11"/>
      <c r="VUL186" s="12"/>
      <c r="VUU186" s="11"/>
      <c r="VUV186" s="12"/>
      <c r="VVE186" s="11"/>
      <c r="VVF186" s="12"/>
      <c r="VVO186" s="11"/>
      <c r="VVP186" s="12"/>
      <c r="VVY186" s="11"/>
      <c r="VVZ186" s="12"/>
      <c r="VWI186" s="11"/>
      <c r="VWJ186" s="12"/>
      <c r="VWS186" s="11"/>
      <c r="VWT186" s="12"/>
      <c r="VXC186" s="11"/>
      <c r="VXD186" s="12"/>
      <c r="VXM186" s="11"/>
      <c r="VXN186" s="12"/>
      <c r="VXW186" s="11"/>
      <c r="VXX186" s="12"/>
      <c r="VYG186" s="11"/>
      <c r="VYH186" s="12"/>
      <c r="VYQ186" s="11"/>
      <c r="VYR186" s="12"/>
      <c r="VZA186" s="11"/>
      <c r="VZB186" s="12"/>
      <c r="VZK186" s="11"/>
      <c r="VZL186" s="12"/>
      <c r="VZU186" s="11"/>
      <c r="VZV186" s="12"/>
      <c r="WAE186" s="11"/>
      <c r="WAF186" s="12"/>
      <c r="WAO186" s="11"/>
      <c r="WAP186" s="12"/>
      <c r="WAY186" s="11"/>
      <c r="WAZ186" s="12"/>
      <c r="WBI186" s="11"/>
      <c r="WBJ186" s="12"/>
      <c r="WBS186" s="11"/>
      <c r="WBT186" s="12"/>
      <c r="WCC186" s="11"/>
      <c r="WCD186" s="12"/>
      <c r="WCM186" s="11"/>
      <c r="WCN186" s="12"/>
      <c r="WCW186" s="11"/>
      <c r="WCX186" s="12"/>
      <c r="WDG186" s="11"/>
      <c r="WDH186" s="12"/>
      <c r="WDQ186" s="11"/>
      <c r="WDR186" s="12"/>
      <c r="WEA186" s="11"/>
      <c r="WEB186" s="12"/>
      <c r="WEK186" s="11"/>
      <c r="WEL186" s="12"/>
      <c r="WEU186" s="11"/>
      <c r="WEV186" s="12"/>
      <c r="WFE186" s="11"/>
      <c r="WFF186" s="12"/>
      <c r="WFO186" s="11"/>
      <c r="WFP186" s="12"/>
      <c r="WFY186" s="11"/>
      <c r="WFZ186" s="12"/>
      <c r="WGI186" s="11"/>
      <c r="WGJ186" s="12"/>
      <c r="WGS186" s="11"/>
      <c r="WGT186" s="12"/>
      <c r="WHC186" s="11"/>
      <c r="WHD186" s="12"/>
      <c r="WHM186" s="11"/>
      <c r="WHN186" s="12"/>
      <c r="WHW186" s="11"/>
      <c r="WHX186" s="12"/>
      <c r="WIG186" s="11"/>
      <c r="WIH186" s="12"/>
      <c r="WIQ186" s="11"/>
      <c r="WIR186" s="12"/>
      <c r="WJA186" s="11"/>
      <c r="WJB186" s="12"/>
      <c r="WJK186" s="11"/>
      <c r="WJL186" s="12"/>
      <c r="WJU186" s="11"/>
      <c r="WJV186" s="12"/>
      <c r="WKE186" s="11"/>
      <c r="WKF186" s="12"/>
      <c r="WKO186" s="11"/>
      <c r="WKP186" s="12"/>
      <c r="WKY186" s="11"/>
      <c r="WKZ186" s="12"/>
      <c r="WLI186" s="11"/>
      <c r="WLJ186" s="12"/>
      <c r="WLS186" s="11"/>
      <c r="WLT186" s="12"/>
      <c r="WMC186" s="11"/>
      <c r="WMD186" s="12"/>
      <c r="WMM186" s="11"/>
      <c r="WMN186" s="12"/>
      <c r="WMW186" s="11"/>
      <c r="WMX186" s="12"/>
      <c r="WNG186" s="11"/>
      <c r="WNH186" s="12"/>
      <c r="WNQ186" s="11"/>
      <c r="WNR186" s="12"/>
      <c r="WOA186" s="11"/>
      <c r="WOB186" s="12"/>
      <c r="WOK186" s="11"/>
      <c r="WOL186" s="12"/>
      <c r="WOU186" s="11"/>
      <c r="WOV186" s="12"/>
      <c r="WPE186" s="11"/>
      <c r="WPF186" s="12"/>
      <c r="WPO186" s="11"/>
      <c r="WPP186" s="12"/>
      <c r="WPY186" s="11"/>
      <c r="WPZ186" s="12"/>
      <c r="WQI186" s="11"/>
      <c r="WQJ186" s="12"/>
      <c r="WQS186" s="11"/>
      <c r="WQT186" s="12"/>
      <c r="WRC186" s="11"/>
      <c r="WRD186" s="12"/>
      <c r="WRM186" s="11"/>
      <c r="WRN186" s="12"/>
      <c r="WRW186" s="11"/>
      <c r="WRX186" s="12"/>
      <c r="WSG186" s="11"/>
      <c r="WSH186" s="12"/>
      <c r="WSQ186" s="11"/>
      <c r="WSR186" s="12"/>
      <c r="WTA186" s="11"/>
      <c r="WTB186" s="12"/>
      <c r="WTK186" s="11"/>
      <c r="WTL186" s="12"/>
      <c r="WTU186" s="11"/>
      <c r="WTV186" s="12"/>
      <c r="WUE186" s="11"/>
      <c r="WUF186" s="12"/>
      <c r="WUO186" s="11"/>
      <c r="WUP186" s="12"/>
      <c r="WUY186" s="11"/>
      <c r="WUZ186" s="12"/>
      <c r="WVI186" s="11"/>
      <c r="WVJ186" s="12"/>
      <c r="WVS186" s="11"/>
      <c r="WVT186" s="12"/>
      <c r="WWC186" s="11"/>
      <c r="WWD186" s="12"/>
      <c r="WWM186" s="11"/>
      <c r="WWN186" s="12"/>
      <c r="WWW186" s="11"/>
      <c r="WWX186" s="12"/>
      <c r="WXG186" s="11"/>
      <c r="WXH186" s="12"/>
      <c r="WXQ186" s="11"/>
      <c r="WXR186" s="12"/>
      <c r="WYA186" s="11"/>
      <c r="WYB186" s="12"/>
      <c r="WYK186" s="11"/>
      <c r="WYL186" s="12"/>
      <c r="WYU186" s="11"/>
      <c r="WYV186" s="12"/>
      <c r="WZE186" s="11"/>
      <c r="WZF186" s="12"/>
      <c r="WZO186" s="11"/>
      <c r="WZP186" s="12"/>
      <c r="WZY186" s="11"/>
      <c r="WZZ186" s="12"/>
      <c r="XAI186" s="11"/>
      <c r="XAJ186" s="12"/>
      <c r="XAS186" s="11"/>
      <c r="XAT186" s="12"/>
      <c r="XBC186" s="11"/>
      <c r="XBD186" s="12"/>
      <c r="XBM186" s="11"/>
      <c r="XBN186" s="12"/>
      <c r="XBW186" s="11"/>
      <c r="XBX186" s="12"/>
      <c r="XCG186" s="11"/>
      <c r="XCH186" s="12"/>
      <c r="XCQ186" s="11"/>
      <c r="XCR186" s="12"/>
      <c r="XDA186" s="11"/>
      <c r="XDB186" s="12"/>
      <c r="XDK186" s="11"/>
      <c r="XDL186" s="12"/>
      <c r="XDU186" s="11"/>
      <c r="XDV186" s="12"/>
      <c r="XEE186" s="11"/>
      <c r="XEF186" s="12"/>
      <c r="XEO186" s="11"/>
      <c r="XEP186" s="12"/>
      <c r="XEY186" s="11"/>
      <c r="XEZ186" s="12"/>
    </row>
    <row r="187" spans="1:1020 1029:2040 2049:3070 3079:4090 4099:5120 5129:6140 6149:7160 7169:8190 8199:9210 9219:10240 10249:11260 11269:12280 12289:13310 13319:14330 14339:15360 15369:16380" s="10" customFormat="1" ht="27.6" x14ac:dyDescent="0.3">
      <c r="A187"/>
      <c r="B187"/>
      <c r="C187"/>
      <c r="D187"/>
      <c r="E187"/>
      <c r="F187"/>
      <c r="G187"/>
      <c r="H187" s="32" t="s">
        <v>9</v>
      </c>
      <c r="I187" s="33" t="s">
        <v>20</v>
      </c>
      <c r="J187" s="34" t="s">
        <v>21</v>
      </c>
      <c r="K187" s="35" t="s">
        <v>0</v>
      </c>
      <c r="L187" s="33" t="s">
        <v>276</v>
      </c>
      <c r="M187" s="33"/>
      <c r="N187" s="36"/>
      <c r="O187" s="33">
        <v>3</v>
      </c>
      <c r="P187" s="33">
        <f>IF(Tabela1[[#This Row],[Status]]="✔️",Tabela1[[#This Row],[Peso]],IF(Tabela1[[#This Row],[Status]]="✔️✔️",Tabela1[[#This Row],[Peso]]/2,0))</f>
        <v>3</v>
      </c>
      <c r="Q18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7" s="33" t="s">
        <v>264</v>
      </c>
      <c r="S187" s="37" t="s">
        <v>263</v>
      </c>
      <c r="T187" s="12"/>
      <c r="AC187" s="11"/>
      <c r="AD187" s="12"/>
      <c r="AM187" s="11"/>
      <c r="AN187" s="12"/>
      <c r="AW187" s="11"/>
      <c r="AX187" s="12"/>
      <c r="BG187" s="11"/>
      <c r="BH187" s="12"/>
      <c r="BQ187" s="11"/>
      <c r="BR187" s="12"/>
      <c r="CA187" s="11"/>
      <c r="CB187" s="12"/>
      <c r="CK187" s="11"/>
      <c r="CL187" s="12"/>
      <c r="CU187" s="11"/>
      <c r="CV187" s="12"/>
      <c r="DE187" s="11"/>
      <c r="DF187" s="12"/>
      <c r="DO187" s="11"/>
      <c r="DP187" s="12"/>
      <c r="DY187" s="11"/>
      <c r="DZ187" s="12"/>
      <c r="EI187" s="11"/>
      <c r="EJ187" s="12"/>
      <c r="ES187" s="11"/>
      <c r="ET187" s="12"/>
      <c r="FC187" s="11"/>
      <c r="FD187" s="12"/>
      <c r="FM187" s="11"/>
      <c r="FN187" s="12"/>
      <c r="FW187" s="11"/>
      <c r="FX187" s="12"/>
      <c r="GG187" s="11"/>
      <c r="GH187" s="12"/>
      <c r="GQ187" s="11"/>
      <c r="GR187" s="12"/>
      <c r="HA187" s="11"/>
      <c r="HB187" s="12"/>
      <c r="HK187" s="11"/>
      <c r="HL187" s="12"/>
      <c r="HU187" s="11"/>
      <c r="HV187" s="12"/>
      <c r="IE187" s="11"/>
      <c r="IF187" s="12"/>
      <c r="IO187" s="11"/>
      <c r="IP187" s="12"/>
      <c r="IY187" s="11"/>
      <c r="IZ187" s="12"/>
      <c r="JI187" s="11"/>
      <c r="JJ187" s="12"/>
      <c r="JS187" s="11"/>
      <c r="JT187" s="12"/>
      <c r="KC187" s="11"/>
      <c r="KD187" s="12"/>
      <c r="KM187" s="11"/>
      <c r="KN187" s="12"/>
      <c r="KW187" s="11"/>
      <c r="KX187" s="12"/>
      <c r="LG187" s="11"/>
      <c r="LH187" s="12"/>
      <c r="LQ187" s="11"/>
      <c r="LR187" s="12"/>
      <c r="MA187" s="11"/>
      <c r="MB187" s="12"/>
      <c r="MK187" s="11"/>
      <c r="ML187" s="12"/>
      <c r="MU187" s="11"/>
      <c r="MV187" s="12"/>
      <c r="NE187" s="11"/>
      <c r="NF187" s="12"/>
      <c r="NO187" s="11"/>
      <c r="NP187" s="12"/>
      <c r="NY187" s="11"/>
      <c r="NZ187" s="12"/>
      <c r="OI187" s="11"/>
      <c r="OJ187" s="12"/>
      <c r="OS187" s="11"/>
      <c r="OT187" s="12"/>
      <c r="PC187" s="11"/>
      <c r="PD187" s="12"/>
      <c r="PM187" s="11"/>
      <c r="PN187" s="12"/>
      <c r="PW187" s="11"/>
      <c r="PX187" s="12"/>
      <c r="QG187" s="11"/>
      <c r="QH187" s="12"/>
      <c r="QQ187" s="11"/>
      <c r="QR187" s="12"/>
      <c r="RA187" s="11"/>
      <c r="RB187" s="12"/>
      <c r="RK187" s="11"/>
      <c r="RL187" s="12"/>
      <c r="RU187" s="11"/>
      <c r="RV187" s="12"/>
      <c r="SE187" s="11"/>
      <c r="SF187" s="12"/>
      <c r="SO187" s="11"/>
      <c r="SP187" s="12"/>
      <c r="SY187" s="11"/>
      <c r="SZ187" s="12"/>
      <c r="TI187" s="11"/>
      <c r="TJ187" s="12"/>
      <c r="TS187" s="11"/>
      <c r="TT187" s="12"/>
      <c r="UC187" s="11"/>
      <c r="UD187" s="12"/>
      <c r="UM187" s="11"/>
      <c r="UN187" s="12"/>
      <c r="UW187" s="11"/>
      <c r="UX187" s="12"/>
      <c r="VG187" s="11"/>
      <c r="VH187" s="12"/>
      <c r="VQ187" s="11"/>
      <c r="VR187" s="12"/>
      <c r="WA187" s="11"/>
      <c r="WB187" s="12"/>
      <c r="WK187" s="11"/>
      <c r="WL187" s="12"/>
      <c r="WU187" s="11"/>
      <c r="WV187" s="12"/>
      <c r="XE187" s="11"/>
      <c r="XF187" s="12"/>
      <c r="XO187" s="11"/>
      <c r="XP187" s="12"/>
      <c r="XY187" s="11"/>
      <c r="XZ187" s="12"/>
      <c r="YI187" s="11"/>
      <c r="YJ187" s="12"/>
      <c r="YS187" s="11"/>
      <c r="YT187" s="12"/>
      <c r="ZC187" s="11"/>
      <c r="ZD187" s="12"/>
      <c r="ZM187" s="11"/>
      <c r="ZN187" s="12"/>
      <c r="ZW187" s="11"/>
      <c r="ZX187" s="12"/>
      <c r="AAG187" s="11"/>
      <c r="AAH187" s="12"/>
      <c r="AAQ187" s="11"/>
      <c r="AAR187" s="12"/>
      <c r="ABA187" s="11"/>
      <c r="ABB187" s="12"/>
      <c r="ABK187" s="11"/>
      <c r="ABL187" s="12"/>
      <c r="ABU187" s="11"/>
      <c r="ABV187" s="12"/>
      <c r="ACE187" s="11"/>
      <c r="ACF187" s="12"/>
      <c r="ACO187" s="11"/>
      <c r="ACP187" s="12"/>
      <c r="ACY187" s="11"/>
      <c r="ACZ187" s="12"/>
      <c r="ADI187" s="11"/>
      <c r="ADJ187" s="12"/>
      <c r="ADS187" s="11"/>
      <c r="ADT187" s="12"/>
      <c r="AEC187" s="11"/>
      <c r="AED187" s="12"/>
      <c r="AEM187" s="11"/>
      <c r="AEN187" s="12"/>
      <c r="AEW187" s="11"/>
      <c r="AEX187" s="12"/>
      <c r="AFG187" s="11"/>
      <c r="AFH187" s="12"/>
      <c r="AFQ187" s="11"/>
      <c r="AFR187" s="12"/>
      <c r="AGA187" s="11"/>
      <c r="AGB187" s="12"/>
      <c r="AGK187" s="11"/>
      <c r="AGL187" s="12"/>
      <c r="AGU187" s="11"/>
      <c r="AGV187" s="12"/>
      <c r="AHE187" s="11"/>
      <c r="AHF187" s="12"/>
      <c r="AHO187" s="11"/>
      <c r="AHP187" s="12"/>
      <c r="AHY187" s="11"/>
      <c r="AHZ187" s="12"/>
      <c r="AII187" s="11"/>
      <c r="AIJ187" s="12"/>
      <c r="AIS187" s="11"/>
      <c r="AIT187" s="12"/>
      <c r="AJC187" s="11"/>
      <c r="AJD187" s="12"/>
      <c r="AJM187" s="11"/>
      <c r="AJN187" s="12"/>
      <c r="AJW187" s="11"/>
      <c r="AJX187" s="12"/>
      <c r="AKG187" s="11"/>
      <c r="AKH187" s="12"/>
      <c r="AKQ187" s="11"/>
      <c r="AKR187" s="12"/>
      <c r="ALA187" s="11"/>
      <c r="ALB187" s="12"/>
      <c r="ALK187" s="11"/>
      <c r="ALL187" s="12"/>
      <c r="ALU187" s="11"/>
      <c r="ALV187" s="12"/>
      <c r="AME187" s="11"/>
      <c r="AMF187" s="12"/>
      <c r="AMO187" s="11"/>
      <c r="AMP187" s="12"/>
      <c r="AMY187" s="11"/>
      <c r="AMZ187" s="12"/>
      <c r="ANI187" s="11"/>
      <c r="ANJ187" s="12"/>
      <c r="ANS187" s="11"/>
      <c r="ANT187" s="12"/>
      <c r="AOC187" s="11"/>
      <c r="AOD187" s="12"/>
      <c r="AOM187" s="11"/>
      <c r="AON187" s="12"/>
      <c r="AOW187" s="11"/>
      <c r="AOX187" s="12"/>
      <c r="APG187" s="11"/>
      <c r="APH187" s="12"/>
      <c r="APQ187" s="11"/>
      <c r="APR187" s="12"/>
      <c r="AQA187" s="11"/>
      <c r="AQB187" s="12"/>
      <c r="AQK187" s="11"/>
      <c r="AQL187" s="12"/>
      <c r="AQU187" s="11"/>
      <c r="AQV187" s="12"/>
      <c r="ARE187" s="11"/>
      <c r="ARF187" s="12"/>
      <c r="ARO187" s="11"/>
      <c r="ARP187" s="12"/>
      <c r="ARY187" s="11"/>
      <c r="ARZ187" s="12"/>
      <c r="ASI187" s="11"/>
      <c r="ASJ187" s="12"/>
      <c r="ASS187" s="11"/>
      <c r="AST187" s="12"/>
      <c r="ATC187" s="11"/>
      <c r="ATD187" s="12"/>
      <c r="ATM187" s="11"/>
      <c r="ATN187" s="12"/>
      <c r="ATW187" s="11"/>
      <c r="ATX187" s="12"/>
      <c r="AUG187" s="11"/>
      <c r="AUH187" s="12"/>
      <c r="AUQ187" s="11"/>
      <c r="AUR187" s="12"/>
      <c r="AVA187" s="11"/>
      <c r="AVB187" s="12"/>
      <c r="AVK187" s="11"/>
      <c r="AVL187" s="12"/>
      <c r="AVU187" s="11"/>
      <c r="AVV187" s="12"/>
      <c r="AWE187" s="11"/>
      <c r="AWF187" s="12"/>
      <c r="AWO187" s="11"/>
      <c r="AWP187" s="12"/>
      <c r="AWY187" s="11"/>
      <c r="AWZ187" s="12"/>
      <c r="AXI187" s="11"/>
      <c r="AXJ187" s="12"/>
      <c r="AXS187" s="11"/>
      <c r="AXT187" s="12"/>
      <c r="AYC187" s="11"/>
      <c r="AYD187" s="12"/>
      <c r="AYM187" s="11"/>
      <c r="AYN187" s="12"/>
      <c r="AYW187" s="11"/>
      <c r="AYX187" s="12"/>
      <c r="AZG187" s="11"/>
      <c r="AZH187" s="12"/>
      <c r="AZQ187" s="11"/>
      <c r="AZR187" s="12"/>
      <c r="BAA187" s="11"/>
      <c r="BAB187" s="12"/>
      <c r="BAK187" s="11"/>
      <c r="BAL187" s="12"/>
      <c r="BAU187" s="11"/>
      <c r="BAV187" s="12"/>
      <c r="BBE187" s="11"/>
      <c r="BBF187" s="12"/>
      <c r="BBO187" s="11"/>
      <c r="BBP187" s="12"/>
      <c r="BBY187" s="11"/>
      <c r="BBZ187" s="12"/>
      <c r="BCI187" s="11"/>
      <c r="BCJ187" s="12"/>
      <c r="BCS187" s="11"/>
      <c r="BCT187" s="12"/>
      <c r="BDC187" s="11"/>
      <c r="BDD187" s="12"/>
      <c r="BDM187" s="11"/>
      <c r="BDN187" s="12"/>
      <c r="BDW187" s="11"/>
      <c r="BDX187" s="12"/>
      <c r="BEG187" s="11"/>
      <c r="BEH187" s="12"/>
      <c r="BEQ187" s="11"/>
      <c r="BER187" s="12"/>
      <c r="BFA187" s="11"/>
      <c r="BFB187" s="12"/>
      <c r="BFK187" s="11"/>
      <c r="BFL187" s="12"/>
      <c r="BFU187" s="11"/>
      <c r="BFV187" s="12"/>
      <c r="BGE187" s="11"/>
      <c r="BGF187" s="12"/>
      <c r="BGO187" s="11"/>
      <c r="BGP187" s="12"/>
      <c r="BGY187" s="11"/>
      <c r="BGZ187" s="12"/>
      <c r="BHI187" s="11"/>
      <c r="BHJ187" s="12"/>
      <c r="BHS187" s="11"/>
      <c r="BHT187" s="12"/>
      <c r="BIC187" s="11"/>
      <c r="BID187" s="12"/>
      <c r="BIM187" s="11"/>
      <c r="BIN187" s="12"/>
      <c r="BIW187" s="11"/>
      <c r="BIX187" s="12"/>
      <c r="BJG187" s="11"/>
      <c r="BJH187" s="12"/>
      <c r="BJQ187" s="11"/>
      <c r="BJR187" s="12"/>
      <c r="BKA187" s="11"/>
      <c r="BKB187" s="12"/>
      <c r="BKK187" s="11"/>
      <c r="BKL187" s="12"/>
      <c r="BKU187" s="11"/>
      <c r="BKV187" s="12"/>
      <c r="BLE187" s="11"/>
      <c r="BLF187" s="12"/>
      <c r="BLO187" s="11"/>
      <c r="BLP187" s="12"/>
      <c r="BLY187" s="11"/>
      <c r="BLZ187" s="12"/>
      <c r="BMI187" s="11"/>
      <c r="BMJ187" s="12"/>
      <c r="BMS187" s="11"/>
      <c r="BMT187" s="12"/>
      <c r="BNC187" s="11"/>
      <c r="BND187" s="12"/>
      <c r="BNM187" s="11"/>
      <c r="BNN187" s="12"/>
      <c r="BNW187" s="11"/>
      <c r="BNX187" s="12"/>
      <c r="BOG187" s="11"/>
      <c r="BOH187" s="12"/>
      <c r="BOQ187" s="11"/>
      <c r="BOR187" s="12"/>
      <c r="BPA187" s="11"/>
      <c r="BPB187" s="12"/>
      <c r="BPK187" s="11"/>
      <c r="BPL187" s="12"/>
      <c r="BPU187" s="11"/>
      <c r="BPV187" s="12"/>
      <c r="BQE187" s="11"/>
      <c r="BQF187" s="12"/>
      <c r="BQO187" s="11"/>
      <c r="BQP187" s="12"/>
      <c r="BQY187" s="11"/>
      <c r="BQZ187" s="12"/>
      <c r="BRI187" s="11"/>
      <c r="BRJ187" s="12"/>
      <c r="BRS187" s="11"/>
      <c r="BRT187" s="12"/>
      <c r="BSC187" s="11"/>
      <c r="BSD187" s="12"/>
      <c r="BSM187" s="11"/>
      <c r="BSN187" s="12"/>
      <c r="BSW187" s="11"/>
      <c r="BSX187" s="12"/>
      <c r="BTG187" s="11"/>
      <c r="BTH187" s="12"/>
      <c r="BTQ187" s="11"/>
      <c r="BTR187" s="12"/>
      <c r="BUA187" s="11"/>
      <c r="BUB187" s="12"/>
      <c r="BUK187" s="11"/>
      <c r="BUL187" s="12"/>
      <c r="BUU187" s="11"/>
      <c r="BUV187" s="12"/>
      <c r="BVE187" s="11"/>
      <c r="BVF187" s="12"/>
      <c r="BVO187" s="11"/>
      <c r="BVP187" s="12"/>
      <c r="BVY187" s="11"/>
      <c r="BVZ187" s="12"/>
      <c r="BWI187" s="11"/>
      <c r="BWJ187" s="12"/>
      <c r="BWS187" s="11"/>
      <c r="BWT187" s="12"/>
      <c r="BXC187" s="11"/>
      <c r="BXD187" s="12"/>
      <c r="BXM187" s="11"/>
      <c r="BXN187" s="12"/>
      <c r="BXW187" s="11"/>
      <c r="BXX187" s="12"/>
      <c r="BYG187" s="11"/>
      <c r="BYH187" s="12"/>
      <c r="BYQ187" s="11"/>
      <c r="BYR187" s="12"/>
      <c r="BZA187" s="11"/>
      <c r="BZB187" s="12"/>
      <c r="BZK187" s="11"/>
      <c r="BZL187" s="12"/>
      <c r="BZU187" s="11"/>
      <c r="BZV187" s="12"/>
      <c r="CAE187" s="11"/>
      <c r="CAF187" s="12"/>
      <c r="CAO187" s="11"/>
      <c r="CAP187" s="12"/>
      <c r="CAY187" s="11"/>
      <c r="CAZ187" s="12"/>
      <c r="CBI187" s="11"/>
      <c r="CBJ187" s="12"/>
      <c r="CBS187" s="11"/>
      <c r="CBT187" s="12"/>
      <c r="CCC187" s="11"/>
      <c r="CCD187" s="12"/>
      <c r="CCM187" s="11"/>
      <c r="CCN187" s="12"/>
      <c r="CCW187" s="11"/>
      <c r="CCX187" s="12"/>
      <c r="CDG187" s="11"/>
      <c r="CDH187" s="12"/>
      <c r="CDQ187" s="11"/>
      <c r="CDR187" s="12"/>
      <c r="CEA187" s="11"/>
      <c r="CEB187" s="12"/>
      <c r="CEK187" s="11"/>
      <c r="CEL187" s="12"/>
      <c r="CEU187" s="11"/>
      <c r="CEV187" s="12"/>
      <c r="CFE187" s="11"/>
      <c r="CFF187" s="12"/>
      <c r="CFO187" s="11"/>
      <c r="CFP187" s="12"/>
      <c r="CFY187" s="11"/>
      <c r="CFZ187" s="12"/>
      <c r="CGI187" s="11"/>
      <c r="CGJ187" s="12"/>
      <c r="CGS187" s="11"/>
      <c r="CGT187" s="12"/>
      <c r="CHC187" s="11"/>
      <c r="CHD187" s="12"/>
      <c r="CHM187" s="11"/>
      <c r="CHN187" s="12"/>
      <c r="CHW187" s="11"/>
      <c r="CHX187" s="12"/>
      <c r="CIG187" s="11"/>
      <c r="CIH187" s="12"/>
      <c r="CIQ187" s="11"/>
      <c r="CIR187" s="12"/>
      <c r="CJA187" s="11"/>
      <c r="CJB187" s="12"/>
      <c r="CJK187" s="11"/>
      <c r="CJL187" s="12"/>
      <c r="CJU187" s="11"/>
      <c r="CJV187" s="12"/>
      <c r="CKE187" s="11"/>
      <c r="CKF187" s="12"/>
      <c r="CKO187" s="11"/>
      <c r="CKP187" s="12"/>
      <c r="CKY187" s="11"/>
      <c r="CKZ187" s="12"/>
      <c r="CLI187" s="11"/>
      <c r="CLJ187" s="12"/>
      <c r="CLS187" s="11"/>
      <c r="CLT187" s="12"/>
      <c r="CMC187" s="11"/>
      <c r="CMD187" s="12"/>
      <c r="CMM187" s="11"/>
      <c r="CMN187" s="12"/>
      <c r="CMW187" s="11"/>
      <c r="CMX187" s="12"/>
      <c r="CNG187" s="11"/>
      <c r="CNH187" s="12"/>
      <c r="CNQ187" s="11"/>
      <c r="CNR187" s="12"/>
      <c r="COA187" s="11"/>
      <c r="COB187" s="12"/>
      <c r="COK187" s="11"/>
      <c r="COL187" s="12"/>
      <c r="COU187" s="11"/>
      <c r="COV187" s="12"/>
      <c r="CPE187" s="11"/>
      <c r="CPF187" s="12"/>
      <c r="CPO187" s="11"/>
      <c r="CPP187" s="12"/>
      <c r="CPY187" s="11"/>
      <c r="CPZ187" s="12"/>
      <c r="CQI187" s="11"/>
      <c r="CQJ187" s="12"/>
      <c r="CQS187" s="11"/>
      <c r="CQT187" s="12"/>
      <c r="CRC187" s="11"/>
      <c r="CRD187" s="12"/>
      <c r="CRM187" s="11"/>
      <c r="CRN187" s="12"/>
      <c r="CRW187" s="11"/>
      <c r="CRX187" s="12"/>
      <c r="CSG187" s="11"/>
      <c r="CSH187" s="12"/>
      <c r="CSQ187" s="11"/>
      <c r="CSR187" s="12"/>
      <c r="CTA187" s="11"/>
      <c r="CTB187" s="12"/>
      <c r="CTK187" s="11"/>
      <c r="CTL187" s="12"/>
      <c r="CTU187" s="11"/>
      <c r="CTV187" s="12"/>
      <c r="CUE187" s="11"/>
      <c r="CUF187" s="12"/>
      <c r="CUO187" s="11"/>
      <c r="CUP187" s="12"/>
      <c r="CUY187" s="11"/>
      <c r="CUZ187" s="12"/>
      <c r="CVI187" s="11"/>
      <c r="CVJ187" s="12"/>
      <c r="CVS187" s="11"/>
      <c r="CVT187" s="12"/>
      <c r="CWC187" s="11"/>
      <c r="CWD187" s="12"/>
      <c r="CWM187" s="11"/>
      <c r="CWN187" s="12"/>
      <c r="CWW187" s="11"/>
      <c r="CWX187" s="12"/>
      <c r="CXG187" s="11"/>
      <c r="CXH187" s="12"/>
      <c r="CXQ187" s="11"/>
      <c r="CXR187" s="12"/>
      <c r="CYA187" s="11"/>
      <c r="CYB187" s="12"/>
      <c r="CYK187" s="11"/>
      <c r="CYL187" s="12"/>
      <c r="CYU187" s="11"/>
      <c r="CYV187" s="12"/>
      <c r="CZE187" s="11"/>
      <c r="CZF187" s="12"/>
      <c r="CZO187" s="11"/>
      <c r="CZP187" s="12"/>
      <c r="CZY187" s="11"/>
      <c r="CZZ187" s="12"/>
      <c r="DAI187" s="11"/>
      <c r="DAJ187" s="12"/>
      <c r="DAS187" s="11"/>
      <c r="DAT187" s="12"/>
      <c r="DBC187" s="11"/>
      <c r="DBD187" s="12"/>
      <c r="DBM187" s="11"/>
      <c r="DBN187" s="12"/>
      <c r="DBW187" s="11"/>
      <c r="DBX187" s="12"/>
      <c r="DCG187" s="11"/>
      <c r="DCH187" s="12"/>
      <c r="DCQ187" s="11"/>
      <c r="DCR187" s="12"/>
      <c r="DDA187" s="11"/>
      <c r="DDB187" s="12"/>
      <c r="DDK187" s="11"/>
      <c r="DDL187" s="12"/>
      <c r="DDU187" s="11"/>
      <c r="DDV187" s="12"/>
      <c r="DEE187" s="11"/>
      <c r="DEF187" s="12"/>
      <c r="DEO187" s="11"/>
      <c r="DEP187" s="12"/>
      <c r="DEY187" s="11"/>
      <c r="DEZ187" s="12"/>
      <c r="DFI187" s="11"/>
      <c r="DFJ187" s="12"/>
      <c r="DFS187" s="11"/>
      <c r="DFT187" s="12"/>
      <c r="DGC187" s="11"/>
      <c r="DGD187" s="12"/>
      <c r="DGM187" s="11"/>
      <c r="DGN187" s="12"/>
      <c r="DGW187" s="11"/>
      <c r="DGX187" s="12"/>
      <c r="DHG187" s="11"/>
      <c r="DHH187" s="12"/>
      <c r="DHQ187" s="11"/>
      <c r="DHR187" s="12"/>
      <c r="DIA187" s="11"/>
      <c r="DIB187" s="12"/>
      <c r="DIK187" s="11"/>
      <c r="DIL187" s="12"/>
      <c r="DIU187" s="11"/>
      <c r="DIV187" s="12"/>
      <c r="DJE187" s="11"/>
      <c r="DJF187" s="12"/>
      <c r="DJO187" s="11"/>
      <c r="DJP187" s="12"/>
      <c r="DJY187" s="11"/>
      <c r="DJZ187" s="12"/>
      <c r="DKI187" s="11"/>
      <c r="DKJ187" s="12"/>
      <c r="DKS187" s="11"/>
      <c r="DKT187" s="12"/>
      <c r="DLC187" s="11"/>
      <c r="DLD187" s="12"/>
      <c r="DLM187" s="11"/>
      <c r="DLN187" s="12"/>
      <c r="DLW187" s="11"/>
      <c r="DLX187" s="12"/>
      <c r="DMG187" s="11"/>
      <c r="DMH187" s="12"/>
      <c r="DMQ187" s="11"/>
      <c r="DMR187" s="12"/>
      <c r="DNA187" s="11"/>
      <c r="DNB187" s="12"/>
      <c r="DNK187" s="11"/>
      <c r="DNL187" s="12"/>
      <c r="DNU187" s="11"/>
      <c r="DNV187" s="12"/>
      <c r="DOE187" s="11"/>
      <c r="DOF187" s="12"/>
      <c r="DOO187" s="11"/>
      <c r="DOP187" s="12"/>
      <c r="DOY187" s="11"/>
      <c r="DOZ187" s="12"/>
      <c r="DPI187" s="11"/>
      <c r="DPJ187" s="12"/>
      <c r="DPS187" s="11"/>
      <c r="DPT187" s="12"/>
      <c r="DQC187" s="11"/>
      <c r="DQD187" s="12"/>
      <c r="DQM187" s="11"/>
      <c r="DQN187" s="12"/>
      <c r="DQW187" s="11"/>
      <c r="DQX187" s="12"/>
      <c r="DRG187" s="11"/>
      <c r="DRH187" s="12"/>
      <c r="DRQ187" s="11"/>
      <c r="DRR187" s="12"/>
      <c r="DSA187" s="11"/>
      <c r="DSB187" s="12"/>
      <c r="DSK187" s="11"/>
      <c r="DSL187" s="12"/>
      <c r="DSU187" s="11"/>
      <c r="DSV187" s="12"/>
      <c r="DTE187" s="11"/>
      <c r="DTF187" s="12"/>
      <c r="DTO187" s="11"/>
      <c r="DTP187" s="12"/>
      <c r="DTY187" s="11"/>
      <c r="DTZ187" s="12"/>
      <c r="DUI187" s="11"/>
      <c r="DUJ187" s="12"/>
      <c r="DUS187" s="11"/>
      <c r="DUT187" s="12"/>
      <c r="DVC187" s="11"/>
      <c r="DVD187" s="12"/>
      <c r="DVM187" s="11"/>
      <c r="DVN187" s="12"/>
      <c r="DVW187" s="11"/>
      <c r="DVX187" s="12"/>
      <c r="DWG187" s="11"/>
      <c r="DWH187" s="12"/>
      <c r="DWQ187" s="11"/>
      <c r="DWR187" s="12"/>
      <c r="DXA187" s="11"/>
      <c r="DXB187" s="12"/>
      <c r="DXK187" s="11"/>
      <c r="DXL187" s="12"/>
      <c r="DXU187" s="11"/>
      <c r="DXV187" s="12"/>
      <c r="DYE187" s="11"/>
      <c r="DYF187" s="12"/>
      <c r="DYO187" s="11"/>
      <c r="DYP187" s="12"/>
      <c r="DYY187" s="11"/>
      <c r="DYZ187" s="12"/>
      <c r="DZI187" s="11"/>
      <c r="DZJ187" s="12"/>
      <c r="DZS187" s="11"/>
      <c r="DZT187" s="12"/>
      <c r="EAC187" s="11"/>
      <c r="EAD187" s="12"/>
      <c r="EAM187" s="11"/>
      <c r="EAN187" s="12"/>
      <c r="EAW187" s="11"/>
      <c r="EAX187" s="12"/>
      <c r="EBG187" s="11"/>
      <c r="EBH187" s="12"/>
      <c r="EBQ187" s="11"/>
      <c r="EBR187" s="12"/>
      <c r="ECA187" s="11"/>
      <c r="ECB187" s="12"/>
      <c r="ECK187" s="11"/>
      <c r="ECL187" s="12"/>
      <c r="ECU187" s="11"/>
      <c r="ECV187" s="12"/>
      <c r="EDE187" s="11"/>
      <c r="EDF187" s="12"/>
      <c r="EDO187" s="11"/>
      <c r="EDP187" s="12"/>
      <c r="EDY187" s="11"/>
      <c r="EDZ187" s="12"/>
      <c r="EEI187" s="11"/>
      <c r="EEJ187" s="12"/>
      <c r="EES187" s="11"/>
      <c r="EET187" s="12"/>
      <c r="EFC187" s="11"/>
      <c r="EFD187" s="12"/>
      <c r="EFM187" s="11"/>
      <c r="EFN187" s="12"/>
      <c r="EFW187" s="11"/>
      <c r="EFX187" s="12"/>
      <c r="EGG187" s="11"/>
      <c r="EGH187" s="12"/>
      <c r="EGQ187" s="11"/>
      <c r="EGR187" s="12"/>
      <c r="EHA187" s="11"/>
      <c r="EHB187" s="12"/>
      <c r="EHK187" s="11"/>
      <c r="EHL187" s="12"/>
      <c r="EHU187" s="11"/>
      <c r="EHV187" s="12"/>
      <c r="EIE187" s="11"/>
      <c r="EIF187" s="12"/>
      <c r="EIO187" s="11"/>
      <c r="EIP187" s="12"/>
      <c r="EIY187" s="11"/>
      <c r="EIZ187" s="12"/>
      <c r="EJI187" s="11"/>
      <c r="EJJ187" s="12"/>
      <c r="EJS187" s="11"/>
      <c r="EJT187" s="12"/>
      <c r="EKC187" s="11"/>
      <c r="EKD187" s="12"/>
      <c r="EKM187" s="11"/>
      <c r="EKN187" s="12"/>
      <c r="EKW187" s="11"/>
      <c r="EKX187" s="12"/>
      <c r="ELG187" s="11"/>
      <c r="ELH187" s="12"/>
      <c r="ELQ187" s="11"/>
      <c r="ELR187" s="12"/>
      <c r="EMA187" s="11"/>
      <c r="EMB187" s="12"/>
      <c r="EMK187" s="11"/>
      <c r="EML187" s="12"/>
      <c r="EMU187" s="11"/>
      <c r="EMV187" s="12"/>
      <c r="ENE187" s="11"/>
      <c r="ENF187" s="12"/>
      <c r="ENO187" s="11"/>
      <c r="ENP187" s="12"/>
      <c r="ENY187" s="11"/>
      <c r="ENZ187" s="12"/>
      <c r="EOI187" s="11"/>
      <c r="EOJ187" s="12"/>
      <c r="EOS187" s="11"/>
      <c r="EOT187" s="12"/>
      <c r="EPC187" s="11"/>
      <c r="EPD187" s="12"/>
      <c r="EPM187" s="11"/>
      <c r="EPN187" s="12"/>
      <c r="EPW187" s="11"/>
      <c r="EPX187" s="12"/>
      <c r="EQG187" s="11"/>
      <c r="EQH187" s="12"/>
      <c r="EQQ187" s="11"/>
      <c r="EQR187" s="12"/>
      <c r="ERA187" s="11"/>
      <c r="ERB187" s="12"/>
      <c r="ERK187" s="11"/>
      <c r="ERL187" s="12"/>
      <c r="ERU187" s="11"/>
      <c r="ERV187" s="12"/>
      <c r="ESE187" s="11"/>
      <c r="ESF187" s="12"/>
      <c r="ESO187" s="11"/>
      <c r="ESP187" s="12"/>
      <c r="ESY187" s="11"/>
      <c r="ESZ187" s="12"/>
      <c r="ETI187" s="11"/>
      <c r="ETJ187" s="12"/>
      <c r="ETS187" s="11"/>
      <c r="ETT187" s="12"/>
      <c r="EUC187" s="11"/>
      <c r="EUD187" s="12"/>
      <c r="EUM187" s="11"/>
      <c r="EUN187" s="12"/>
      <c r="EUW187" s="11"/>
      <c r="EUX187" s="12"/>
      <c r="EVG187" s="11"/>
      <c r="EVH187" s="12"/>
      <c r="EVQ187" s="11"/>
      <c r="EVR187" s="12"/>
      <c r="EWA187" s="11"/>
      <c r="EWB187" s="12"/>
      <c r="EWK187" s="11"/>
      <c r="EWL187" s="12"/>
      <c r="EWU187" s="11"/>
      <c r="EWV187" s="12"/>
      <c r="EXE187" s="11"/>
      <c r="EXF187" s="12"/>
      <c r="EXO187" s="11"/>
      <c r="EXP187" s="12"/>
      <c r="EXY187" s="11"/>
      <c r="EXZ187" s="12"/>
      <c r="EYI187" s="11"/>
      <c r="EYJ187" s="12"/>
      <c r="EYS187" s="11"/>
      <c r="EYT187" s="12"/>
      <c r="EZC187" s="11"/>
      <c r="EZD187" s="12"/>
      <c r="EZM187" s="11"/>
      <c r="EZN187" s="12"/>
      <c r="EZW187" s="11"/>
      <c r="EZX187" s="12"/>
      <c r="FAG187" s="11"/>
      <c r="FAH187" s="12"/>
      <c r="FAQ187" s="11"/>
      <c r="FAR187" s="12"/>
      <c r="FBA187" s="11"/>
      <c r="FBB187" s="12"/>
      <c r="FBK187" s="11"/>
      <c r="FBL187" s="12"/>
      <c r="FBU187" s="11"/>
      <c r="FBV187" s="12"/>
      <c r="FCE187" s="11"/>
      <c r="FCF187" s="12"/>
      <c r="FCO187" s="11"/>
      <c r="FCP187" s="12"/>
      <c r="FCY187" s="11"/>
      <c r="FCZ187" s="12"/>
      <c r="FDI187" s="11"/>
      <c r="FDJ187" s="12"/>
      <c r="FDS187" s="11"/>
      <c r="FDT187" s="12"/>
      <c r="FEC187" s="11"/>
      <c r="FED187" s="12"/>
      <c r="FEM187" s="11"/>
      <c r="FEN187" s="12"/>
      <c r="FEW187" s="11"/>
      <c r="FEX187" s="12"/>
      <c r="FFG187" s="11"/>
      <c r="FFH187" s="12"/>
      <c r="FFQ187" s="11"/>
      <c r="FFR187" s="12"/>
      <c r="FGA187" s="11"/>
      <c r="FGB187" s="12"/>
      <c r="FGK187" s="11"/>
      <c r="FGL187" s="12"/>
      <c r="FGU187" s="11"/>
      <c r="FGV187" s="12"/>
      <c r="FHE187" s="11"/>
      <c r="FHF187" s="12"/>
      <c r="FHO187" s="11"/>
      <c r="FHP187" s="12"/>
      <c r="FHY187" s="11"/>
      <c r="FHZ187" s="12"/>
      <c r="FII187" s="11"/>
      <c r="FIJ187" s="12"/>
      <c r="FIS187" s="11"/>
      <c r="FIT187" s="12"/>
      <c r="FJC187" s="11"/>
      <c r="FJD187" s="12"/>
      <c r="FJM187" s="11"/>
      <c r="FJN187" s="12"/>
      <c r="FJW187" s="11"/>
      <c r="FJX187" s="12"/>
      <c r="FKG187" s="11"/>
      <c r="FKH187" s="12"/>
      <c r="FKQ187" s="11"/>
      <c r="FKR187" s="12"/>
      <c r="FLA187" s="11"/>
      <c r="FLB187" s="12"/>
      <c r="FLK187" s="11"/>
      <c r="FLL187" s="12"/>
      <c r="FLU187" s="11"/>
      <c r="FLV187" s="12"/>
      <c r="FME187" s="11"/>
      <c r="FMF187" s="12"/>
      <c r="FMO187" s="11"/>
      <c r="FMP187" s="12"/>
      <c r="FMY187" s="11"/>
      <c r="FMZ187" s="12"/>
      <c r="FNI187" s="11"/>
      <c r="FNJ187" s="12"/>
      <c r="FNS187" s="11"/>
      <c r="FNT187" s="12"/>
      <c r="FOC187" s="11"/>
      <c r="FOD187" s="12"/>
      <c r="FOM187" s="11"/>
      <c r="FON187" s="12"/>
      <c r="FOW187" s="11"/>
      <c r="FOX187" s="12"/>
      <c r="FPG187" s="11"/>
      <c r="FPH187" s="12"/>
      <c r="FPQ187" s="11"/>
      <c r="FPR187" s="12"/>
      <c r="FQA187" s="11"/>
      <c r="FQB187" s="12"/>
      <c r="FQK187" s="11"/>
      <c r="FQL187" s="12"/>
      <c r="FQU187" s="11"/>
      <c r="FQV187" s="12"/>
      <c r="FRE187" s="11"/>
      <c r="FRF187" s="12"/>
      <c r="FRO187" s="11"/>
      <c r="FRP187" s="12"/>
      <c r="FRY187" s="11"/>
      <c r="FRZ187" s="12"/>
      <c r="FSI187" s="11"/>
      <c r="FSJ187" s="12"/>
      <c r="FSS187" s="11"/>
      <c r="FST187" s="12"/>
      <c r="FTC187" s="11"/>
      <c r="FTD187" s="12"/>
      <c r="FTM187" s="11"/>
      <c r="FTN187" s="12"/>
      <c r="FTW187" s="11"/>
      <c r="FTX187" s="12"/>
      <c r="FUG187" s="11"/>
      <c r="FUH187" s="12"/>
      <c r="FUQ187" s="11"/>
      <c r="FUR187" s="12"/>
      <c r="FVA187" s="11"/>
      <c r="FVB187" s="12"/>
      <c r="FVK187" s="11"/>
      <c r="FVL187" s="12"/>
      <c r="FVU187" s="11"/>
      <c r="FVV187" s="12"/>
      <c r="FWE187" s="11"/>
      <c r="FWF187" s="12"/>
      <c r="FWO187" s="11"/>
      <c r="FWP187" s="12"/>
      <c r="FWY187" s="11"/>
      <c r="FWZ187" s="12"/>
      <c r="FXI187" s="11"/>
      <c r="FXJ187" s="12"/>
      <c r="FXS187" s="11"/>
      <c r="FXT187" s="12"/>
      <c r="FYC187" s="11"/>
      <c r="FYD187" s="12"/>
      <c r="FYM187" s="11"/>
      <c r="FYN187" s="12"/>
      <c r="FYW187" s="11"/>
      <c r="FYX187" s="12"/>
      <c r="FZG187" s="11"/>
      <c r="FZH187" s="12"/>
      <c r="FZQ187" s="11"/>
      <c r="FZR187" s="12"/>
      <c r="GAA187" s="11"/>
      <c r="GAB187" s="12"/>
      <c r="GAK187" s="11"/>
      <c r="GAL187" s="12"/>
      <c r="GAU187" s="11"/>
      <c r="GAV187" s="12"/>
      <c r="GBE187" s="11"/>
      <c r="GBF187" s="12"/>
      <c r="GBO187" s="11"/>
      <c r="GBP187" s="12"/>
      <c r="GBY187" s="11"/>
      <c r="GBZ187" s="12"/>
      <c r="GCI187" s="11"/>
      <c r="GCJ187" s="12"/>
      <c r="GCS187" s="11"/>
      <c r="GCT187" s="12"/>
      <c r="GDC187" s="11"/>
      <c r="GDD187" s="12"/>
      <c r="GDM187" s="11"/>
      <c r="GDN187" s="12"/>
      <c r="GDW187" s="11"/>
      <c r="GDX187" s="12"/>
      <c r="GEG187" s="11"/>
      <c r="GEH187" s="12"/>
      <c r="GEQ187" s="11"/>
      <c r="GER187" s="12"/>
      <c r="GFA187" s="11"/>
      <c r="GFB187" s="12"/>
      <c r="GFK187" s="11"/>
      <c r="GFL187" s="12"/>
      <c r="GFU187" s="11"/>
      <c r="GFV187" s="12"/>
      <c r="GGE187" s="11"/>
      <c r="GGF187" s="12"/>
      <c r="GGO187" s="11"/>
      <c r="GGP187" s="12"/>
      <c r="GGY187" s="11"/>
      <c r="GGZ187" s="12"/>
      <c r="GHI187" s="11"/>
      <c r="GHJ187" s="12"/>
      <c r="GHS187" s="11"/>
      <c r="GHT187" s="12"/>
      <c r="GIC187" s="11"/>
      <c r="GID187" s="12"/>
      <c r="GIM187" s="11"/>
      <c r="GIN187" s="12"/>
      <c r="GIW187" s="11"/>
      <c r="GIX187" s="12"/>
      <c r="GJG187" s="11"/>
      <c r="GJH187" s="12"/>
      <c r="GJQ187" s="11"/>
      <c r="GJR187" s="12"/>
      <c r="GKA187" s="11"/>
      <c r="GKB187" s="12"/>
      <c r="GKK187" s="11"/>
      <c r="GKL187" s="12"/>
      <c r="GKU187" s="11"/>
      <c r="GKV187" s="12"/>
      <c r="GLE187" s="11"/>
      <c r="GLF187" s="12"/>
      <c r="GLO187" s="11"/>
      <c r="GLP187" s="12"/>
      <c r="GLY187" s="11"/>
      <c r="GLZ187" s="12"/>
      <c r="GMI187" s="11"/>
      <c r="GMJ187" s="12"/>
      <c r="GMS187" s="11"/>
      <c r="GMT187" s="12"/>
      <c r="GNC187" s="11"/>
      <c r="GND187" s="12"/>
      <c r="GNM187" s="11"/>
      <c r="GNN187" s="12"/>
      <c r="GNW187" s="11"/>
      <c r="GNX187" s="12"/>
      <c r="GOG187" s="11"/>
      <c r="GOH187" s="12"/>
      <c r="GOQ187" s="11"/>
      <c r="GOR187" s="12"/>
      <c r="GPA187" s="11"/>
      <c r="GPB187" s="12"/>
      <c r="GPK187" s="11"/>
      <c r="GPL187" s="12"/>
      <c r="GPU187" s="11"/>
      <c r="GPV187" s="12"/>
      <c r="GQE187" s="11"/>
      <c r="GQF187" s="12"/>
      <c r="GQO187" s="11"/>
      <c r="GQP187" s="12"/>
      <c r="GQY187" s="11"/>
      <c r="GQZ187" s="12"/>
      <c r="GRI187" s="11"/>
      <c r="GRJ187" s="12"/>
      <c r="GRS187" s="11"/>
      <c r="GRT187" s="12"/>
      <c r="GSC187" s="11"/>
      <c r="GSD187" s="12"/>
      <c r="GSM187" s="11"/>
      <c r="GSN187" s="12"/>
      <c r="GSW187" s="11"/>
      <c r="GSX187" s="12"/>
      <c r="GTG187" s="11"/>
      <c r="GTH187" s="12"/>
      <c r="GTQ187" s="11"/>
      <c r="GTR187" s="12"/>
      <c r="GUA187" s="11"/>
      <c r="GUB187" s="12"/>
      <c r="GUK187" s="11"/>
      <c r="GUL187" s="12"/>
      <c r="GUU187" s="11"/>
      <c r="GUV187" s="12"/>
      <c r="GVE187" s="11"/>
      <c r="GVF187" s="12"/>
      <c r="GVO187" s="11"/>
      <c r="GVP187" s="12"/>
      <c r="GVY187" s="11"/>
      <c r="GVZ187" s="12"/>
      <c r="GWI187" s="11"/>
      <c r="GWJ187" s="12"/>
      <c r="GWS187" s="11"/>
      <c r="GWT187" s="12"/>
      <c r="GXC187" s="11"/>
      <c r="GXD187" s="12"/>
      <c r="GXM187" s="11"/>
      <c r="GXN187" s="12"/>
      <c r="GXW187" s="11"/>
      <c r="GXX187" s="12"/>
      <c r="GYG187" s="11"/>
      <c r="GYH187" s="12"/>
      <c r="GYQ187" s="11"/>
      <c r="GYR187" s="12"/>
      <c r="GZA187" s="11"/>
      <c r="GZB187" s="12"/>
      <c r="GZK187" s="11"/>
      <c r="GZL187" s="12"/>
      <c r="GZU187" s="11"/>
      <c r="GZV187" s="12"/>
      <c r="HAE187" s="11"/>
      <c r="HAF187" s="12"/>
      <c r="HAO187" s="11"/>
      <c r="HAP187" s="12"/>
      <c r="HAY187" s="11"/>
      <c r="HAZ187" s="12"/>
      <c r="HBI187" s="11"/>
      <c r="HBJ187" s="12"/>
      <c r="HBS187" s="11"/>
      <c r="HBT187" s="12"/>
      <c r="HCC187" s="11"/>
      <c r="HCD187" s="12"/>
      <c r="HCM187" s="11"/>
      <c r="HCN187" s="12"/>
      <c r="HCW187" s="11"/>
      <c r="HCX187" s="12"/>
      <c r="HDG187" s="11"/>
      <c r="HDH187" s="12"/>
      <c r="HDQ187" s="11"/>
      <c r="HDR187" s="12"/>
      <c r="HEA187" s="11"/>
      <c r="HEB187" s="12"/>
      <c r="HEK187" s="11"/>
      <c r="HEL187" s="12"/>
      <c r="HEU187" s="11"/>
      <c r="HEV187" s="12"/>
      <c r="HFE187" s="11"/>
      <c r="HFF187" s="12"/>
      <c r="HFO187" s="11"/>
      <c r="HFP187" s="12"/>
      <c r="HFY187" s="11"/>
      <c r="HFZ187" s="12"/>
      <c r="HGI187" s="11"/>
      <c r="HGJ187" s="12"/>
      <c r="HGS187" s="11"/>
      <c r="HGT187" s="12"/>
      <c r="HHC187" s="11"/>
      <c r="HHD187" s="12"/>
      <c r="HHM187" s="11"/>
      <c r="HHN187" s="12"/>
      <c r="HHW187" s="11"/>
      <c r="HHX187" s="12"/>
      <c r="HIG187" s="11"/>
      <c r="HIH187" s="12"/>
      <c r="HIQ187" s="11"/>
      <c r="HIR187" s="12"/>
      <c r="HJA187" s="11"/>
      <c r="HJB187" s="12"/>
      <c r="HJK187" s="11"/>
      <c r="HJL187" s="12"/>
      <c r="HJU187" s="11"/>
      <c r="HJV187" s="12"/>
      <c r="HKE187" s="11"/>
      <c r="HKF187" s="12"/>
      <c r="HKO187" s="11"/>
      <c r="HKP187" s="12"/>
      <c r="HKY187" s="11"/>
      <c r="HKZ187" s="12"/>
      <c r="HLI187" s="11"/>
      <c r="HLJ187" s="12"/>
      <c r="HLS187" s="11"/>
      <c r="HLT187" s="12"/>
      <c r="HMC187" s="11"/>
      <c r="HMD187" s="12"/>
      <c r="HMM187" s="11"/>
      <c r="HMN187" s="12"/>
      <c r="HMW187" s="11"/>
      <c r="HMX187" s="12"/>
      <c r="HNG187" s="11"/>
      <c r="HNH187" s="12"/>
      <c r="HNQ187" s="11"/>
      <c r="HNR187" s="12"/>
      <c r="HOA187" s="11"/>
      <c r="HOB187" s="12"/>
      <c r="HOK187" s="11"/>
      <c r="HOL187" s="12"/>
      <c r="HOU187" s="11"/>
      <c r="HOV187" s="12"/>
      <c r="HPE187" s="11"/>
      <c r="HPF187" s="12"/>
      <c r="HPO187" s="11"/>
      <c r="HPP187" s="12"/>
      <c r="HPY187" s="11"/>
      <c r="HPZ187" s="12"/>
      <c r="HQI187" s="11"/>
      <c r="HQJ187" s="12"/>
      <c r="HQS187" s="11"/>
      <c r="HQT187" s="12"/>
      <c r="HRC187" s="11"/>
      <c r="HRD187" s="12"/>
      <c r="HRM187" s="11"/>
      <c r="HRN187" s="12"/>
      <c r="HRW187" s="11"/>
      <c r="HRX187" s="12"/>
      <c r="HSG187" s="11"/>
      <c r="HSH187" s="12"/>
      <c r="HSQ187" s="11"/>
      <c r="HSR187" s="12"/>
      <c r="HTA187" s="11"/>
      <c r="HTB187" s="12"/>
      <c r="HTK187" s="11"/>
      <c r="HTL187" s="12"/>
      <c r="HTU187" s="11"/>
      <c r="HTV187" s="12"/>
      <c r="HUE187" s="11"/>
      <c r="HUF187" s="12"/>
      <c r="HUO187" s="11"/>
      <c r="HUP187" s="12"/>
      <c r="HUY187" s="11"/>
      <c r="HUZ187" s="12"/>
      <c r="HVI187" s="11"/>
      <c r="HVJ187" s="12"/>
      <c r="HVS187" s="11"/>
      <c r="HVT187" s="12"/>
      <c r="HWC187" s="11"/>
      <c r="HWD187" s="12"/>
      <c r="HWM187" s="11"/>
      <c r="HWN187" s="12"/>
      <c r="HWW187" s="11"/>
      <c r="HWX187" s="12"/>
      <c r="HXG187" s="11"/>
      <c r="HXH187" s="12"/>
      <c r="HXQ187" s="11"/>
      <c r="HXR187" s="12"/>
      <c r="HYA187" s="11"/>
      <c r="HYB187" s="12"/>
      <c r="HYK187" s="11"/>
      <c r="HYL187" s="12"/>
      <c r="HYU187" s="11"/>
      <c r="HYV187" s="12"/>
      <c r="HZE187" s="11"/>
      <c r="HZF187" s="12"/>
      <c r="HZO187" s="11"/>
      <c r="HZP187" s="12"/>
      <c r="HZY187" s="11"/>
      <c r="HZZ187" s="12"/>
      <c r="IAI187" s="11"/>
      <c r="IAJ187" s="12"/>
      <c r="IAS187" s="11"/>
      <c r="IAT187" s="12"/>
      <c r="IBC187" s="11"/>
      <c r="IBD187" s="12"/>
      <c r="IBM187" s="11"/>
      <c r="IBN187" s="12"/>
      <c r="IBW187" s="11"/>
      <c r="IBX187" s="12"/>
      <c r="ICG187" s="11"/>
      <c r="ICH187" s="12"/>
      <c r="ICQ187" s="11"/>
      <c r="ICR187" s="12"/>
      <c r="IDA187" s="11"/>
      <c r="IDB187" s="12"/>
      <c r="IDK187" s="11"/>
      <c r="IDL187" s="12"/>
      <c r="IDU187" s="11"/>
      <c r="IDV187" s="12"/>
      <c r="IEE187" s="11"/>
      <c r="IEF187" s="12"/>
      <c r="IEO187" s="11"/>
      <c r="IEP187" s="12"/>
      <c r="IEY187" s="11"/>
      <c r="IEZ187" s="12"/>
      <c r="IFI187" s="11"/>
      <c r="IFJ187" s="12"/>
      <c r="IFS187" s="11"/>
      <c r="IFT187" s="12"/>
      <c r="IGC187" s="11"/>
      <c r="IGD187" s="12"/>
      <c r="IGM187" s="11"/>
      <c r="IGN187" s="12"/>
      <c r="IGW187" s="11"/>
      <c r="IGX187" s="12"/>
      <c r="IHG187" s="11"/>
      <c r="IHH187" s="12"/>
      <c r="IHQ187" s="11"/>
      <c r="IHR187" s="12"/>
      <c r="IIA187" s="11"/>
      <c r="IIB187" s="12"/>
      <c r="IIK187" s="11"/>
      <c r="IIL187" s="12"/>
      <c r="IIU187" s="11"/>
      <c r="IIV187" s="12"/>
      <c r="IJE187" s="11"/>
      <c r="IJF187" s="12"/>
      <c r="IJO187" s="11"/>
      <c r="IJP187" s="12"/>
      <c r="IJY187" s="11"/>
      <c r="IJZ187" s="12"/>
      <c r="IKI187" s="11"/>
      <c r="IKJ187" s="12"/>
      <c r="IKS187" s="11"/>
      <c r="IKT187" s="12"/>
      <c r="ILC187" s="11"/>
      <c r="ILD187" s="12"/>
      <c r="ILM187" s="11"/>
      <c r="ILN187" s="12"/>
      <c r="ILW187" s="11"/>
      <c r="ILX187" s="12"/>
      <c r="IMG187" s="11"/>
      <c r="IMH187" s="12"/>
      <c r="IMQ187" s="11"/>
      <c r="IMR187" s="12"/>
      <c r="INA187" s="11"/>
      <c r="INB187" s="12"/>
      <c r="INK187" s="11"/>
      <c r="INL187" s="12"/>
      <c r="INU187" s="11"/>
      <c r="INV187" s="12"/>
      <c r="IOE187" s="11"/>
      <c r="IOF187" s="12"/>
      <c r="IOO187" s="11"/>
      <c r="IOP187" s="12"/>
      <c r="IOY187" s="11"/>
      <c r="IOZ187" s="12"/>
      <c r="IPI187" s="11"/>
      <c r="IPJ187" s="12"/>
      <c r="IPS187" s="11"/>
      <c r="IPT187" s="12"/>
      <c r="IQC187" s="11"/>
      <c r="IQD187" s="12"/>
      <c r="IQM187" s="11"/>
      <c r="IQN187" s="12"/>
      <c r="IQW187" s="11"/>
      <c r="IQX187" s="12"/>
      <c r="IRG187" s="11"/>
      <c r="IRH187" s="12"/>
      <c r="IRQ187" s="11"/>
      <c r="IRR187" s="12"/>
      <c r="ISA187" s="11"/>
      <c r="ISB187" s="12"/>
      <c r="ISK187" s="11"/>
      <c r="ISL187" s="12"/>
      <c r="ISU187" s="11"/>
      <c r="ISV187" s="12"/>
      <c r="ITE187" s="11"/>
      <c r="ITF187" s="12"/>
      <c r="ITO187" s="11"/>
      <c r="ITP187" s="12"/>
      <c r="ITY187" s="11"/>
      <c r="ITZ187" s="12"/>
      <c r="IUI187" s="11"/>
      <c r="IUJ187" s="12"/>
      <c r="IUS187" s="11"/>
      <c r="IUT187" s="12"/>
      <c r="IVC187" s="11"/>
      <c r="IVD187" s="12"/>
      <c r="IVM187" s="11"/>
      <c r="IVN187" s="12"/>
      <c r="IVW187" s="11"/>
      <c r="IVX187" s="12"/>
      <c r="IWG187" s="11"/>
      <c r="IWH187" s="12"/>
      <c r="IWQ187" s="11"/>
      <c r="IWR187" s="12"/>
      <c r="IXA187" s="11"/>
      <c r="IXB187" s="12"/>
      <c r="IXK187" s="11"/>
      <c r="IXL187" s="12"/>
      <c r="IXU187" s="11"/>
      <c r="IXV187" s="12"/>
      <c r="IYE187" s="11"/>
      <c r="IYF187" s="12"/>
      <c r="IYO187" s="11"/>
      <c r="IYP187" s="12"/>
      <c r="IYY187" s="11"/>
      <c r="IYZ187" s="12"/>
      <c r="IZI187" s="11"/>
      <c r="IZJ187" s="12"/>
      <c r="IZS187" s="11"/>
      <c r="IZT187" s="12"/>
      <c r="JAC187" s="11"/>
      <c r="JAD187" s="12"/>
      <c r="JAM187" s="11"/>
      <c r="JAN187" s="12"/>
      <c r="JAW187" s="11"/>
      <c r="JAX187" s="12"/>
      <c r="JBG187" s="11"/>
      <c r="JBH187" s="12"/>
      <c r="JBQ187" s="11"/>
      <c r="JBR187" s="12"/>
      <c r="JCA187" s="11"/>
      <c r="JCB187" s="12"/>
      <c r="JCK187" s="11"/>
      <c r="JCL187" s="12"/>
      <c r="JCU187" s="11"/>
      <c r="JCV187" s="12"/>
      <c r="JDE187" s="11"/>
      <c r="JDF187" s="12"/>
      <c r="JDO187" s="11"/>
      <c r="JDP187" s="12"/>
      <c r="JDY187" s="11"/>
      <c r="JDZ187" s="12"/>
      <c r="JEI187" s="11"/>
      <c r="JEJ187" s="12"/>
      <c r="JES187" s="11"/>
      <c r="JET187" s="12"/>
      <c r="JFC187" s="11"/>
      <c r="JFD187" s="12"/>
      <c r="JFM187" s="11"/>
      <c r="JFN187" s="12"/>
      <c r="JFW187" s="11"/>
      <c r="JFX187" s="12"/>
      <c r="JGG187" s="11"/>
      <c r="JGH187" s="12"/>
      <c r="JGQ187" s="11"/>
      <c r="JGR187" s="12"/>
      <c r="JHA187" s="11"/>
      <c r="JHB187" s="12"/>
      <c r="JHK187" s="11"/>
      <c r="JHL187" s="12"/>
      <c r="JHU187" s="11"/>
      <c r="JHV187" s="12"/>
      <c r="JIE187" s="11"/>
      <c r="JIF187" s="12"/>
      <c r="JIO187" s="11"/>
      <c r="JIP187" s="12"/>
      <c r="JIY187" s="11"/>
      <c r="JIZ187" s="12"/>
      <c r="JJI187" s="11"/>
      <c r="JJJ187" s="12"/>
      <c r="JJS187" s="11"/>
      <c r="JJT187" s="12"/>
      <c r="JKC187" s="11"/>
      <c r="JKD187" s="12"/>
      <c r="JKM187" s="11"/>
      <c r="JKN187" s="12"/>
      <c r="JKW187" s="11"/>
      <c r="JKX187" s="12"/>
      <c r="JLG187" s="11"/>
      <c r="JLH187" s="12"/>
      <c r="JLQ187" s="11"/>
      <c r="JLR187" s="12"/>
      <c r="JMA187" s="11"/>
      <c r="JMB187" s="12"/>
      <c r="JMK187" s="11"/>
      <c r="JML187" s="12"/>
      <c r="JMU187" s="11"/>
      <c r="JMV187" s="12"/>
      <c r="JNE187" s="11"/>
      <c r="JNF187" s="12"/>
      <c r="JNO187" s="11"/>
      <c r="JNP187" s="12"/>
      <c r="JNY187" s="11"/>
      <c r="JNZ187" s="12"/>
      <c r="JOI187" s="11"/>
      <c r="JOJ187" s="12"/>
      <c r="JOS187" s="11"/>
      <c r="JOT187" s="12"/>
      <c r="JPC187" s="11"/>
      <c r="JPD187" s="12"/>
      <c r="JPM187" s="11"/>
      <c r="JPN187" s="12"/>
      <c r="JPW187" s="11"/>
      <c r="JPX187" s="12"/>
      <c r="JQG187" s="11"/>
      <c r="JQH187" s="12"/>
      <c r="JQQ187" s="11"/>
      <c r="JQR187" s="12"/>
      <c r="JRA187" s="11"/>
      <c r="JRB187" s="12"/>
      <c r="JRK187" s="11"/>
      <c r="JRL187" s="12"/>
      <c r="JRU187" s="11"/>
      <c r="JRV187" s="12"/>
      <c r="JSE187" s="11"/>
      <c r="JSF187" s="12"/>
      <c r="JSO187" s="11"/>
      <c r="JSP187" s="12"/>
      <c r="JSY187" s="11"/>
      <c r="JSZ187" s="12"/>
      <c r="JTI187" s="11"/>
      <c r="JTJ187" s="12"/>
      <c r="JTS187" s="11"/>
      <c r="JTT187" s="12"/>
      <c r="JUC187" s="11"/>
      <c r="JUD187" s="12"/>
      <c r="JUM187" s="11"/>
      <c r="JUN187" s="12"/>
      <c r="JUW187" s="11"/>
      <c r="JUX187" s="12"/>
      <c r="JVG187" s="11"/>
      <c r="JVH187" s="12"/>
      <c r="JVQ187" s="11"/>
      <c r="JVR187" s="12"/>
      <c r="JWA187" s="11"/>
      <c r="JWB187" s="12"/>
      <c r="JWK187" s="11"/>
      <c r="JWL187" s="12"/>
      <c r="JWU187" s="11"/>
      <c r="JWV187" s="12"/>
      <c r="JXE187" s="11"/>
      <c r="JXF187" s="12"/>
      <c r="JXO187" s="11"/>
      <c r="JXP187" s="12"/>
      <c r="JXY187" s="11"/>
      <c r="JXZ187" s="12"/>
      <c r="JYI187" s="11"/>
      <c r="JYJ187" s="12"/>
      <c r="JYS187" s="11"/>
      <c r="JYT187" s="12"/>
      <c r="JZC187" s="11"/>
      <c r="JZD187" s="12"/>
      <c r="JZM187" s="11"/>
      <c r="JZN187" s="12"/>
      <c r="JZW187" s="11"/>
      <c r="JZX187" s="12"/>
      <c r="KAG187" s="11"/>
      <c r="KAH187" s="12"/>
      <c r="KAQ187" s="11"/>
      <c r="KAR187" s="12"/>
      <c r="KBA187" s="11"/>
      <c r="KBB187" s="12"/>
      <c r="KBK187" s="11"/>
      <c r="KBL187" s="12"/>
      <c r="KBU187" s="11"/>
      <c r="KBV187" s="12"/>
      <c r="KCE187" s="11"/>
      <c r="KCF187" s="12"/>
      <c r="KCO187" s="11"/>
      <c r="KCP187" s="12"/>
      <c r="KCY187" s="11"/>
      <c r="KCZ187" s="12"/>
      <c r="KDI187" s="11"/>
      <c r="KDJ187" s="12"/>
      <c r="KDS187" s="11"/>
      <c r="KDT187" s="12"/>
      <c r="KEC187" s="11"/>
      <c r="KED187" s="12"/>
      <c r="KEM187" s="11"/>
      <c r="KEN187" s="12"/>
      <c r="KEW187" s="11"/>
      <c r="KEX187" s="12"/>
      <c r="KFG187" s="11"/>
      <c r="KFH187" s="12"/>
      <c r="KFQ187" s="11"/>
      <c r="KFR187" s="12"/>
      <c r="KGA187" s="11"/>
      <c r="KGB187" s="12"/>
      <c r="KGK187" s="11"/>
      <c r="KGL187" s="12"/>
      <c r="KGU187" s="11"/>
      <c r="KGV187" s="12"/>
      <c r="KHE187" s="11"/>
      <c r="KHF187" s="12"/>
      <c r="KHO187" s="11"/>
      <c r="KHP187" s="12"/>
      <c r="KHY187" s="11"/>
      <c r="KHZ187" s="12"/>
      <c r="KII187" s="11"/>
      <c r="KIJ187" s="12"/>
      <c r="KIS187" s="11"/>
      <c r="KIT187" s="12"/>
      <c r="KJC187" s="11"/>
      <c r="KJD187" s="12"/>
      <c r="KJM187" s="11"/>
      <c r="KJN187" s="12"/>
      <c r="KJW187" s="11"/>
      <c r="KJX187" s="12"/>
      <c r="KKG187" s="11"/>
      <c r="KKH187" s="12"/>
      <c r="KKQ187" s="11"/>
      <c r="KKR187" s="12"/>
      <c r="KLA187" s="11"/>
      <c r="KLB187" s="12"/>
      <c r="KLK187" s="11"/>
      <c r="KLL187" s="12"/>
      <c r="KLU187" s="11"/>
      <c r="KLV187" s="12"/>
      <c r="KME187" s="11"/>
      <c r="KMF187" s="12"/>
      <c r="KMO187" s="11"/>
      <c r="KMP187" s="12"/>
      <c r="KMY187" s="11"/>
      <c r="KMZ187" s="12"/>
      <c r="KNI187" s="11"/>
      <c r="KNJ187" s="12"/>
      <c r="KNS187" s="11"/>
      <c r="KNT187" s="12"/>
      <c r="KOC187" s="11"/>
      <c r="KOD187" s="12"/>
      <c r="KOM187" s="11"/>
      <c r="KON187" s="12"/>
      <c r="KOW187" s="11"/>
      <c r="KOX187" s="12"/>
      <c r="KPG187" s="11"/>
      <c r="KPH187" s="12"/>
      <c r="KPQ187" s="11"/>
      <c r="KPR187" s="12"/>
      <c r="KQA187" s="11"/>
      <c r="KQB187" s="12"/>
      <c r="KQK187" s="11"/>
      <c r="KQL187" s="12"/>
      <c r="KQU187" s="11"/>
      <c r="KQV187" s="12"/>
      <c r="KRE187" s="11"/>
      <c r="KRF187" s="12"/>
      <c r="KRO187" s="11"/>
      <c r="KRP187" s="12"/>
      <c r="KRY187" s="11"/>
      <c r="KRZ187" s="12"/>
      <c r="KSI187" s="11"/>
      <c r="KSJ187" s="12"/>
      <c r="KSS187" s="11"/>
      <c r="KST187" s="12"/>
      <c r="KTC187" s="11"/>
      <c r="KTD187" s="12"/>
      <c r="KTM187" s="11"/>
      <c r="KTN187" s="12"/>
      <c r="KTW187" s="11"/>
      <c r="KTX187" s="12"/>
      <c r="KUG187" s="11"/>
      <c r="KUH187" s="12"/>
      <c r="KUQ187" s="11"/>
      <c r="KUR187" s="12"/>
      <c r="KVA187" s="11"/>
      <c r="KVB187" s="12"/>
      <c r="KVK187" s="11"/>
      <c r="KVL187" s="12"/>
      <c r="KVU187" s="11"/>
      <c r="KVV187" s="12"/>
      <c r="KWE187" s="11"/>
      <c r="KWF187" s="12"/>
      <c r="KWO187" s="11"/>
      <c r="KWP187" s="12"/>
      <c r="KWY187" s="11"/>
      <c r="KWZ187" s="12"/>
      <c r="KXI187" s="11"/>
      <c r="KXJ187" s="12"/>
      <c r="KXS187" s="11"/>
      <c r="KXT187" s="12"/>
      <c r="KYC187" s="11"/>
      <c r="KYD187" s="12"/>
      <c r="KYM187" s="11"/>
      <c r="KYN187" s="12"/>
      <c r="KYW187" s="11"/>
      <c r="KYX187" s="12"/>
      <c r="KZG187" s="11"/>
      <c r="KZH187" s="12"/>
      <c r="KZQ187" s="11"/>
      <c r="KZR187" s="12"/>
      <c r="LAA187" s="11"/>
      <c r="LAB187" s="12"/>
      <c r="LAK187" s="11"/>
      <c r="LAL187" s="12"/>
      <c r="LAU187" s="11"/>
      <c r="LAV187" s="12"/>
      <c r="LBE187" s="11"/>
      <c r="LBF187" s="12"/>
      <c r="LBO187" s="11"/>
      <c r="LBP187" s="12"/>
      <c r="LBY187" s="11"/>
      <c r="LBZ187" s="12"/>
      <c r="LCI187" s="11"/>
      <c r="LCJ187" s="12"/>
      <c r="LCS187" s="11"/>
      <c r="LCT187" s="12"/>
      <c r="LDC187" s="11"/>
      <c r="LDD187" s="12"/>
      <c r="LDM187" s="11"/>
      <c r="LDN187" s="12"/>
      <c r="LDW187" s="11"/>
      <c r="LDX187" s="12"/>
      <c r="LEG187" s="11"/>
      <c r="LEH187" s="12"/>
      <c r="LEQ187" s="11"/>
      <c r="LER187" s="12"/>
      <c r="LFA187" s="11"/>
      <c r="LFB187" s="12"/>
      <c r="LFK187" s="11"/>
      <c r="LFL187" s="12"/>
      <c r="LFU187" s="11"/>
      <c r="LFV187" s="12"/>
      <c r="LGE187" s="11"/>
      <c r="LGF187" s="12"/>
      <c r="LGO187" s="11"/>
      <c r="LGP187" s="12"/>
      <c r="LGY187" s="11"/>
      <c r="LGZ187" s="12"/>
      <c r="LHI187" s="11"/>
      <c r="LHJ187" s="12"/>
      <c r="LHS187" s="11"/>
      <c r="LHT187" s="12"/>
      <c r="LIC187" s="11"/>
      <c r="LID187" s="12"/>
      <c r="LIM187" s="11"/>
      <c r="LIN187" s="12"/>
      <c r="LIW187" s="11"/>
      <c r="LIX187" s="12"/>
      <c r="LJG187" s="11"/>
      <c r="LJH187" s="12"/>
      <c r="LJQ187" s="11"/>
      <c r="LJR187" s="12"/>
      <c r="LKA187" s="11"/>
      <c r="LKB187" s="12"/>
      <c r="LKK187" s="11"/>
      <c r="LKL187" s="12"/>
      <c r="LKU187" s="11"/>
      <c r="LKV187" s="12"/>
      <c r="LLE187" s="11"/>
      <c r="LLF187" s="12"/>
      <c r="LLO187" s="11"/>
      <c r="LLP187" s="12"/>
      <c r="LLY187" s="11"/>
      <c r="LLZ187" s="12"/>
      <c r="LMI187" s="11"/>
      <c r="LMJ187" s="12"/>
      <c r="LMS187" s="11"/>
      <c r="LMT187" s="12"/>
      <c r="LNC187" s="11"/>
      <c r="LND187" s="12"/>
      <c r="LNM187" s="11"/>
      <c r="LNN187" s="12"/>
      <c r="LNW187" s="11"/>
      <c r="LNX187" s="12"/>
      <c r="LOG187" s="11"/>
      <c r="LOH187" s="12"/>
      <c r="LOQ187" s="11"/>
      <c r="LOR187" s="12"/>
      <c r="LPA187" s="11"/>
      <c r="LPB187" s="12"/>
      <c r="LPK187" s="11"/>
      <c r="LPL187" s="12"/>
      <c r="LPU187" s="11"/>
      <c r="LPV187" s="12"/>
      <c r="LQE187" s="11"/>
      <c r="LQF187" s="12"/>
      <c r="LQO187" s="11"/>
      <c r="LQP187" s="12"/>
      <c r="LQY187" s="11"/>
      <c r="LQZ187" s="12"/>
      <c r="LRI187" s="11"/>
      <c r="LRJ187" s="12"/>
      <c r="LRS187" s="11"/>
      <c r="LRT187" s="12"/>
      <c r="LSC187" s="11"/>
      <c r="LSD187" s="12"/>
      <c r="LSM187" s="11"/>
      <c r="LSN187" s="12"/>
      <c r="LSW187" s="11"/>
      <c r="LSX187" s="12"/>
      <c r="LTG187" s="11"/>
      <c r="LTH187" s="12"/>
      <c r="LTQ187" s="11"/>
      <c r="LTR187" s="12"/>
      <c r="LUA187" s="11"/>
      <c r="LUB187" s="12"/>
      <c r="LUK187" s="11"/>
      <c r="LUL187" s="12"/>
      <c r="LUU187" s="11"/>
      <c r="LUV187" s="12"/>
      <c r="LVE187" s="11"/>
      <c r="LVF187" s="12"/>
      <c r="LVO187" s="11"/>
      <c r="LVP187" s="12"/>
      <c r="LVY187" s="11"/>
      <c r="LVZ187" s="12"/>
      <c r="LWI187" s="11"/>
      <c r="LWJ187" s="12"/>
      <c r="LWS187" s="11"/>
      <c r="LWT187" s="12"/>
      <c r="LXC187" s="11"/>
      <c r="LXD187" s="12"/>
      <c r="LXM187" s="11"/>
      <c r="LXN187" s="12"/>
      <c r="LXW187" s="11"/>
      <c r="LXX187" s="12"/>
      <c r="LYG187" s="11"/>
      <c r="LYH187" s="12"/>
      <c r="LYQ187" s="11"/>
      <c r="LYR187" s="12"/>
      <c r="LZA187" s="11"/>
      <c r="LZB187" s="12"/>
      <c r="LZK187" s="11"/>
      <c r="LZL187" s="12"/>
      <c r="LZU187" s="11"/>
      <c r="LZV187" s="12"/>
      <c r="MAE187" s="11"/>
      <c r="MAF187" s="12"/>
      <c r="MAO187" s="11"/>
      <c r="MAP187" s="12"/>
      <c r="MAY187" s="11"/>
      <c r="MAZ187" s="12"/>
      <c r="MBI187" s="11"/>
      <c r="MBJ187" s="12"/>
      <c r="MBS187" s="11"/>
      <c r="MBT187" s="12"/>
      <c r="MCC187" s="11"/>
      <c r="MCD187" s="12"/>
      <c r="MCM187" s="11"/>
      <c r="MCN187" s="12"/>
      <c r="MCW187" s="11"/>
      <c r="MCX187" s="12"/>
      <c r="MDG187" s="11"/>
      <c r="MDH187" s="12"/>
      <c r="MDQ187" s="11"/>
      <c r="MDR187" s="12"/>
      <c r="MEA187" s="11"/>
      <c r="MEB187" s="12"/>
      <c r="MEK187" s="11"/>
      <c r="MEL187" s="12"/>
      <c r="MEU187" s="11"/>
      <c r="MEV187" s="12"/>
      <c r="MFE187" s="11"/>
      <c r="MFF187" s="12"/>
      <c r="MFO187" s="11"/>
      <c r="MFP187" s="12"/>
      <c r="MFY187" s="11"/>
      <c r="MFZ187" s="12"/>
      <c r="MGI187" s="11"/>
      <c r="MGJ187" s="12"/>
      <c r="MGS187" s="11"/>
      <c r="MGT187" s="12"/>
      <c r="MHC187" s="11"/>
      <c r="MHD187" s="12"/>
      <c r="MHM187" s="11"/>
      <c r="MHN187" s="12"/>
      <c r="MHW187" s="11"/>
      <c r="MHX187" s="12"/>
      <c r="MIG187" s="11"/>
      <c r="MIH187" s="12"/>
      <c r="MIQ187" s="11"/>
      <c r="MIR187" s="12"/>
      <c r="MJA187" s="11"/>
      <c r="MJB187" s="12"/>
      <c r="MJK187" s="11"/>
      <c r="MJL187" s="12"/>
      <c r="MJU187" s="11"/>
      <c r="MJV187" s="12"/>
      <c r="MKE187" s="11"/>
      <c r="MKF187" s="12"/>
      <c r="MKO187" s="11"/>
      <c r="MKP187" s="12"/>
      <c r="MKY187" s="11"/>
      <c r="MKZ187" s="12"/>
      <c r="MLI187" s="11"/>
      <c r="MLJ187" s="12"/>
      <c r="MLS187" s="11"/>
      <c r="MLT187" s="12"/>
      <c r="MMC187" s="11"/>
      <c r="MMD187" s="12"/>
      <c r="MMM187" s="11"/>
      <c r="MMN187" s="12"/>
      <c r="MMW187" s="11"/>
      <c r="MMX187" s="12"/>
      <c r="MNG187" s="11"/>
      <c r="MNH187" s="12"/>
      <c r="MNQ187" s="11"/>
      <c r="MNR187" s="12"/>
      <c r="MOA187" s="11"/>
      <c r="MOB187" s="12"/>
      <c r="MOK187" s="11"/>
      <c r="MOL187" s="12"/>
      <c r="MOU187" s="11"/>
      <c r="MOV187" s="12"/>
      <c r="MPE187" s="11"/>
      <c r="MPF187" s="12"/>
      <c r="MPO187" s="11"/>
      <c r="MPP187" s="12"/>
      <c r="MPY187" s="11"/>
      <c r="MPZ187" s="12"/>
      <c r="MQI187" s="11"/>
      <c r="MQJ187" s="12"/>
      <c r="MQS187" s="11"/>
      <c r="MQT187" s="12"/>
      <c r="MRC187" s="11"/>
      <c r="MRD187" s="12"/>
      <c r="MRM187" s="11"/>
      <c r="MRN187" s="12"/>
      <c r="MRW187" s="11"/>
      <c r="MRX187" s="12"/>
      <c r="MSG187" s="11"/>
      <c r="MSH187" s="12"/>
      <c r="MSQ187" s="11"/>
      <c r="MSR187" s="12"/>
      <c r="MTA187" s="11"/>
      <c r="MTB187" s="12"/>
      <c r="MTK187" s="11"/>
      <c r="MTL187" s="12"/>
      <c r="MTU187" s="11"/>
      <c r="MTV187" s="12"/>
      <c r="MUE187" s="11"/>
      <c r="MUF187" s="12"/>
      <c r="MUO187" s="11"/>
      <c r="MUP187" s="12"/>
      <c r="MUY187" s="11"/>
      <c r="MUZ187" s="12"/>
      <c r="MVI187" s="11"/>
      <c r="MVJ187" s="12"/>
      <c r="MVS187" s="11"/>
      <c r="MVT187" s="12"/>
      <c r="MWC187" s="11"/>
      <c r="MWD187" s="12"/>
      <c r="MWM187" s="11"/>
      <c r="MWN187" s="12"/>
      <c r="MWW187" s="11"/>
      <c r="MWX187" s="12"/>
      <c r="MXG187" s="11"/>
      <c r="MXH187" s="12"/>
      <c r="MXQ187" s="11"/>
      <c r="MXR187" s="12"/>
      <c r="MYA187" s="11"/>
      <c r="MYB187" s="12"/>
      <c r="MYK187" s="11"/>
      <c r="MYL187" s="12"/>
      <c r="MYU187" s="11"/>
      <c r="MYV187" s="12"/>
      <c r="MZE187" s="11"/>
      <c r="MZF187" s="12"/>
      <c r="MZO187" s="11"/>
      <c r="MZP187" s="12"/>
      <c r="MZY187" s="11"/>
      <c r="MZZ187" s="12"/>
      <c r="NAI187" s="11"/>
      <c r="NAJ187" s="12"/>
      <c r="NAS187" s="11"/>
      <c r="NAT187" s="12"/>
      <c r="NBC187" s="11"/>
      <c r="NBD187" s="12"/>
      <c r="NBM187" s="11"/>
      <c r="NBN187" s="12"/>
      <c r="NBW187" s="11"/>
      <c r="NBX187" s="12"/>
      <c r="NCG187" s="11"/>
      <c r="NCH187" s="12"/>
      <c r="NCQ187" s="11"/>
      <c r="NCR187" s="12"/>
      <c r="NDA187" s="11"/>
      <c r="NDB187" s="12"/>
      <c r="NDK187" s="11"/>
      <c r="NDL187" s="12"/>
      <c r="NDU187" s="11"/>
      <c r="NDV187" s="12"/>
      <c r="NEE187" s="11"/>
      <c r="NEF187" s="12"/>
      <c r="NEO187" s="11"/>
      <c r="NEP187" s="12"/>
      <c r="NEY187" s="11"/>
      <c r="NEZ187" s="12"/>
      <c r="NFI187" s="11"/>
      <c r="NFJ187" s="12"/>
      <c r="NFS187" s="11"/>
      <c r="NFT187" s="12"/>
      <c r="NGC187" s="11"/>
      <c r="NGD187" s="12"/>
      <c r="NGM187" s="11"/>
      <c r="NGN187" s="12"/>
      <c r="NGW187" s="11"/>
      <c r="NGX187" s="12"/>
      <c r="NHG187" s="11"/>
      <c r="NHH187" s="12"/>
      <c r="NHQ187" s="11"/>
      <c r="NHR187" s="12"/>
      <c r="NIA187" s="11"/>
      <c r="NIB187" s="12"/>
      <c r="NIK187" s="11"/>
      <c r="NIL187" s="12"/>
      <c r="NIU187" s="11"/>
      <c r="NIV187" s="12"/>
      <c r="NJE187" s="11"/>
      <c r="NJF187" s="12"/>
      <c r="NJO187" s="11"/>
      <c r="NJP187" s="12"/>
      <c r="NJY187" s="11"/>
      <c r="NJZ187" s="12"/>
      <c r="NKI187" s="11"/>
      <c r="NKJ187" s="12"/>
      <c r="NKS187" s="11"/>
      <c r="NKT187" s="12"/>
      <c r="NLC187" s="11"/>
      <c r="NLD187" s="12"/>
      <c r="NLM187" s="11"/>
      <c r="NLN187" s="12"/>
      <c r="NLW187" s="11"/>
      <c r="NLX187" s="12"/>
      <c r="NMG187" s="11"/>
      <c r="NMH187" s="12"/>
      <c r="NMQ187" s="11"/>
      <c r="NMR187" s="12"/>
      <c r="NNA187" s="11"/>
      <c r="NNB187" s="12"/>
      <c r="NNK187" s="11"/>
      <c r="NNL187" s="12"/>
      <c r="NNU187" s="11"/>
      <c r="NNV187" s="12"/>
      <c r="NOE187" s="11"/>
      <c r="NOF187" s="12"/>
      <c r="NOO187" s="11"/>
      <c r="NOP187" s="12"/>
      <c r="NOY187" s="11"/>
      <c r="NOZ187" s="12"/>
      <c r="NPI187" s="11"/>
      <c r="NPJ187" s="12"/>
      <c r="NPS187" s="11"/>
      <c r="NPT187" s="12"/>
      <c r="NQC187" s="11"/>
      <c r="NQD187" s="12"/>
      <c r="NQM187" s="11"/>
      <c r="NQN187" s="12"/>
      <c r="NQW187" s="11"/>
      <c r="NQX187" s="12"/>
      <c r="NRG187" s="11"/>
      <c r="NRH187" s="12"/>
      <c r="NRQ187" s="11"/>
      <c r="NRR187" s="12"/>
      <c r="NSA187" s="11"/>
      <c r="NSB187" s="12"/>
      <c r="NSK187" s="11"/>
      <c r="NSL187" s="12"/>
      <c r="NSU187" s="11"/>
      <c r="NSV187" s="12"/>
      <c r="NTE187" s="11"/>
      <c r="NTF187" s="12"/>
      <c r="NTO187" s="11"/>
      <c r="NTP187" s="12"/>
      <c r="NTY187" s="11"/>
      <c r="NTZ187" s="12"/>
      <c r="NUI187" s="11"/>
      <c r="NUJ187" s="12"/>
      <c r="NUS187" s="11"/>
      <c r="NUT187" s="12"/>
      <c r="NVC187" s="11"/>
      <c r="NVD187" s="12"/>
      <c r="NVM187" s="11"/>
      <c r="NVN187" s="12"/>
      <c r="NVW187" s="11"/>
      <c r="NVX187" s="12"/>
      <c r="NWG187" s="11"/>
      <c r="NWH187" s="12"/>
      <c r="NWQ187" s="11"/>
      <c r="NWR187" s="12"/>
      <c r="NXA187" s="11"/>
      <c r="NXB187" s="12"/>
      <c r="NXK187" s="11"/>
      <c r="NXL187" s="12"/>
      <c r="NXU187" s="11"/>
      <c r="NXV187" s="12"/>
      <c r="NYE187" s="11"/>
      <c r="NYF187" s="12"/>
      <c r="NYO187" s="11"/>
      <c r="NYP187" s="12"/>
      <c r="NYY187" s="11"/>
      <c r="NYZ187" s="12"/>
      <c r="NZI187" s="11"/>
      <c r="NZJ187" s="12"/>
      <c r="NZS187" s="11"/>
      <c r="NZT187" s="12"/>
      <c r="OAC187" s="11"/>
      <c r="OAD187" s="12"/>
      <c r="OAM187" s="11"/>
      <c r="OAN187" s="12"/>
      <c r="OAW187" s="11"/>
      <c r="OAX187" s="12"/>
      <c r="OBG187" s="11"/>
      <c r="OBH187" s="12"/>
      <c r="OBQ187" s="11"/>
      <c r="OBR187" s="12"/>
      <c r="OCA187" s="11"/>
      <c r="OCB187" s="12"/>
      <c r="OCK187" s="11"/>
      <c r="OCL187" s="12"/>
      <c r="OCU187" s="11"/>
      <c r="OCV187" s="12"/>
      <c r="ODE187" s="11"/>
      <c r="ODF187" s="12"/>
      <c r="ODO187" s="11"/>
      <c r="ODP187" s="12"/>
      <c r="ODY187" s="11"/>
      <c r="ODZ187" s="12"/>
      <c r="OEI187" s="11"/>
      <c r="OEJ187" s="12"/>
      <c r="OES187" s="11"/>
      <c r="OET187" s="12"/>
      <c r="OFC187" s="11"/>
      <c r="OFD187" s="12"/>
      <c r="OFM187" s="11"/>
      <c r="OFN187" s="12"/>
      <c r="OFW187" s="11"/>
      <c r="OFX187" s="12"/>
      <c r="OGG187" s="11"/>
      <c r="OGH187" s="12"/>
      <c r="OGQ187" s="11"/>
      <c r="OGR187" s="12"/>
      <c r="OHA187" s="11"/>
      <c r="OHB187" s="12"/>
      <c r="OHK187" s="11"/>
      <c r="OHL187" s="12"/>
      <c r="OHU187" s="11"/>
      <c r="OHV187" s="12"/>
      <c r="OIE187" s="11"/>
      <c r="OIF187" s="12"/>
      <c r="OIO187" s="11"/>
      <c r="OIP187" s="12"/>
      <c r="OIY187" s="11"/>
      <c r="OIZ187" s="12"/>
      <c r="OJI187" s="11"/>
      <c r="OJJ187" s="12"/>
      <c r="OJS187" s="11"/>
      <c r="OJT187" s="12"/>
      <c r="OKC187" s="11"/>
      <c r="OKD187" s="12"/>
      <c r="OKM187" s="11"/>
      <c r="OKN187" s="12"/>
      <c r="OKW187" s="11"/>
      <c r="OKX187" s="12"/>
      <c r="OLG187" s="11"/>
      <c r="OLH187" s="12"/>
      <c r="OLQ187" s="11"/>
      <c r="OLR187" s="12"/>
      <c r="OMA187" s="11"/>
      <c r="OMB187" s="12"/>
      <c r="OMK187" s="11"/>
      <c r="OML187" s="12"/>
      <c r="OMU187" s="11"/>
      <c r="OMV187" s="12"/>
      <c r="ONE187" s="11"/>
      <c r="ONF187" s="12"/>
      <c r="ONO187" s="11"/>
      <c r="ONP187" s="12"/>
      <c r="ONY187" s="11"/>
      <c r="ONZ187" s="12"/>
      <c r="OOI187" s="11"/>
      <c r="OOJ187" s="12"/>
      <c r="OOS187" s="11"/>
      <c r="OOT187" s="12"/>
      <c r="OPC187" s="11"/>
      <c r="OPD187" s="12"/>
      <c r="OPM187" s="11"/>
      <c r="OPN187" s="12"/>
      <c r="OPW187" s="11"/>
      <c r="OPX187" s="12"/>
      <c r="OQG187" s="11"/>
      <c r="OQH187" s="12"/>
      <c r="OQQ187" s="11"/>
      <c r="OQR187" s="12"/>
      <c r="ORA187" s="11"/>
      <c r="ORB187" s="12"/>
      <c r="ORK187" s="11"/>
      <c r="ORL187" s="12"/>
      <c r="ORU187" s="11"/>
      <c r="ORV187" s="12"/>
      <c r="OSE187" s="11"/>
      <c r="OSF187" s="12"/>
      <c r="OSO187" s="11"/>
      <c r="OSP187" s="12"/>
      <c r="OSY187" s="11"/>
      <c r="OSZ187" s="12"/>
      <c r="OTI187" s="11"/>
      <c r="OTJ187" s="12"/>
      <c r="OTS187" s="11"/>
      <c r="OTT187" s="12"/>
      <c r="OUC187" s="11"/>
      <c r="OUD187" s="12"/>
      <c r="OUM187" s="11"/>
      <c r="OUN187" s="12"/>
      <c r="OUW187" s="11"/>
      <c r="OUX187" s="12"/>
      <c r="OVG187" s="11"/>
      <c r="OVH187" s="12"/>
      <c r="OVQ187" s="11"/>
      <c r="OVR187" s="12"/>
      <c r="OWA187" s="11"/>
      <c r="OWB187" s="12"/>
      <c r="OWK187" s="11"/>
      <c r="OWL187" s="12"/>
      <c r="OWU187" s="11"/>
      <c r="OWV187" s="12"/>
      <c r="OXE187" s="11"/>
      <c r="OXF187" s="12"/>
      <c r="OXO187" s="11"/>
      <c r="OXP187" s="12"/>
      <c r="OXY187" s="11"/>
      <c r="OXZ187" s="12"/>
      <c r="OYI187" s="11"/>
      <c r="OYJ187" s="12"/>
      <c r="OYS187" s="11"/>
      <c r="OYT187" s="12"/>
      <c r="OZC187" s="11"/>
      <c r="OZD187" s="12"/>
      <c r="OZM187" s="11"/>
      <c r="OZN187" s="12"/>
      <c r="OZW187" s="11"/>
      <c r="OZX187" s="12"/>
      <c r="PAG187" s="11"/>
      <c r="PAH187" s="12"/>
      <c r="PAQ187" s="11"/>
      <c r="PAR187" s="12"/>
      <c r="PBA187" s="11"/>
      <c r="PBB187" s="12"/>
      <c r="PBK187" s="11"/>
      <c r="PBL187" s="12"/>
      <c r="PBU187" s="11"/>
      <c r="PBV187" s="12"/>
      <c r="PCE187" s="11"/>
      <c r="PCF187" s="12"/>
      <c r="PCO187" s="11"/>
      <c r="PCP187" s="12"/>
      <c r="PCY187" s="11"/>
      <c r="PCZ187" s="12"/>
      <c r="PDI187" s="11"/>
      <c r="PDJ187" s="12"/>
      <c r="PDS187" s="11"/>
      <c r="PDT187" s="12"/>
      <c r="PEC187" s="11"/>
      <c r="PED187" s="12"/>
      <c r="PEM187" s="11"/>
      <c r="PEN187" s="12"/>
      <c r="PEW187" s="11"/>
      <c r="PEX187" s="12"/>
      <c r="PFG187" s="11"/>
      <c r="PFH187" s="12"/>
      <c r="PFQ187" s="11"/>
      <c r="PFR187" s="12"/>
      <c r="PGA187" s="11"/>
      <c r="PGB187" s="12"/>
      <c r="PGK187" s="11"/>
      <c r="PGL187" s="12"/>
      <c r="PGU187" s="11"/>
      <c r="PGV187" s="12"/>
      <c r="PHE187" s="11"/>
      <c r="PHF187" s="12"/>
      <c r="PHO187" s="11"/>
      <c r="PHP187" s="12"/>
      <c r="PHY187" s="11"/>
      <c r="PHZ187" s="12"/>
      <c r="PII187" s="11"/>
      <c r="PIJ187" s="12"/>
      <c r="PIS187" s="11"/>
      <c r="PIT187" s="12"/>
      <c r="PJC187" s="11"/>
      <c r="PJD187" s="12"/>
      <c r="PJM187" s="11"/>
      <c r="PJN187" s="12"/>
      <c r="PJW187" s="11"/>
      <c r="PJX187" s="12"/>
      <c r="PKG187" s="11"/>
      <c r="PKH187" s="12"/>
      <c r="PKQ187" s="11"/>
      <c r="PKR187" s="12"/>
      <c r="PLA187" s="11"/>
      <c r="PLB187" s="12"/>
      <c r="PLK187" s="11"/>
      <c r="PLL187" s="12"/>
      <c r="PLU187" s="11"/>
      <c r="PLV187" s="12"/>
      <c r="PME187" s="11"/>
      <c r="PMF187" s="12"/>
      <c r="PMO187" s="11"/>
      <c r="PMP187" s="12"/>
      <c r="PMY187" s="11"/>
      <c r="PMZ187" s="12"/>
      <c r="PNI187" s="11"/>
      <c r="PNJ187" s="12"/>
      <c r="PNS187" s="11"/>
      <c r="PNT187" s="12"/>
      <c r="POC187" s="11"/>
      <c r="POD187" s="12"/>
      <c r="POM187" s="11"/>
      <c r="PON187" s="12"/>
      <c r="POW187" s="11"/>
      <c r="POX187" s="12"/>
      <c r="PPG187" s="11"/>
      <c r="PPH187" s="12"/>
      <c r="PPQ187" s="11"/>
      <c r="PPR187" s="12"/>
      <c r="PQA187" s="11"/>
      <c r="PQB187" s="12"/>
      <c r="PQK187" s="11"/>
      <c r="PQL187" s="12"/>
      <c r="PQU187" s="11"/>
      <c r="PQV187" s="12"/>
      <c r="PRE187" s="11"/>
      <c r="PRF187" s="12"/>
      <c r="PRO187" s="11"/>
      <c r="PRP187" s="12"/>
      <c r="PRY187" s="11"/>
      <c r="PRZ187" s="12"/>
      <c r="PSI187" s="11"/>
      <c r="PSJ187" s="12"/>
      <c r="PSS187" s="11"/>
      <c r="PST187" s="12"/>
      <c r="PTC187" s="11"/>
      <c r="PTD187" s="12"/>
      <c r="PTM187" s="11"/>
      <c r="PTN187" s="12"/>
      <c r="PTW187" s="11"/>
      <c r="PTX187" s="12"/>
      <c r="PUG187" s="11"/>
      <c r="PUH187" s="12"/>
      <c r="PUQ187" s="11"/>
      <c r="PUR187" s="12"/>
      <c r="PVA187" s="11"/>
      <c r="PVB187" s="12"/>
      <c r="PVK187" s="11"/>
      <c r="PVL187" s="12"/>
      <c r="PVU187" s="11"/>
      <c r="PVV187" s="12"/>
      <c r="PWE187" s="11"/>
      <c r="PWF187" s="12"/>
      <c r="PWO187" s="11"/>
      <c r="PWP187" s="12"/>
      <c r="PWY187" s="11"/>
      <c r="PWZ187" s="12"/>
      <c r="PXI187" s="11"/>
      <c r="PXJ187" s="12"/>
      <c r="PXS187" s="11"/>
      <c r="PXT187" s="12"/>
      <c r="PYC187" s="11"/>
      <c r="PYD187" s="12"/>
      <c r="PYM187" s="11"/>
      <c r="PYN187" s="12"/>
      <c r="PYW187" s="11"/>
      <c r="PYX187" s="12"/>
      <c r="PZG187" s="11"/>
      <c r="PZH187" s="12"/>
      <c r="PZQ187" s="11"/>
      <c r="PZR187" s="12"/>
      <c r="QAA187" s="11"/>
      <c r="QAB187" s="12"/>
      <c r="QAK187" s="11"/>
      <c r="QAL187" s="12"/>
      <c r="QAU187" s="11"/>
      <c r="QAV187" s="12"/>
      <c r="QBE187" s="11"/>
      <c r="QBF187" s="12"/>
      <c r="QBO187" s="11"/>
      <c r="QBP187" s="12"/>
      <c r="QBY187" s="11"/>
      <c r="QBZ187" s="12"/>
      <c r="QCI187" s="11"/>
      <c r="QCJ187" s="12"/>
      <c r="QCS187" s="11"/>
      <c r="QCT187" s="12"/>
      <c r="QDC187" s="11"/>
      <c r="QDD187" s="12"/>
      <c r="QDM187" s="11"/>
      <c r="QDN187" s="12"/>
      <c r="QDW187" s="11"/>
      <c r="QDX187" s="12"/>
      <c r="QEG187" s="11"/>
      <c r="QEH187" s="12"/>
      <c r="QEQ187" s="11"/>
      <c r="QER187" s="12"/>
      <c r="QFA187" s="11"/>
      <c r="QFB187" s="12"/>
      <c r="QFK187" s="11"/>
      <c r="QFL187" s="12"/>
      <c r="QFU187" s="11"/>
      <c r="QFV187" s="12"/>
      <c r="QGE187" s="11"/>
      <c r="QGF187" s="12"/>
      <c r="QGO187" s="11"/>
      <c r="QGP187" s="12"/>
      <c r="QGY187" s="11"/>
      <c r="QGZ187" s="12"/>
      <c r="QHI187" s="11"/>
      <c r="QHJ187" s="12"/>
      <c r="QHS187" s="11"/>
      <c r="QHT187" s="12"/>
      <c r="QIC187" s="11"/>
      <c r="QID187" s="12"/>
      <c r="QIM187" s="11"/>
      <c r="QIN187" s="12"/>
      <c r="QIW187" s="11"/>
      <c r="QIX187" s="12"/>
      <c r="QJG187" s="11"/>
      <c r="QJH187" s="12"/>
      <c r="QJQ187" s="11"/>
      <c r="QJR187" s="12"/>
      <c r="QKA187" s="11"/>
      <c r="QKB187" s="12"/>
      <c r="QKK187" s="11"/>
      <c r="QKL187" s="12"/>
      <c r="QKU187" s="11"/>
      <c r="QKV187" s="12"/>
      <c r="QLE187" s="11"/>
      <c r="QLF187" s="12"/>
      <c r="QLO187" s="11"/>
      <c r="QLP187" s="12"/>
      <c r="QLY187" s="11"/>
      <c r="QLZ187" s="12"/>
      <c r="QMI187" s="11"/>
      <c r="QMJ187" s="12"/>
      <c r="QMS187" s="11"/>
      <c r="QMT187" s="12"/>
      <c r="QNC187" s="11"/>
      <c r="QND187" s="12"/>
      <c r="QNM187" s="11"/>
      <c r="QNN187" s="12"/>
      <c r="QNW187" s="11"/>
      <c r="QNX187" s="12"/>
      <c r="QOG187" s="11"/>
      <c r="QOH187" s="12"/>
      <c r="QOQ187" s="11"/>
      <c r="QOR187" s="12"/>
      <c r="QPA187" s="11"/>
      <c r="QPB187" s="12"/>
      <c r="QPK187" s="11"/>
      <c r="QPL187" s="12"/>
      <c r="QPU187" s="11"/>
      <c r="QPV187" s="12"/>
      <c r="QQE187" s="11"/>
      <c r="QQF187" s="12"/>
      <c r="QQO187" s="11"/>
      <c r="QQP187" s="12"/>
      <c r="QQY187" s="11"/>
      <c r="QQZ187" s="12"/>
      <c r="QRI187" s="11"/>
      <c r="QRJ187" s="12"/>
      <c r="QRS187" s="11"/>
      <c r="QRT187" s="12"/>
      <c r="QSC187" s="11"/>
      <c r="QSD187" s="12"/>
      <c r="QSM187" s="11"/>
      <c r="QSN187" s="12"/>
      <c r="QSW187" s="11"/>
      <c r="QSX187" s="12"/>
      <c r="QTG187" s="11"/>
      <c r="QTH187" s="12"/>
      <c r="QTQ187" s="11"/>
      <c r="QTR187" s="12"/>
      <c r="QUA187" s="11"/>
      <c r="QUB187" s="12"/>
      <c r="QUK187" s="11"/>
      <c r="QUL187" s="12"/>
      <c r="QUU187" s="11"/>
      <c r="QUV187" s="12"/>
      <c r="QVE187" s="11"/>
      <c r="QVF187" s="12"/>
      <c r="QVO187" s="11"/>
      <c r="QVP187" s="12"/>
      <c r="QVY187" s="11"/>
      <c r="QVZ187" s="12"/>
      <c r="QWI187" s="11"/>
      <c r="QWJ187" s="12"/>
      <c r="QWS187" s="11"/>
      <c r="QWT187" s="12"/>
      <c r="QXC187" s="11"/>
      <c r="QXD187" s="12"/>
      <c r="QXM187" s="11"/>
      <c r="QXN187" s="12"/>
      <c r="QXW187" s="11"/>
      <c r="QXX187" s="12"/>
      <c r="QYG187" s="11"/>
      <c r="QYH187" s="12"/>
      <c r="QYQ187" s="11"/>
      <c r="QYR187" s="12"/>
      <c r="QZA187" s="11"/>
      <c r="QZB187" s="12"/>
      <c r="QZK187" s="11"/>
      <c r="QZL187" s="12"/>
      <c r="QZU187" s="11"/>
      <c r="QZV187" s="12"/>
      <c r="RAE187" s="11"/>
      <c r="RAF187" s="12"/>
      <c r="RAO187" s="11"/>
      <c r="RAP187" s="12"/>
      <c r="RAY187" s="11"/>
      <c r="RAZ187" s="12"/>
      <c r="RBI187" s="11"/>
      <c r="RBJ187" s="12"/>
      <c r="RBS187" s="11"/>
      <c r="RBT187" s="12"/>
      <c r="RCC187" s="11"/>
      <c r="RCD187" s="12"/>
      <c r="RCM187" s="11"/>
      <c r="RCN187" s="12"/>
      <c r="RCW187" s="11"/>
      <c r="RCX187" s="12"/>
      <c r="RDG187" s="11"/>
      <c r="RDH187" s="12"/>
      <c r="RDQ187" s="11"/>
      <c r="RDR187" s="12"/>
      <c r="REA187" s="11"/>
      <c r="REB187" s="12"/>
      <c r="REK187" s="11"/>
      <c r="REL187" s="12"/>
      <c r="REU187" s="11"/>
      <c r="REV187" s="12"/>
      <c r="RFE187" s="11"/>
      <c r="RFF187" s="12"/>
      <c r="RFO187" s="11"/>
      <c r="RFP187" s="12"/>
      <c r="RFY187" s="11"/>
      <c r="RFZ187" s="12"/>
      <c r="RGI187" s="11"/>
      <c r="RGJ187" s="12"/>
      <c r="RGS187" s="11"/>
      <c r="RGT187" s="12"/>
      <c r="RHC187" s="11"/>
      <c r="RHD187" s="12"/>
      <c r="RHM187" s="11"/>
      <c r="RHN187" s="12"/>
      <c r="RHW187" s="11"/>
      <c r="RHX187" s="12"/>
      <c r="RIG187" s="11"/>
      <c r="RIH187" s="12"/>
      <c r="RIQ187" s="11"/>
      <c r="RIR187" s="12"/>
      <c r="RJA187" s="11"/>
      <c r="RJB187" s="12"/>
      <c r="RJK187" s="11"/>
      <c r="RJL187" s="12"/>
      <c r="RJU187" s="11"/>
      <c r="RJV187" s="12"/>
      <c r="RKE187" s="11"/>
      <c r="RKF187" s="12"/>
      <c r="RKO187" s="11"/>
      <c r="RKP187" s="12"/>
      <c r="RKY187" s="11"/>
      <c r="RKZ187" s="12"/>
      <c r="RLI187" s="11"/>
      <c r="RLJ187" s="12"/>
      <c r="RLS187" s="11"/>
      <c r="RLT187" s="12"/>
      <c r="RMC187" s="11"/>
      <c r="RMD187" s="12"/>
      <c r="RMM187" s="11"/>
      <c r="RMN187" s="12"/>
      <c r="RMW187" s="11"/>
      <c r="RMX187" s="12"/>
      <c r="RNG187" s="11"/>
      <c r="RNH187" s="12"/>
      <c r="RNQ187" s="11"/>
      <c r="RNR187" s="12"/>
      <c r="ROA187" s="11"/>
      <c r="ROB187" s="12"/>
      <c r="ROK187" s="11"/>
      <c r="ROL187" s="12"/>
      <c r="ROU187" s="11"/>
      <c r="ROV187" s="12"/>
      <c r="RPE187" s="11"/>
      <c r="RPF187" s="12"/>
      <c r="RPO187" s="11"/>
      <c r="RPP187" s="12"/>
      <c r="RPY187" s="11"/>
      <c r="RPZ187" s="12"/>
      <c r="RQI187" s="11"/>
      <c r="RQJ187" s="12"/>
      <c r="RQS187" s="11"/>
      <c r="RQT187" s="12"/>
      <c r="RRC187" s="11"/>
      <c r="RRD187" s="12"/>
      <c r="RRM187" s="11"/>
      <c r="RRN187" s="12"/>
      <c r="RRW187" s="11"/>
      <c r="RRX187" s="12"/>
      <c r="RSG187" s="11"/>
      <c r="RSH187" s="12"/>
      <c r="RSQ187" s="11"/>
      <c r="RSR187" s="12"/>
      <c r="RTA187" s="11"/>
      <c r="RTB187" s="12"/>
      <c r="RTK187" s="11"/>
      <c r="RTL187" s="12"/>
      <c r="RTU187" s="11"/>
      <c r="RTV187" s="12"/>
      <c r="RUE187" s="11"/>
      <c r="RUF187" s="12"/>
      <c r="RUO187" s="11"/>
      <c r="RUP187" s="12"/>
      <c r="RUY187" s="11"/>
      <c r="RUZ187" s="12"/>
      <c r="RVI187" s="11"/>
      <c r="RVJ187" s="12"/>
      <c r="RVS187" s="11"/>
      <c r="RVT187" s="12"/>
      <c r="RWC187" s="11"/>
      <c r="RWD187" s="12"/>
      <c r="RWM187" s="11"/>
      <c r="RWN187" s="12"/>
      <c r="RWW187" s="11"/>
      <c r="RWX187" s="12"/>
      <c r="RXG187" s="11"/>
      <c r="RXH187" s="12"/>
      <c r="RXQ187" s="11"/>
      <c r="RXR187" s="12"/>
      <c r="RYA187" s="11"/>
      <c r="RYB187" s="12"/>
      <c r="RYK187" s="11"/>
      <c r="RYL187" s="12"/>
      <c r="RYU187" s="11"/>
      <c r="RYV187" s="12"/>
      <c r="RZE187" s="11"/>
      <c r="RZF187" s="12"/>
      <c r="RZO187" s="11"/>
      <c r="RZP187" s="12"/>
      <c r="RZY187" s="11"/>
      <c r="RZZ187" s="12"/>
      <c r="SAI187" s="11"/>
      <c r="SAJ187" s="12"/>
      <c r="SAS187" s="11"/>
      <c r="SAT187" s="12"/>
      <c r="SBC187" s="11"/>
      <c r="SBD187" s="12"/>
      <c r="SBM187" s="11"/>
      <c r="SBN187" s="12"/>
      <c r="SBW187" s="11"/>
      <c r="SBX187" s="12"/>
      <c r="SCG187" s="11"/>
      <c r="SCH187" s="12"/>
      <c r="SCQ187" s="11"/>
      <c r="SCR187" s="12"/>
      <c r="SDA187" s="11"/>
      <c r="SDB187" s="12"/>
      <c r="SDK187" s="11"/>
      <c r="SDL187" s="12"/>
      <c r="SDU187" s="11"/>
      <c r="SDV187" s="12"/>
      <c r="SEE187" s="11"/>
      <c r="SEF187" s="12"/>
      <c r="SEO187" s="11"/>
      <c r="SEP187" s="12"/>
      <c r="SEY187" s="11"/>
      <c r="SEZ187" s="12"/>
      <c r="SFI187" s="11"/>
      <c r="SFJ187" s="12"/>
      <c r="SFS187" s="11"/>
      <c r="SFT187" s="12"/>
      <c r="SGC187" s="11"/>
      <c r="SGD187" s="12"/>
      <c r="SGM187" s="11"/>
      <c r="SGN187" s="12"/>
      <c r="SGW187" s="11"/>
      <c r="SGX187" s="12"/>
      <c r="SHG187" s="11"/>
      <c r="SHH187" s="12"/>
      <c r="SHQ187" s="11"/>
      <c r="SHR187" s="12"/>
      <c r="SIA187" s="11"/>
      <c r="SIB187" s="12"/>
      <c r="SIK187" s="11"/>
      <c r="SIL187" s="12"/>
      <c r="SIU187" s="11"/>
      <c r="SIV187" s="12"/>
      <c r="SJE187" s="11"/>
      <c r="SJF187" s="12"/>
      <c r="SJO187" s="11"/>
      <c r="SJP187" s="12"/>
      <c r="SJY187" s="11"/>
      <c r="SJZ187" s="12"/>
      <c r="SKI187" s="11"/>
      <c r="SKJ187" s="12"/>
      <c r="SKS187" s="11"/>
      <c r="SKT187" s="12"/>
      <c r="SLC187" s="11"/>
      <c r="SLD187" s="12"/>
      <c r="SLM187" s="11"/>
      <c r="SLN187" s="12"/>
      <c r="SLW187" s="11"/>
      <c r="SLX187" s="12"/>
      <c r="SMG187" s="11"/>
      <c r="SMH187" s="12"/>
      <c r="SMQ187" s="11"/>
      <c r="SMR187" s="12"/>
      <c r="SNA187" s="11"/>
      <c r="SNB187" s="12"/>
      <c r="SNK187" s="11"/>
      <c r="SNL187" s="12"/>
      <c r="SNU187" s="11"/>
      <c r="SNV187" s="12"/>
      <c r="SOE187" s="11"/>
      <c r="SOF187" s="12"/>
      <c r="SOO187" s="11"/>
      <c r="SOP187" s="12"/>
      <c r="SOY187" s="11"/>
      <c r="SOZ187" s="12"/>
      <c r="SPI187" s="11"/>
      <c r="SPJ187" s="12"/>
      <c r="SPS187" s="11"/>
      <c r="SPT187" s="12"/>
      <c r="SQC187" s="11"/>
      <c r="SQD187" s="12"/>
      <c r="SQM187" s="11"/>
      <c r="SQN187" s="12"/>
      <c r="SQW187" s="11"/>
      <c r="SQX187" s="12"/>
      <c r="SRG187" s="11"/>
      <c r="SRH187" s="12"/>
      <c r="SRQ187" s="11"/>
      <c r="SRR187" s="12"/>
      <c r="SSA187" s="11"/>
      <c r="SSB187" s="12"/>
      <c r="SSK187" s="11"/>
      <c r="SSL187" s="12"/>
      <c r="SSU187" s="11"/>
      <c r="SSV187" s="12"/>
      <c r="STE187" s="11"/>
      <c r="STF187" s="12"/>
      <c r="STO187" s="11"/>
      <c r="STP187" s="12"/>
      <c r="STY187" s="11"/>
      <c r="STZ187" s="12"/>
      <c r="SUI187" s="11"/>
      <c r="SUJ187" s="12"/>
      <c r="SUS187" s="11"/>
      <c r="SUT187" s="12"/>
      <c r="SVC187" s="11"/>
      <c r="SVD187" s="12"/>
      <c r="SVM187" s="11"/>
      <c r="SVN187" s="12"/>
      <c r="SVW187" s="11"/>
      <c r="SVX187" s="12"/>
      <c r="SWG187" s="11"/>
      <c r="SWH187" s="12"/>
      <c r="SWQ187" s="11"/>
      <c r="SWR187" s="12"/>
      <c r="SXA187" s="11"/>
      <c r="SXB187" s="12"/>
      <c r="SXK187" s="11"/>
      <c r="SXL187" s="12"/>
      <c r="SXU187" s="11"/>
      <c r="SXV187" s="12"/>
      <c r="SYE187" s="11"/>
      <c r="SYF187" s="12"/>
      <c r="SYO187" s="11"/>
      <c r="SYP187" s="12"/>
      <c r="SYY187" s="11"/>
      <c r="SYZ187" s="12"/>
      <c r="SZI187" s="11"/>
      <c r="SZJ187" s="12"/>
      <c r="SZS187" s="11"/>
      <c r="SZT187" s="12"/>
      <c r="TAC187" s="11"/>
      <c r="TAD187" s="12"/>
      <c r="TAM187" s="11"/>
      <c r="TAN187" s="12"/>
      <c r="TAW187" s="11"/>
      <c r="TAX187" s="12"/>
      <c r="TBG187" s="11"/>
      <c r="TBH187" s="12"/>
      <c r="TBQ187" s="11"/>
      <c r="TBR187" s="12"/>
      <c r="TCA187" s="11"/>
      <c r="TCB187" s="12"/>
      <c r="TCK187" s="11"/>
      <c r="TCL187" s="12"/>
      <c r="TCU187" s="11"/>
      <c r="TCV187" s="12"/>
      <c r="TDE187" s="11"/>
      <c r="TDF187" s="12"/>
      <c r="TDO187" s="11"/>
      <c r="TDP187" s="12"/>
      <c r="TDY187" s="11"/>
      <c r="TDZ187" s="12"/>
      <c r="TEI187" s="11"/>
      <c r="TEJ187" s="12"/>
      <c r="TES187" s="11"/>
      <c r="TET187" s="12"/>
      <c r="TFC187" s="11"/>
      <c r="TFD187" s="12"/>
      <c r="TFM187" s="11"/>
      <c r="TFN187" s="12"/>
      <c r="TFW187" s="11"/>
      <c r="TFX187" s="12"/>
      <c r="TGG187" s="11"/>
      <c r="TGH187" s="12"/>
      <c r="TGQ187" s="11"/>
      <c r="TGR187" s="12"/>
      <c r="THA187" s="11"/>
      <c r="THB187" s="12"/>
      <c r="THK187" s="11"/>
      <c r="THL187" s="12"/>
      <c r="THU187" s="11"/>
      <c r="THV187" s="12"/>
      <c r="TIE187" s="11"/>
      <c r="TIF187" s="12"/>
      <c r="TIO187" s="11"/>
      <c r="TIP187" s="12"/>
      <c r="TIY187" s="11"/>
      <c r="TIZ187" s="12"/>
      <c r="TJI187" s="11"/>
      <c r="TJJ187" s="12"/>
      <c r="TJS187" s="11"/>
      <c r="TJT187" s="12"/>
      <c r="TKC187" s="11"/>
      <c r="TKD187" s="12"/>
      <c r="TKM187" s="11"/>
      <c r="TKN187" s="12"/>
      <c r="TKW187" s="11"/>
      <c r="TKX187" s="12"/>
      <c r="TLG187" s="11"/>
      <c r="TLH187" s="12"/>
      <c r="TLQ187" s="11"/>
      <c r="TLR187" s="12"/>
      <c r="TMA187" s="11"/>
      <c r="TMB187" s="12"/>
      <c r="TMK187" s="11"/>
      <c r="TML187" s="12"/>
      <c r="TMU187" s="11"/>
      <c r="TMV187" s="12"/>
      <c r="TNE187" s="11"/>
      <c r="TNF187" s="12"/>
      <c r="TNO187" s="11"/>
      <c r="TNP187" s="12"/>
      <c r="TNY187" s="11"/>
      <c r="TNZ187" s="12"/>
      <c r="TOI187" s="11"/>
      <c r="TOJ187" s="12"/>
      <c r="TOS187" s="11"/>
      <c r="TOT187" s="12"/>
      <c r="TPC187" s="11"/>
      <c r="TPD187" s="12"/>
      <c r="TPM187" s="11"/>
      <c r="TPN187" s="12"/>
      <c r="TPW187" s="11"/>
      <c r="TPX187" s="12"/>
      <c r="TQG187" s="11"/>
      <c r="TQH187" s="12"/>
      <c r="TQQ187" s="11"/>
      <c r="TQR187" s="12"/>
      <c r="TRA187" s="11"/>
      <c r="TRB187" s="12"/>
      <c r="TRK187" s="11"/>
      <c r="TRL187" s="12"/>
      <c r="TRU187" s="11"/>
      <c r="TRV187" s="12"/>
      <c r="TSE187" s="11"/>
      <c r="TSF187" s="12"/>
      <c r="TSO187" s="11"/>
      <c r="TSP187" s="12"/>
      <c r="TSY187" s="11"/>
      <c r="TSZ187" s="12"/>
      <c r="TTI187" s="11"/>
      <c r="TTJ187" s="12"/>
      <c r="TTS187" s="11"/>
      <c r="TTT187" s="12"/>
      <c r="TUC187" s="11"/>
      <c r="TUD187" s="12"/>
      <c r="TUM187" s="11"/>
      <c r="TUN187" s="12"/>
      <c r="TUW187" s="11"/>
      <c r="TUX187" s="12"/>
      <c r="TVG187" s="11"/>
      <c r="TVH187" s="12"/>
      <c r="TVQ187" s="11"/>
      <c r="TVR187" s="12"/>
      <c r="TWA187" s="11"/>
      <c r="TWB187" s="12"/>
      <c r="TWK187" s="11"/>
      <c r="TWL187" s="12"/>
      <c r="TWU187" s="11"/>
      <c r="TWV187" s="12"/>
      <c r="TXE187" s="11"/>
      <c r="TXF187" s="12"/>
      <c r="TXO187" s="11"/>
      <c r="TXP187" s="12"/>
      <c r="TXY187" s="11"/>
      <c r="TXZ187" s="12"/>
      <c r="TYI187" s="11"/>
      <c r="TYJ187" s="12"/>
      <c r="TYS187" s="11"/>
      <c r="TYT187" s="12"/>
      <c r="TZC187" s="11"/>
      <c r="TZD187" s="12"/>
      <c r="TZM187" s="11"/>
      <c r="TZN187" s="12"/>
      <c r="TZW187" s="11"/>
      <c r="TZX187" s="12"/>
      <c r="UAG187" s="11"/>
      <c r="UAH187" s="12"/>
      <c r="UAQ187" s="11"/>
      <c r="UAR187" s="12"/>
      <c r="UBA187" s="11"/>
      <c r="UBB187" s="12"/>
      <c r="UBK187" s="11"/>
      <c r="UBL187" s="12"/>
      <c r="UBU187" s="11"/>
      <c r="UBV187" s="12"/>
      <c r="UCE187" s="11"/>
      <c r="UCF187" s="12"/>
      <c r="UCO187" s="11"/>
      <c r="UCP187" s="12"/>
      <c r="UCY187" s="11"/>
      <c r="UCZ187" s="12"/>
      <c r="UDI187" s="11"/>
      <c r="UDJ187" s="12"/>
      <c r="UDS187" s="11"/>
      <c r="UDT187" s="12"/>
      <c r="UEC187" s="11"/>
      <c r="UED187" s="12"/>
      <c r="UEM187" s="11"/>
      <c r="UEN187" s="12"/>
      <c r="UEW187" s="11"/>
      <c r="UEX187" s="12"/>
      <c r="UFG187" s="11"/>
      <c r="UFH187" s="12"/>
      <c r="UFQ187" s="11"/>
      <c r="UFR187" s="12"/>
      <c r="UGA187" s="11"/>
      <c r="UGB187" s="12"/>
      <c r="UGK187" s="11"/>
      <c r="UGL187" s="12"/>
      <c r="UGU187" s="11"/>
      <c r="UGV187" s="12"/>
      <c r="UHE187" s="11"/>
      <c r="UHF187" s="12"/>
      <c r="UHO187" s="11"/>
      <c r="UHP187" s="12"/>
      <c r="UHY187" s="11"/>
      <c r="UHZ187" s="12"/>
      <c r="UII187" s="11"/>
      <c r="UIJ187" s="12"/>
      <c r="UIS187" s="11"/>
      <c r="UIT187" s="12"/>
      <c r="UJC187" s="11"/>
      <c r="UJD187" s="12"/>
      <c r="UJM187" s="11"/>
      <c r="UJN187" s="12"/>
      <c r="UJW187" s="11"/>
      <c r="UJX187" s="12"/>
      <c r="UKG187" s="11"/>
      <c r="UKH187" s="12"/>
      <c r="UKQ187" s="11"/>
      <c r="UKR187" s="12"/>
      <c r="ULA187" s="11"/>
      <c r="ULB187" s="12"/>
      <c r="ULK187" s="11"/>
      <c r="ULL187" s="12"/>
      <c r="ULU187" s="11"/>
      <c r="ULV187" s="12"/>
      <c r="UME187" s="11"/>
      <c r="UMF187" s="12"/>
      <c r="UMO187" s="11"/>
      <c r="UMP187" s="12"/>
      <c r="UMY187" s="11"/>
      <c r="UMZ187" s="12"/>
      <c r="UNI187" s="11"/>
      <c r="UNJ187" s="12"/>
      <c r="UNS187" s="11"/>
      <c r="UNT187" s="12"/>
      <c r="UOC187" s="11"/>
      <c r="UOD187" s="12"/>
      <c r="UOM187" s="11"/>
      <c r="UON187" s="12"/>
      <c r="UOW187" s="11"/>
      <c r="UOX187" s="12"/>
      <c r="UPG187" s="11"/>
      <c r="UPH187" s="12"/>
      <c r="UPQ187" s="11"/>
      <c r="UPR187" s="12"/>
      <c r="UQA187" s="11"/>
      <c r="UQB187" s="12"/>
      <c r="UQK187" s="11"/>
      <c r="UQL187" s="12"/>
      <c r="UQU187" s="11"/>
      <c r="UQV187" s="12"/>
      <c r="URE187" s="11"/>
      <c r="URF187" s="12"/>
      <c r="URO187" s="11"/>
      <c r="URP187" s="12"/>
      <c r="URY187" s="11"/>
      <c r="URZ187" s="12"/>
      <c r="USI187" s="11"/>
      <c r="USJ187" s="12"/>
      <c r="USS187" s="11"/>
      <c r="UST187" s="12"/>
      <c r="UTC187" s="11"/>
      <c r="UTD187" s="12"/>
      <c r="UTM187" s="11"/>
      <c r="UTN187" s="12"/>
      <c r="UTW187" s="11"/>
      <c r="UTX187" s="12"/>
      <c r="UUG187" s="11"/>
      <c r="UUH187" s="12"/>
      <c r="UUQ187" s="11"/>
      <c r="UUR187" s="12"/>
      <c r="UVA187" s="11"/>
      <c r="UVB187" s="12"/>
      <c r="UVK187" s="11"/>
      <c r="UVL187" s="12"/>
      <c r="UVU187" s="11"/>
      <c r="UVV187" s="12"/>
      <c r="UWE187" s="11"/>
      <c r="UWF187" s="12"/>
      <c r="UWO187" s="11"/>
      <c r="UWP187" s="12"/>
      <c r="UWY187" s="11"/>
      <c r="UWZ187" s="12"/>
      <c r="UXI187" s="11"/>
      <c r="UXJ187" s="12"/>
      <c r="UXS187" s="11"/>
      <c r="UXT187" s="12"/>
      <c r="UYC187" s="11"/>
      <c r="UYD187" s="12"/>
      <c r="UYM187" s="11"/>
      <c r="UYN187" s="12"/>
      <c r="UYW187" s="11"/>
      <c r="UYX187" s="12"/>
      <c r="UZG187" s="11"/>
      <c r="UZH187" s="12"/>
      <c r="UZQ187" s="11"/>
      <c r="UZR187" s="12"/>
      <c r="VAA187" s="11"/>
      <c r="VAB187" s="12"/>
      <c r="VAK187" s="11"/>
      <c r="VAL187" s="12"/>
      <c r="VAU187" s="11"/>
      <c r="VAV187" s="12"/>
      <c r="VBE187" s="11"/>
      <c r="VBF187" s="12"/>
      <c r="VBO187" s="11"/>
      <c r="VBP187" s="12"/>
      <c r="VBY187" s="11"/>
      <c r="VBZ187" s="12"/>
      <c r="VCI187" s="11"/>
      <c r="VCJ187" s="12"/>
      <c r="VCS187" s="11"/>
      <c r="VCT187" s="12"/>
      <c r="VDC187" s="11"/>
      <c r="VDD187" s="12"/>
      <c r="VDM187" s="11"/>
      <c r="VDN187" s="12"/>
      <c r="VDW187" s="11"/>
      <c r="VDX187" s="12"/>
      <c r="VEG187" s="11"/>
      <c r="VEH187" s="12"/>
      <c r="VEQ187" s="11"/>
      <c r="VER187" s="12"/>
      <c r="VFA187" s="11"/>
      <c r="VFB187" s="12"/>
      <c r="VFK187" s="11"/>
      <c r="VFL187" s="12"/>
      <c r="VFU187" s="11"/>
      <c r="VFV187" s="12"/>
      <c r="VGE187" s="11"/>
      <c r="VGF187" s="12"/>
      <c r="VGO187" s="11"/>
      <c r="VGP187" s="12"/>
      <c r="VGY187" s="11"/>
      <c r="VGZ187" s="12"/>
      <c r="VHI187" s="11"/>
      <c r="VHJ187" s="12"/>
      <c r="VHS187" s="11"/>
      <c r="VHT187" s="12"/>
      <c r="VIC187" s="11"/>
      <c r="VID187" s="12"/>
      <c r="VIM187" s="11"/>
      <c r="VIN187" s="12"/>
      <c r="VIW187" s="11"/>
      <c r="VIX187" s="12"/>
      <c r="VJG187" s="11"/>
      <c r="VJH187" s="12"/>
      <c r="VJQ187" s="11"/>
      <c r="VJR187" s="12"/>
      <c r="VKA187" s="11"/>
      <c r="VKB187" s="12"/>
      <c r="VKK187" s="11"/>
      <c r="VKL187" s="12"/>
      <c r="VKU187" s="11"/>
      <c r="VKV187" s="12"/>
      <c r="VLE187" s="11"/>
      <c r="VLF187" s="12"/>
      <c r="VLO187" s="11"/>
      <c r="VLP187" s="12"/>
      <c r="VLY187" s="11"/>
      <c r="VLZ187" s="12"/>
      <c r="VMI187" s="11"/>
      <c r="VMJ187" s="12"/>
      <c r="VMS187" s="11"/>
      <c r="VMT187" s="12"/>
      <c r="VNC187" s="11"/>
      <c r="VND187" s="12"/>
      <c r="VNM187" s="11"/>
      <c r="VNN187" s="12"/>
      <c r="VNW187" s="11"/>
      <c r="VNX187" s="12"/>
      <c r="VOG187" s="11"/>
      <c r="VOH187" s="12"/>
      <c r="VOQ187" s="11"/>
      <c r="VOR187" s="12"/>
      <c r="VPA187" s="11"/>
      <c r="VPB187" s="12"/>
      <c r="VPK187" s="11"/>
      <c r="VPL187" s="12"/>
      <c r="VPU187" s="11"/>
      <c r="VPV187" s="12"/>
      <c r="VQE187" s="11"/>
      <c r="VQF187" s="12"/>
      <c r="VQO187" s="11"/>
      <c r="VQP187" s="12"/>
      <c r="VQY187" s="11"/>
      <c r="VQZ187" s="12"/>
      <c r="VRI187" s="11"/>
      <c r="VRJ187" s="12"/>
      <c r="VRS187" s="11"/>
      <c r="VRT187" s="12"/>
      <c r="VSC187" s="11"/>
      <c r="VSD187" s="12"/>
      <c r="VSM187" s="11"/>
      <c r="VSN187" s="12"/>
      <c r="VSW187" s="11"/>
      <c r="VSX187" s="12"/>
      <c r="VTG187" s="11"/>
      <c r="VTH187" s="12"/>
      <c r="VTQ187" s="11"/>
      <c r="VTR187" s="12"/>
      <c r="VUA187" s="11"/>
      <c r="VUB187" s="12"/>
      <c r="VUK187" s="11"/>
      <c r="VUL187" s="12"/>
      <c r="VUU187" s="11"/>
      <c r="VUV187" s="12"/>
      <c r="VVE187" s="11"/>
      <c r="VVF187" s="12"/>
      <c r="VVO187" s="11"/>
      <c r="VVP187" s="12"/>
      <c r="VVY187" s="11"/>
      <c r="VVZ187" s="12"/>
      <c r="VWI187" s="11"/>
      <c r="VWJ187" s="12"/>
      <c r="VWS187" s="11"/>
      <c r="VWT187" s="12"/>
      <c r="VXC187" s="11"/>
      <c r="VXD187" s="12"/>
      <c r="VXM187" s="11"/>
      <c r="VXN187" s="12"/>
      <c r="VXW187" s="11"/>
      <c r="VXX187" s="12"/>
      <c r="VYG187" s="11"/>
      <c r="VYH187" s="12"/>
      <c r="VYQ187" s="11"/>
      <c r="VYR187" s="12"/>
      <c r="VZA187" s="11"/>
      <c r="VZB187" s="12"/>
      <c r="VZK187" s="11"/>
      <c r="VZL187" s="12"/>
      <c r="VZU187" s="11"/>
      <c r="VZV187" s="12"/>
      <c r="WAE187" s="11"/>
      <c r="WAF187" s="12"/>
      <c r="WAO187" s="11"/>
      <c r="WAP187" s="12"/>
      <c r="WAY187" s="11"/>
      <c r="WAZ187" s="12"/>
      <c r="WBI187" s="11"/>
      <c r="WBJ187" s="12"/>
      <c r="WBS187" s="11"/>
      <c r="WBT187" s="12"/>
      <c r="WCC187" s="11"/>
      <c r="WCD187" s="12"/>
      <c r="WCM187" s="11"/>
      <c r="WCN187" s="12"/>
      <c r="WCW187" s="11"/>
      <c r="WCX187" s="12"/>
      <c r="WDG187" s="11"/>
      <c r="WDH187" s="12"/>
      <c r="WDQ187" s="11"/>
      <c r="WDR187" s="12"/>
      <c r="WEA187" s="11"/>
      <c r="WEB187" s="12"/>
      <c r="WEK187" s="11"/>
      <c r="WEL187" s="12"/>
      <c r="WEU187" s="11"/>
      <c r="WEV187" s="12"/>
      <c r="WFE187" s="11"/>
      <c r="WFF187" s="12"/>
      <c r="WFO187" s="11"/>
      <c r="WFP187" s="12"/>
      <c r="WFY187" s="11"/>
      <c r="WFZ187" s="12"/>
      <c r="WGI187" s="11"/>
      <c r="WGJ187" s="12"/>
      <c r="WGS187" s="11"/>
      <c r="WGT187" s="12"/>
      <c r="WHC187" s="11"/>
      <c r="WHD187" s="12"/>
      <c r="WHM187" s="11"/>
      <c r="WHN187" s="12"/>
      <c r="WHW187" s="11"/>
      <c r="WHX187" s="12"/>
      <c r="WIG187" s="11"/>
      <c r="WIH187" s="12"/>
      <c r="WIQ187" s="11"/>
      <c r="WIR187" s="12"/>
      <c r="WJA187" s="11"/>
      <c r="WJB187" s="12"/>
      <c r="WJK187" s="11"/>
      <c r="WJL187" s="12"/>
      <c r="WJU187" s="11"/>
      <c r="WJV187" s="12"/>
      <c r="WKE187" s="11"/>
      <c r="WKF187" s="12"/>
      <c r="WKO187" s="11"/>
      <c r="WKP187" s="12"/>
      <c r="WKY187" s="11"/>
      <c r="WKZ187" s="12"/>
      <c r="WLI187" s="11"/>
      <c r="WLJ187" s="12"/>
      <c r="WLS187" s="11"/>
      <c r="WLT187" s="12"/>
      <c r="WMC187" s="11"/>
      <c r="WMD187" s="12"/>
      <c r="WMM187" s="11"/>
      <c r="WMN187" s="12"/>
      <c r="WMW187" s="11"/>
      <c r="WMX187" s="12"/>
      <c r="WNG187" s="11"/>
      <c r="WNH187" s="12"/>
      <c r="WNQ187" s="11"/>
      <c r="WNR187" s="12"/>
      <c r="WOA187" s="11"/>
      <c r="WOB187" s="12"/>
      <c r="WOK187" s="11"/>
      <c r="WOL187" s="12"/>
      <c r="WOU187" s="11"/>
      <c r="WOV187" s="12"/>
      <c r="WPE187" s="11"/>
      <c r="WPF187" s="12"/>
      <c r="WPO187" s="11"/>
      <c r="WPP187" s="12"/>
      <c r="WPY187" s="11"/>
      <c r="WPZ187" s="12"/>
      <c r="WQI187" s="11"/>
      <c r="WQJ187" s="12"/>
      <c r="WQS187" s="11"/>
      <c r="WQT187" s="12"/>
      <c r="WRC187" s="11"/>
      <c r="WRD187" s="12"/>
      <c r="WRM187" s="11"/>
      <c r="WRN187" s="12"/>
      <c r="WRW187" s="11"/>
      <c r="WRX187" s="12"/>
      <c r="WSG187" s="11"/>
      <c r="WSH187" s="12"/>
      <c r="WSQ187" s="11"/>
      <c r="WSR187" s="12"/>
      <c r="WTA187" s="11"/>
      <c r="WTB187" s="12"/>
      <c r="WTK187" s="11"/>
      <c r="WTL187" s="12"/>
      <c r="WTU187" s="11"/>
      <c r="WTV187" s="12"/>
      <c r="WUE187" s="11"/>
      <c r="WUF187" s="12"/>
      <c r="WUO187" s="11"/>
      <c r="WUP187" s="12"/>
      <c r="WUY187" s="11"/>
      <c r="WUZ187" s="12"/>
      <c r="WVI187" s="11"/>
      <c r="WVJ187" s="12"/>
      <c r="WVS187" s="11"/>
      <c r="WVT187" s="12"/>
      <c r="WWC187" s="11"/>
      <c r="WWD187" s="12"/>
      <c r="WWM187" s="11"/>
      <c r="WWN187" s="12"/>
      <c r="WWW187" s="11"/>
      <c r="WWX187" s="12"/>
      <c r="WXG187" s="11"/>
      <c r="WXH187" s="12"/>
      <c r="WXQ187" s="11"/>
      <c r="WXR187" s="12"/>
      <c r="WYA187" s="11"/>
      <c r="WYB187" s="12"/>
      <c r="WYK187" s="11"/>
      <c r="WYL187" s="12"/>
      <c r="WYU187" s="11"/>
      <c r="WYV187" s="12"/>
      <c r="WZE187" s="11"/>
      <c r="WZF187" s="12"/>
      <c r="WZO187" s="11"/>
      <c r="WZP187" s="12"/>
      <c r="WZY187" s="11"/>
      <c r="WZZ187" s="12"/>
      <c r="XAI187" s="11"/>
      <c r="XAJ187" s="12"/>
      <c r="XAS187" s="11"/>
      <c r="XAT187" s="12"/>
      <c r="XBC187" s="11"/>
      <c r="XBD187" s="12"/>
      <c r="XBM187" s="11"/>
      <c r="XBN187" s="12"/>
      <c r="XBW187" s="11"/>
      <c r="XBX187" s="12"/>
      <c r="XCG187" s="11"/>
      <c r="XCH187" s="12"/>
      <c r="XCQ187" s="11"/>
      <c r="XCR187" s="12"/>
      <c r="XDA187" s="11"/>
      <c r="XDB187" s="12"/>
      <c r="XDK187" s="11"/>
      <c r="XDL187" s="12"/>
      <c r="XDU187" s="11"/>
      <c r="XDV187" s="12"/>
      <c r="XEE187" s="11"/>
      <c r="XEF187" s="12"/>
      <c r="XEO187" s="11"/>
      <c r="XEP187" s="12"/>
      <c r="XEY187" s="11"/>
      <c r="XEZ187" s="12"/>
    </row>
    <row r="188" spans="1:1020 1029:2040 2049:3070 3079:4090 4099:5120 5129:6140 6149:7160 7169:8190 8199:9210 9219:10240 10249:11260 11269:12280 12289:13310 13319:14330 14339:15360 15369:16380" s="10" customFormat="1" ht="30" customHeight="1" x14ac:dyDescent="0.3">
      <c r="A188"/>
      <c r="B188"/>
      <c r="C188"/>
      <c r="D188"/>
      <c r="E188"/>
      <c r="F188"/>
      <c r="G188"/>
      <c r="H188" s="32" t="s">
        <v>9</v>
      </c>
      <c r="I188" s="33" t="s">
        <v>20</v>
      </c>
      <c r="J188" s="34" t="s">
        <v>441</v>
      </c>
      <c r="K188" s="35" t="s">
        <v>290</v>
      </c>
      <c r="L188" s="33" t="s">
        <v>138</v>
      </c>
      <c r="M188" s="33"/>
      <c r="N188" s="36"/>
      <c r="O188" s="33">
        <v>1</v>
      </c>
      <c r="P188" s="33">
        <f>IF(Tabela1[[#This Row],[Status]]="✔️",Tabela1[[#This Row],[Peso]],IF(Tabela1[[#This Row],[Status]]="✔️✔️",Tabela1[[#This Row],[Peso]]/2,0))</f>
        <v>0</v>
      </c>
      <c r="Q18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8" s="33" t="s">
        <v>264</v>
      </c>
      <c r="S188" s="37" t="s">
        <v>263</v>
      </c>
      <c r="T188" s="12"/>
      <c r="AC188" s="11"/>
      <c r="AD188" s="12"/>
      <c r="AM188" s="11"/>
      <c r="AN188" s="12"/>
      <c r="AW188" s="11"/>
      <c r="AX188" s="12"/>
      <c r="BG188" s="11"/>
      <c r="BH188" s="12"/>
      <c r="BQ188" s="11"/>
      <c r="BR188" s="12"/>
      <c r="CA188" s="11"/>
      <c r="CB188" s="12"/>
      <c r="CK188" s="11"/>
      <c r="CL188" s="12"/>
      <c r="CU188" s="11"/>
      <c r="CV188" s="12"/>
      <c r="DE188" s="11"/>
      <c r="DF188" s="12"/>
      <c r="DO188" s="11"/>
      <c r="DP188" s="12"/>
      <c r="DY188" s="11"/>
      <c r="DZ188" s="12"/>
      <c r="EI188" s="11"/>
      <c r="EJ188" s="12"/>
      <c r="ES188" s="11"/>
      <c r="ET188" s="12"/>
      <c r="FC188" s="11"/>
      <c r="FD188" s="12"/>
      <c r="FM188" s="11"/>
      <c r="FN188" s="12"/>
      <c r="FW188" s="11"/>
      <c r="FX188" s="12"/>
      <c r="GG188" s="11"/>
      <c r="GH188" s="12"/>
      <c r="GQ188" s="11"/>
      <c r="GR188" s="12"/>
      <c r="HA188" s="11"/>
      <c r="HB188" s="12"/>
      <c r="HK188" s="11"/>
      <c r="HL188" s="12"/>
      <c r="HU188" s="11"/>
      <c r="HV188" s="12"/>
      <c r="IE188" s="11"/>
      <c r="IF188" s="12"/>
      <c r="IO188" s="11"/>
      <c r="IP188" s="12"/>
      <c r="IY188" s="11"/>
      <c r="IZ188" s="12"/>
      <c r="JI188" s="11"/>
      <c r="JJ188" s="12"/>
      <c r="JS188" s="11"/>
      <c r="JT188" s="12"/>
      <c r="KC188" s="11"/>
      <c r="KD188" s="12"/>
      <c r="KM188" s="11"/>
      <c r="KN188" s="12"/>
      <c r="KW188" s="11"/>
      <c r="KX188" s="12"/>
      <c r="LG188" s="11"/>
      <c r="LH188" s="12"/>
      <c r="LQ188" s="11"/>
      <c r="LR188" s="12"/>
      <c r="MA188" s="11"/>
      <c r="MB188" s="12"/>
      <c r="MK188" s="11"/>
      <c r="ML188" s="12"/>
      <c r="MU188" s="11"/>
      <c r="MV188" s="12"/>
      <c r="NE188" s="11"/>
      <c r="NF188" s="12"/>
      <c r="NO188" s="11"/>
      <c r="NP188" s="12"/>
      <c r="NY188" s="11"/>
      <c r="NZ188" s="12"/>
      <c r="OI188" s="11"/>
      <c r="OJ188" s="12"/>
      <c r="OS188" s="11"/>
      <c r="OT188" s="12"/>
      <c r="PC188" s="11"/>
      <c r="PD188" s="12"/>
      <c r="PM188" s="11"/>
      <c r="PN188" s="12"/>
      <c r="PW188" s="11"/>
      <c r="PX188" s="12"/>
      <c r="QG188" s="11"/>
      <c r="QH188" s="12"/>
      <c r="QQ188" s="11"/>
      <c r="QR188" s="12"/>
      <c r="RA188" s="11"/>
      <c r="RB188" s="12"/>
      <c r="RK188" s="11"/>
      <c r="RL188" s="12"/>
      <c r="RU188" s="11"/>
      <c r="RV188" s="12"/>
      <c r="SE188" s="11"/>
      <c r="SF188" s="12"/>
      <c r="SO188" s="11"/>
      <c r="SP188" s="12"/>
      <c r="SY188" s="11"/>
      <c r="SZ188" s="12"/>
      <c r="TI188" s="11"/>
      <c r="TJ188" s="12"/>
      <c r="TS188" s="11"/>
      <c r="TT188" s="12"/>
      <c r="UC188" s="11"/>
      <c r="UD188" s="12"/>
      <c r="UM188" s="11"/>
      <c r="UN188" s="12"/>
      <c r="UW188" s="11"/>
      <c r="UX188" s="12"/>
      <c r="VG188" s="11"/>
      <c r="VH188" s="12"/>
      <c r="VQ188" s="11"/>
      <c r="VR188" s="12"/>
      <c r="WA188" s="11"/>
      <c r="WB188" s="12"/>
      <c r="WK188" s="11"/>
      <c r="WL188" s="12"/>
      <c r="WU188" s="11"/>
      <c r="WV188" s="12"/>
      <c r="XE188" s="11"/>
      <c r="XF188" s="12"/>
      <c r="XO188" s="11"/>
      <c r="XP188" s="12"/>
      <c r="XY188" s="11"/>
      <c r="XZ188" s="12"/>
      <c r="YI188" s="11"/>
      <c r="YJ188" s="12"/>
      <c r="YS188" s="11"/>
      <c r="YT188" s="12"/>
      <c r="ZC188" s="11"/>
      <c r="ZD188" s="12"/>
      <c r="ZM188" s="11"/>
      <c r="ZN188" s="12"/>
      <c r="ZW188" s="11"/>
      <c r="ZX188" s="12"/>
      <c r="AAG188" s="11"/>
      <c r="AAH188" s="12"/>
      <c r="AAQ188" s="11"/>
      <c r="AAR188" s="12"/>
      <c r="ABA188" s="11"/>
      <c r="ABB188" s="12"/>
      <c r="ABK188" s="11"/>
      <c r="ABL188" s="12"/>
      <c r="ABU188" s="11"/>
      <c r="ABV188" s="12"/>
      <c r="ACE188" s="11"/>
      <c r="ACF188" s="12"/>
      <c r="ACO188" s="11"/>
      <c r="ACP188" s="12"/>
      <c r="ACY188" s="11"/>
      <c r="ACZ188" s="12"/>
      <c r="ADI188" s="11"/>
      <c r="ADJ188" s="12"/>
      <c r="ADS188" s="11"/>
      <c r="ADT188" s="12"/>
      <c r="AEC188" s="11"/>
      <c r="AED188" s="12"/>
      <c r="AEM188" s="11"/>
      <c r="AEN188" s="12"/>
      <c r="AEW188" s="11"/>
      <c r="AEX188" s="12"/>
      <c r="AFG188" s="11"/>
      <c r="AFH188" s="12"/>
      <c r="AFQ188" s="11"/>
      <c r="AFR188" s="12"/>
      <c r="AGA188" s="11"/>
      <c r="AGB188" s="12"/>
      <c r="AGK188" s="11"/>
      <c r="AGL188" s="12"/>
      <c r="AGU188" s="11"/>
      <c r="AGV188" s="12"/>
      <c r="AHE188" s="11"/>
      <c r="AHF188" s="12"/>
      <c r="AHO188" s="11"/>
      <c r="AHP188" s="12"/>
      <c r="AHY188" s="11"/>
      <c r="AHZ188" s="12"/>
      <c r="AII188" s="11"/>
      <c r="AIJ188" s="12"/>
      <c r="AIS188" s="11"/>
      <c r="AIT188" s="12"/>
      <c r="AJC188" s="11"/>
      <c r="AJD188" s="12"/>
      <c r="AJM188" s="11"/>
      <c r="AJN188" s="12"/>
      <c r="AJW188" s="11"/>
      <c r="AJX188" s="12"/>
      <c r="AKG188" s="11"/>
      <c r="AKH188" s="12"/>
      <c r="AKQ188" s="11"/>
      <c r="AKR188" s="12"/>
      <c r="ALA188" s="11"/>
      <c r="ALB188" s="12"/>
      <c r="ALK188" s="11"/>
      <c r="ALL188" s="12"/>
      <c r="ALU188" s="11"/>
      <c r="ALV188" s="12"/>
      <c r="AME188" s="11"/>
      <c r="AMF188" s="12"/>
      <c r="AMO188" s="11"/>
      <c r="AMP188" s="12"/>
      <c r="AMY188" s="11"/>
      <c r="AMZ188" s="12"/>
      <c r="ANI188" s="11"/>
      <c r="ANJ188" s="12"/>
      <c r="ANS188" s="11"/>
      <c r="ANT188" s="12"/>
      <c r="AOC188" s="11"/>
      <c r="AOD188" s="12"/>
      <c r="AOM188" s="11"/>
      <c r="AON188" s="12"/>
      <c r="AOW188" s="11"/>
      <c r="AOX188" s="12"/>
      <c r="APG188" s="11"/>
      <c r="APH188" s="12"/>
      <c r="APQ188" s="11"/>
      <c r="APR188" s="12"/>
      <c r="AQA188" s="11"/>
      <c r="AQB188" s="12"/>
      <c r="AQK188" s="11"/>
      <c r="AQL188" s="12"/>
      <c r="AQU188" s="11"/>
      <c r="AQV188" s="12"/>
      <c r="ARE188" s="11"/>
      <c r="ARF188" s="12"/>
      <c r="ARO188" s="11"/>
      <c r="ARP188" s="12"/>
      <c r="ARY188" s="11"/>
      <c r="ARZ188" s="12"/>
      <c r="ASI188" s="11"/>
      <c r="ASJ188" s="12"/>
      <c r="ASS188" s="11"/>
      <c r="AST188" s="12"/>
      <c r="ATC188" s="11"/>
      <c r="ATD188" s="12"/>
      <c r="ATM188" s="11"/>
      <c r="ATN188" s="12"/>
      <c r="ATW188" s="11"/>
      <c r="ATX188" s="12"/>
      <c r="AUG188" s="11"/>
      <c r="AUH188" s="12"/>
      <c r="AUQ188" s="11"/>
      <c r="AUR188" s="12"/>
      <c r="AVA188" s="11"/>
      <c r="AVB188" s="12"/>
      <c r="AVK188" s="11"/>
      <c r="AVL188" s="12"/>
      <c r="AVU188" s="11"/>
      <c r="AVV188" s="12"/>
      <c r="AWE188" s="11"/>
      <c r="AWF188" s="12"/>
      <c r="AWO188" s="11"/>
      <c r="AWP188" s="12"/>
      <c r="AWY188" s="11"/>
      <c r="AWZ188" s="12"/>
      <c r="AXI188" s="11"/>
      <c r="AXJ188" s="12"/>
      <c r="AXS188" s="11"/>
      <c r="AXT188" s="12"/>
      <c r="AYC188" s="11"/>
      <c r="AYD188" s="12"/>
      <c r="AYM188" s="11"/>
      <c r="AYN188" s="12"/>
      <c r="AYW188" s="11"/>
      <c r="AYX188" s="12"/>
      <c r="AZG188" s="11"/>
      <c r="AZH188" s="12"/>
      <c r="AZQ188" s="11"/>
      <c r="AZR188" s="12"/>
      <c r="BAA188" s="11"/>
      <c r="BAB188" s="12"/>
      <c r="BAK188" s="11"/>
      <c r="BAL188" s="12"/>
      <c r="BAU188" s="11"/>
      <c r="BAV188" s="12"/>
      <c r="BBE188" s="11"/>
      <c r="BBF188" s="12"/>
      <c r="BBO188" s="11"/>
      <c r="BBP188" s="12"/>
      <c r="BBY188" s="11"/>
      <c r="BBZ188" s="12"/>
      <c r="BCI188" s="11"/>
      <c r="BCJ188" s="12"/>
      <c r="BCS188" s="11"/>
      <c r="BCT188" s="12"/>
      <c r="BDC188" s="11"/>
      <c r="BDD188" s="12"/>
      <c r="BDM188" s="11"/>
      <c r="BDN188" s="12"/>
      <c r="BDW188" s="11"/>
      <c r="BDX188" s="12"/>
      <c r="BEG188" s="11"/>
      <c r="BEH188" s="12"/>
      <c r="BEQ188" s="11"/>
      <c r="BER188" s="12"/>
      <c r="BFA188" s="11"/>
      <c r="BFB188" s="12"/>
      <c r="BFK188" s="11"/>
      <c r="BFL188" s="12"/>
      <c r="BFU188" s="11"/>
      <c r="BFV188" s="12"/>
      <c r="BGE188" s="11"/>
      <c r="BGF188" s="12"/>
      <c r="BGO188" s="11"/>
      <c r="BGP188" s="12"/>
      <c r="BGY188" s="11"/>
      <c r="BGZ188" s="12"/>
      <c r="BHI188" s="11"/>
      <c r="BHJ188" s="12"/>
      <c r="BHS188" s="11"/>
      <c r="BHT188" s="12"/>
      <c r="BIC188" s="11"/>
      <c r="BID188" s="12"/>
      <c r="BIM188" s="11"/>
      <c r="BIN188" s="12"/>
      <c r="BIW188" s="11"/>
      <c r="BIX188" s="12"/>
      <c r="BJG188" s="11"/>
      <c r="BJH188" s="12"/>
      <c r="BJQ188" s="11"/>
      <c r="BJR188" s="12"/>
      <c r="BKA188" s="11"/>
      <c r="BKB188" s="12"/>
      <c r="BKK188" s="11"/>
      <c r="BKL188" s="12"/>
      <c r="BKU188" s="11"/>
      <c r="BKV188" s="12"/>
      <c r="BLE188" s="11"/>
      <c r="BLF188" s="12"/>
      <c r="BLO188" s="11"/>
      <c r="BLP188" s="12"/>
      <c r="BLY188" s="11"/>
      <c r="BLZ188" s="12"/>
      <c r="BMI188" s="11"/>
      <c r="BMJ188" s="12"/>
      <c r="BMS188" s="11"/>
      <c r="BMT188" s="12"/>
      <c r="BNC188" s="11"/>
      <c r="BND188" s="12"/>
      <c r="BNM188" s="11"/>
      <c r="BNN188" s="12"/>
      <c r="BNW188" s="11"/>
      <c r="BNX188" s="12"/>
      <c r="BOG188" s="11"/>
      <c r="BOH188" s="12"/>
      <c r="BOQ188" s="11"/>
      <c r="BOR188" s="12"/>
      <c r="BPA188" s="11"/>
      <c r="BPB188" s="12"/>
      <c r="BPK188" s="11"/>
      <c r="BPL188" s="12"/>
      <c r="BPU188" s="11"/>
      <c r="BPV188" s="12"/>
      <c r="BQE188" s="11"/>
      <c r="BQF188" s="12"/>
      <c r="BQO188" s="11"/>
      <c r="BQP188" s="12"/>
      <c r="BQY188" s="11"/>
      <c r="BQZ188" s="12"/>
      <c r="BRI188" s="11"/>
      <c r="BRJ188" s="12"/>
      <c r="BRS188" s="11"/>
      <c r="BRT188" s="12"/>
      <c r="BSC188" s="11"/>
      <c r="BSD188" s="12"/>
      <c r="BSM188" s="11"/>
      <c r="BSN188" s="12"/>
      <c r="BSW188" s="11"/>
      <c r="BSX188" s="12"/>
      <c r="BTG188" s="11"/>
      <c r="BTH188" s="12"/>
      <c r="BTQ188" s="11"/>
      <c r="BTR188" s="12"/>
      <c r="BUA188" s="11"/>
      <c r="BUB188" s="12"/>
      <c r="BUK188" s="11"/>
      <c r="BUL188" s="12"/>
      <c r="BUU188" s="11"/>
      <c r="BUV188" s="12"/>
      <c r="BVE188" s="11"/>
      <c r="BVF188" s="12"/>
      <c r="BVO188" s="11"/>
      <c r="BVP188" s="12"/>
      <c r="BVY188" s="11"/>
      <c r="BVZ188" s="12"/>
      <c r="BWI188" s="11"/>
      <c r="BWJ188" s="12"/>
      <c r="BWS188" s="11"/>
      <c r="BWT188" s="12"/>
      <c r="BXC188" s="11"/>
      <c r="BXD188" s="12"/>
      <c r="BXM188" s="11"/>
      <c r="BXN188" s="12"/>
      <c r="BXW188" s="11"/>
      <c r="BXX188" s="12"/>
      <c r="BYG188" s="11"/>
      <c r="BYH188" s="12"/>
      <c r="BYQ188" s="11"/>
      <c r="BYR188" s="12"/>
      <c r="BZA188" s="11"/>
      <c r="BZB188" s="12"/>
      <c r="BZK188" s="11"/>
      <c r="BZL188" s="12"/>
      <c r="BZU188" s="11"/>
      <c r="BZV188" s="12"/>
      <c r="CAE188" s="11"/>
      <c r="CAF188" s="12"/>
      <c r="CAO188" s="11"/>
      <c r="CAP188" s="12"/>
      <c r="CAY188" s="11"/>
      <c r="CAZ188" s="12"/>
      <c r="CBI188" s="11"/>
      <c r="CBJ188" s="12"/>
      <c r="CBS188" s="11"/>
      <c r="CBT188" s="12"/>
      <c r="CCC188" s="11"/>
      <c r="CCD188" s="12"/>
      <c r="CCM188" s="11"/>
      <c r="CCN188" s="12"/>
      <c r="CCW188" s="11"/>
      <c r="CCX188" s="12"/>
      <c r="CDG188" s="11"/>
      <c r="CDH188" s="12"/>
      <c r="CDQ188" s="11"/>
      <c r="CDR188" s="12"/>
      <c r="CEA188" s="11"/>
      <c r="CEB188" s="12"/>
      <c r="CEK188" s="11"/>
      <c r="CEL188" s="12"/>
      <c r="CEU188" s="11"/>
      <c r="CEV188" s="12"/>
      <c r="CFE188" s="11"/>
      <c r="CFF188" s="12"/>
      <c r="CFO188" s="11"/>
      <c r="CFP188" s="12"/>
      <c r="CFY188" s="11"/>
      <c r="CFZ188" s="12"/>
      <c r="CGI188" s="11"/>
      <c r="CGJ188" s="12"/>
      <c r="CGS188" s="11"/>
      <c r="CGT188" s="12"/>
      <c r="CHC188" s="11"/>
      <c r="CHD188" s="12"/>
      <c r="CHM188" s="11"/>
      <c r="CHN188" s="12"/>
      <c r="CHW188" s="11"/>
      <c r="CHX188" s="12"/>
      <c r="CIG188" s="11"/>
      <c r="CIH188" s="12"/>
      <c r="CIQ188" s="11"/>
      <c r="CIR188" s="12"/>
      <c r="CJA188" s="11"/>
      <c r="CJB188" s="12"/>
      <c r="CJK188" s="11"/>
      <c r="CJL188" s="12"/>
      <c r="CJU188" s="11"/>
      <c r="CJV188" s="12"/>
      <c r="CKE188" s="11"/>
      <c r="CKF188" s="12"/>
      <c r="CKO188" s="11"/>
      <c r="CKP188" s="12"/>
      <c r="CKY188" s="11"/>
      <c r="CKZ188" s="12"/>
      <c r="CLI188" s="11"/>
      <c r="CLJ188" s="12"/>
      <c r="CLS188" s="11"/>
      <c r="CLT188" s="12"/>
      <c r="CMC188" s="11"/>
      <c r="CMD188" s="12"/>
      <c r="CMM188" s="11"/>
      <c r="CMN188" s="12"/>
      <c r="CMW188" s="11"/>
      <c r="CMX188" s="12"/>
      <c r="CNG188" s="11"/>
      <c r="CNH188" s="12"/>
      <c r="CNQ188" s="11"/>
      <c r="CNR188" s="12"/>
      <c r="COA188" s="11"/>
      <c r="COB188" s="12"/>
      <c r="COK188" s="11"/>
      <c r="COL188" s="12"/>
      <c r="COU188" s="11"/>
      <c r="COV188" s="12"/>
      <c r="CPE188" s="11"/>
      <c r="CPF188" s="12"/>
      <c r="CPO188" s="11"/>
      <c r="CPP188" s="12"/>
      <c r="CPY188" s="11"/>
      <c r="CPZ188" s="12"/>
      <c r="CQI188" s="11"/>
      <c r="CQJ188" s="12"/>
      <c r="CQS188" s="11"/>
      <c r="CQT188" s="12"/>
      <c r="CRC188" s="11"/>
      <c r="CRD188" s="12"/>
      <c r="CRM188" s="11"/>
      <c r="CRN188" s="12"/>
      <c r="CRW188" s="11"/>
      <c r="CRX188" s="12"/>
      <c r="CSG188" s="11"/>
      <c r="CSH188" s="12"/>
      <c r="CSQ188" s="11"/>
      <c r="CSR188" s="12"/>
      <c r="CTA188" s="11"/>
      <c r="CTB188" s="12"/>
      <c r="CTK188" s="11"/>
      <c r="CTL188" s="12"/>
      <c r="CTU188" s="11"/>
      <c r="CTV188" s="12"/>
      <c r="CUE188" s="11"/>
      <c r="CUF188" s="12"/>
      <c r="CUO188" s="11"/>
      <c r="CUP188" s="12"/>
      <c r="CUY188" s="11"/>
      <c r="CUZ188" s="12"/>
      <c r="CVI188" s="11"/>
      <c r="CVJ188" s="12"/>
      <c r="CVS188" s="11"/>
      <c r="CVT188" s="12"/>
      <c r="CWC188" s="11"/>
      <c r="CWD188" s="12"/>
      <c r="CWM188" s="11"/>
      <c r="CWN188" s="12"/>
      <c r="CWW188" s="11"/>
      <c r="CWX188" s="12"/>
      <c r="CXG188" s="11"/>
      <c r="CXH188" s="12"/>
      <c r="CXQ188" s="11"/>
      <c r="CXR188" s="12"/>
      <c r="CYA188" s="11"/>
      <c r="CYB188" s="12"/>
      <c r="CYK188" s="11"/>
      <c r="CYL188" s="12"/>
      <c r="CYU188" s="11"/>
      <c r="CYV188" s="12"/>
      <c r="CZE188" s="11"/>
      <c r="CZF188" s="12"/>
      <c r="CZO188" s="11"/>
      <c r="CZP188" s="12"/>
      <c r="CZY188" s="11"/>
      <c r="CZZ188" s="12"/>
      <c r="DAI188" s="11"/>
      <c r="DAJ188" s="12"/>
      <c r="DAS188" s="11"/>
      <c r="DAT188" s="12"/>
      <c r="DBC188" s="11"/>
      <c r="DBD188" s="12"/>
      <c r="DBM188" s="11"/>
      <c r="DBN188" s="12"/>
      <c r="DBW188" s="11"/>
      <c r="DBX188" s="12"/>
      <c r="DCG188" s="11"/>
      <c r="DCH188" s="12"/>
      <c r="DCQ188" s="11"/>
      <c r="DCR188" s="12"/>
      <c r="DDA188" s="11"/>
      <c r="DDB188" s="12"/>
      <c r="DDK188" s="11"/>
      <c r="DDL188" s="12"/>
      <c r="DDU188" s="11"/>
      <c r="DDV188" s="12"/>
      <c r="DEE188" s="11"/>
      <c r="DEF188" s="12"/>
      <c r="DEO188" s="11"/>
      <c r="DEP188" s="12"/>
      <c r="DEY188" s="11"/>
      <c r="DEZ188" s="12"/>
      <c r="DFI188" s="11"/>
      <c r="DFJ188" s="12"/>
      <c r="DFS188" s="11"/>
      <c r="DFT188" s="12"/>
      <c r="DGC188" s="11"/>
      <c r="DGD188" s="12"/>
      <c r="DGM188" s="11"/>
      <c r="DGN188" s="12"/>
      <c r="DGW188" s="11"/>
      <c r="DGX188" s="12"/>
      <c r="DHG188" s="11"/>
      <c r="DHH188" s="12"/>
      <c r="DHQ188" s="11"/>
      <c r="DHR188" s="12"/>
      <c r="DIA188" s="11"/>
      <c r="DIB188" s="12"/>
      <c r="DIK188" s="11"/>
      <c r="DIL188" s="12"/>
      <c r="DIU188" s="11"/>
      <c r="DIV188" s="12"/>
      <c r="DJE188" s="11"/>
      <c r="DJF188" s="12"/>
      <c r="DJO188" s="11"/>
      <c r="DJP188" s="12"/>
      <c r="DJY188" s="11"/>
      <c r="DJZ188" s="12"/>
      <c r="DKI188" s="11"/>
      <c r="DKJ188" s="12"/>
      <c r="DKS188" s="11"/>
      <c r="DKT188" s="12"/>
      <c r="DLC188" s="11"/>
      <c r="DLD188" s="12"/>
      <c r="DLM188" s="11"/>
      <c r="DLN188" s="12"/>
      <c r="DLW188" s="11"/>
      <c r="DLX188" s="12"/>
      <c r="DMG188" s="11"/>
      <c r="DMH188" s="12"/>
      <c r="DMQ188" s="11"/>
      <c r="DMR188" s="12"/>
      <c r="DNA188" s="11"/>
      <c r="DNB188" s="12"/>
      <c r="DNK188" s="11"/>
      <c r="DNL188" s="12"/>
      <c r="DNU188" s="11"/>
      <c r="DNV188" s="12"/>
      <c r="DOE188" s="11"/>
      <c r="DOF188" s="12"/>
      <c r="DOO188" s="11"/>
      <c r="DOP188" s="12"/>
      <c r="DOY188" s="11"/>
      <c r="DOZ188" s="12"/>
      <c r="DPI188" s="11"/>
      <c r="DPJ188" s="12"/>
      <c r="DPS188" s="11"/>
      <c r="DPT188" s="12"/>
      <c r="DQC188" s="11"/>
      <c r="DQD188" s="12"/>
      <c r="DQM188" s="11"/>
      <c r="DQN188" s="12"/>
      <c r="DQW188" s="11"/>
      <c r="DQX188" s="12"/>
      <c r="DRG188" s="11"/>
      <c r="DRH188" s="12"/>
      <c r="DRQ188" s="11"/>
      <c r="DRR188" s="12"/>
      <c r="DSA188" s="11"/>
      <c r="DSB188" s="12"/>
      <c r="DSK188" s="11"/>
      <c r="DSL188" s="12"/>
      <c r="DSU188" s="11"/>
      <c r="DSV188" s="12"/>
      <c r="DTE188" s="11"/>
      <c r="DTF188" s="12"/>
      <c r="DTO188" s="11"/>
      <c r="DTP188" s="12"/>
      <c r="DTY188" s="11"/>
      <c r="DTZ188" s="12"/>
      <c r="DUI188" s="11"/>
      <c r="DUJ188" s="12"/>
      <c r="DUS188" s="11"/>
      <c r="DUT188" s="12"/>
      <c r="DVC188" s="11"/>
      <c r="DVD188" s="12"/>
      <c r="DVM188" s="11"/>
      <c r="DVN188" s="12"/>
      <c r="DVW188" s="11"/>
      <c r="DVX188" s="12"/>
      <c r="DWG188" s="11"/>
      <c r="DWH188" s="12"/>
      <c r="DWQ188" s="11"/>
      <c r="DWR188" s="12"/>
      <c r="DXA188" s="11"/>
      <c r="DXB188" s="12"/>
      <c r="DXK188" s="11"/>
      <c r="DXL188" s="12"/>
      <c r="DXU188" s="11"/>
      <c r="DXV188" s="12"/>
      <c r="DYE188" s="11"/>
      <c r="DYF188" s="12"/>
      <c r="DYO188" s="11"/>
      <c r="DYP188" s="12"/>
      <c r="DYY188" s="11"/>
      <c r="DYZ188" s="12"/>
      <c r="DZI188" s="11"/>
      <c r="DZJ188" s="12"/>
      <c r="DZS188" s="11"/>
      <c r="DZT188" s="12"/>
      <c r="EAC188" s="11"/>
      <c r="EAD188" s="12"/>
      <c r="EAM188" s="11"/>
      <c r="EAN188" s="12"/>
      <c r="EAW188" s="11"/>
      <c r="EAX188" s="12"/>
      <c r="EBG188" s="11"/>
      <c r="EBH188" s="12"/>
      <c r="EBQ188" s="11"/>
      <c r="EBR188" s="12"/>
      <c r="ECA188" s="11"/>
      <c r="ECB188" s="12"/>
      <c r="ECK188" s="11"/>
      <c r="ECL188" s="12"/>
      <c r="ECU188" s="11"/>
      <c r="ECV188" s="12"/>
      <c r="EDE188" s="11"/>
      <c r="EDF188" s="12"/>
      <c r="EDO188" s="11"/>
      <c r="EDP188" s="12"/>
      <c r="EDY188" s="11"/>
      <c r="EDZ188" s="12"/>
      <c r="EEI188" s="11"/>
      <c r="EEJ188" s="12"/>
      <c r="EES188" s="11"/>
      <c r="EET188" s="12"/>
      <c r="EFC188" s="11"/>
      <c r="EFD188" s="12"/>
      <c r="EFM188" s="11"/>
      <c r="EFN188" s="12"/>
      <c r="EFW188" s="11"/>
      <c r="EFX188" s="12"/>
      <c r="EGG188" s="11"/>
      <c r="EGH188" s="12"/>
      <c r="EGQ188" s="11"/>
      <c r="EGR188" s="12"/>
      <c r="EHA188" s="11"/>
      <c r="EHB188" s="12"/>
      <c r="EHK188" s="11"/>
      <c r="EHL188" s="12"/>
      <c r="EHU188" s="11"/>
      <c r="EHV188" s="12"/>
      <c r="EIE188" s="11"/>
      <c r="EIF188" s="12"/>
      <c r="EIO188" s="11"/>
      <c r="EIP188" s="12"/>
      <c r="EIY188" s="11"/>
      <c r="EIZ188" s="12"/>
      <c r="EJI188" s="11"/>
      <c r="EJJ188" s="12"/>
      <c r="EJS188" s="11"/>
      <c r="EJT188" s="12"/>
      <c r="EKC188" s="11"/>
      <c r="EKD188" s="12"/>
      <c r="EKM188" s="11"/>
      <c r="EKN188" s="12"/>
      <c r="EKW188" s="11"/>
      <c r="EKX188" s="12"/>
      <c r="ELG188" s="11"/>
      <c r="ELH188" s="12"/>
      <c r="ELQ188" s="11"/>
      <c r="ELR188" s="12"/>
      <c r="EMA188" s="11"/>
      <c r="EMB188" s="12"/>
      <c r="EMK188" s="11"/>
      <c r="EML188" s="12"/>
      <c r="EMU188" s="11"/>
      <c r="EMV188" s="12"/>
      <c r="ENE188" s="11"/>
      <c r="ENF188" s="12"/>
      <c r="ENO188" s="11"/>
      <c r="ENP188" s="12"/>
      <c r="ENY188" s="11"/>
      <c r="ENZ188" s="12"/>
      <c r="EOI188" s="11"/>
      <c r="EOJ188" s="12"/>
      <c r="EOS188" s="11"/>
      <c r="EOT188" s="12"/>
      <c r="EPC188" s="11"/>
      <c r="EPD188" s="12"/>
      <c r="EPM188" s="11"/>
      <c r="EPN188" s="12"/>
      <c r="EPW188" s="11"/>
      <c r="EPX188" s="12"/>
      <c r="EQG188" s="11"/>
      <c r="EQH188" s="12"/>
      <c r="EQQ188" s="11"/>
      <c r="EQR188" s="12"/>
      <c r="ERA188" s="11"/>
      <c r="ERB188" s="12"/>
      <c r="ERK188" s="11"/>
      <c r="ERL188" s="12"/>
      <c r="ERU188" s="11"/>
      <c r="ERV188" s="12"/>
      <c r="ESE188" s="11"/>
      <c r="ESF188" s="12"/>
      <c r="ESO188" s="11"/>
      <c r="ESP188" s="12"/>
      <c r="ESY188" s="11"/>
      <c r="ESZ188" s="12"/>
      <c r="ETI188" s="11"/>
      <c r="ETJ188" s="12"/>
      <c r="ETS188" s="11"/>
      <c r="ETT188" s="12"/>
      <c r="EUC188" s="11"/>
      <c r="EUD188" s="12"/>
      <c r="EUM188" s="11"/>
      <c r="EUN188" s="12"/>
      <c r="EUW188" s="11"/>
      <c r="EUX188" s="12"/>
      <c r="EVG188" s="11"/>
      <c r="EVH188" s="12"/>
      <c r="EVQ188" s="11"/>
      <c r="EVR188" s="12"/>
      <c r="EWA188" s="11"/>
      <c r="EWB188" s="12"/>
      <c r="EWK188" s="11"/>
      <c r="EWL188" s="12"/>
      <c r="EWU188" s="11"/>
      <c r="EWV188" s="12"/>
      <c r="EXE188" s="11"/>
      <c r="EXF188" s="12"/>
      <c r="EXO188" s="11"/>
      <c r="EXP188" s="12"/>
      <c r="EXY188" s="11"/>
      <c r="EXZ188" s="12"/>
      <c r="EYI188" s="11"/>
      <c r="EYJ188" s="12"/>
      <c r="EYS188" s="11"/>
      <c r="EYT188" s="12"/>
      <c r="EZC188" s="11"/>
      <c r="EZD188" s="12"/>
      <c r="EZM188" s="11"/>
      <c r="EZN188" s="12"/>
      <c r="EZW188" s="11"/>
      <c r="EZX188" s="12"/>
      <c r="FAG188" s="11"/>
      <c r="FAH188" s="12"/>
      <c r="FAQ188" s="11"/>
      <c r="FAR188" s="12"/>
      <c r="FBA188" s="11"/>
      <c r="FBB188" s="12"/>
      <c r="FBK188" s="11"/>
      <c r="FBL188" s="12"/>
      <c r="FBU188" s="11"/>
      <c r="FBV188" s="12"/>
      <c r="FCE188" s="11"/>
      <c r="FCF188" s="12"/>
      <c r="FCO188" s="11"/>
      <c r="FCP188" s="12"/>
      <c r="FCY188" s="11"/>
      <c r="FCZ188" s="12"/>
      <c r="FDI188" s="11"/>
      <c r="FDJ188" s="12"/>
      <c r="FDS188" s="11"/>
      <c r="FDT188" s="12"/>
      <c r="FEC188" s="11"/>
      <c r="FED188" s="12"/>
      <c r="FEM188" s="11"/>
      <c r="FEN188" s="12"/>
      <c r="FEW188" s="11"/>
      <c r="FEX188" s="12"/>
      <c r="FFG188" s="11"/>
      <c r="FFH188" s="12"/>
      <c r="FFQ188" s="11"/>
      <c r="FFR188" s="12"/>
      <c r="FGA188" s="11"/>
      <c r="FGB188" s="12"/>
      <c r="FGK188" s="11"/>
      <c r="FGL188" s="12"/>
      <c r="FGU188" s="11"/>
      <c r="FGV188" s="12"/>
      <c r="FHE188" s="11"/>
      <c r="FHF188" s="12"/>
      <c r="FHO188" s="11"/>
      <c r="FHP188" s="12"/>
      <c r="FHY188" s="11"/>
      <c r="FHZ188" s="12"/>
      <c r="FII188" s="11"/>
      <c r="FIJ188" s="12"/>
      <c r="FIS188" s="11"/>
      <c r="FIT188" s="12"/>
      <c r="FJC188" s="11"/>
      <c r="FJD188" s="12"/>
      <c r="FJM188" s="11"/>
      <c r="FJN188" s="12"/>
      <c r="FJW188" s="11"/>
      <c r="FJX188" s="12"/>
      <c r="FKG188" s="11"/>
      <c r="FKH188" s="12"/>
      <c r="FKQ188" s="11"/>
      <c r="FKR188" s="12"/>
      <c r="FLA188" s="11"/>
      <c r="FLB188" s="12"/>
      <c r="FLK188" s="11"/>
      <c r="FLL188" s="12"/>
      <c r="FLU188" s="11"/>
      <c r="FLV188" s="12"/>
      <c r="FME188" s="11"/>
      <c r="FMF188" s="12"/>
      <c r="FMO188" s="11"/>
      <c r="FMP188" s="12"/>
      <c r="FMY188" s="11"/>
      <c r="FMZ188" s="12"/>
      <c r="FNI188" s="11"/>
      <c r="FNJ188" s="12"/>
      <c r="FNS188" s="11"/>
      <c r="FNT188" s="12"/>
      <c r="FOC188" s="11"/>
      <c r="FOD188" s="12"/>
      <c r="FOM188" s="11"/>
      <c r="FON188" s="12"/>
      <c r="FOW188" s="11"/>
      <c r="FOX188" s="12"/>
      <c r="FPG188" s="11"/>
      <c r="FPH188" s="12"/>
      <c r="FPQ188" s="11"/>
      <c r="FPR188" s="12"/>
      <c r="FQA188" s="11"/>
      <c r="FQB188" s="12"/>
      <c r="FQK188" s="11"/>
      <c r="FQL188" s="12"/>
      <c r="FQU188" s="11"/>
      <c r="FQV188" s="12"/>
      <c r="FRE188" s="11"/>
      <c r="FRF188" s="12"/>
      <c r="FRO188" s="11"/>
      <c r="FRP188" s="12"/>
      <c r="FRY188" s="11"/>
      <c r="FRZ188" s="12"/>
      <c r="FSI188" s="11"/>
      <c r="FSJ188" s="12"/>
      <c r="FSS188" s="11"/>
      <c r="FST188" s="12"/>
      <c r="FTC188" s="11"/>
      <c r="FTD188" s="12"/>
      <c r="FTM188" s="11"/>
      <c r="FTN188" s="12"/>
      <c r="FTW188" s="11"/>
      <c r="FTX188" s="12"/>
      <c r="FUG188" s="11"/>
      <c r="FUH188" s="12"/>
      <c r="FUQ188" s="11"/>
      <c r="FUR188" s="12"/>
      <c r="FVA188" s="11"/>
      <c r="FVB188" s="12"/>
      <c r="FVK188" s="11"/>
      <c r="FVL188" s="12"/>
      <c r="FVU188" s="11"/>
      <c r="FVV188" s="12"/>
      <c r="FWE188" s="11"/>
      <c r="FWF188" s="12"/>
      <c r="FWO188" s="11"/>
      <c r="FWP188" s="12"/>
      <c r="FWY188" s="11"/>
      <c r="FWZ188" s="12"/>
      <c r="FXI188" s="11"/>
      <c r="FXJ188" s="12"/>
      <c r="FXS188" s="11"/>
      <c r="FXT188" s="12"/>
      <c r="FYC188" s="11"/>
      <c r="FYD188" s="12"/>
      <c r="FYM188" s="11"/>
      <c r="FYN188" s="12"/>
      <c r="FYW188" s="11"/>
      <c r="FYX188" s="12"/>
      <c r="FZG188" s="11"/>
      <c r="FZH188" s="12"/>
      <c r="FZQ188" s="11"/>
      <c r="FZR188" s="12"/>
      <c r="GAA188" s="11"/>
      <c r="GAB188" s="12"/>
      <c r="GAK188" s="11"/>
      <c r="GAL188" s="12"/>
      <c r="GAU188" s="11"/>
      <c r="GAV188" s="12"/>
      <c r="GBE188" s="11"/>
      <c r="GBF188" s="12"/>
      <c r="GBO188" s="11"/>
      <c r="GBP188" s="12"/>
      <c r="GBY188" s="11"/>
      <c r="GBZ188" s="12"/>
      <c r="GCI188" s="11"/>
      <c r="GCJ188" s="12"/>
      <c r="GCS188" s="11"/>
      <c r="GCT188" s="12"/>
      <c r="GDC188" s="11"/>
      <c r="GDD188" s="12"/>
      <c r="GDM188" s="11"/>
      <c r="GDN188" s="12"/>
      <c r="GDW188" s="11"/>
      <c r="GDX188" s="12"/>
      <c r="GEG188" s="11"/>
      <c r="GEH188" s="12"/>
      <c r="GEQ188" s="11"/>
      <c r="GER188" s="12"/>
      <c r="GFA188" s="11"/>
      <c r="GFB188" s="12"/>
      <c r="GFK188" s="11"/>
      <c r="GFL188" s="12"/>
      <c r="GFU188" s="11"/>
      <c r="GFV188" s="12"/>
      <c r="GGE188" s="11"/>
      <c r="GGF188" s="12"/>
      <c r="GGO188" s="11"/>
      <c r="GGP188" s="12"/>
      <c r="GGY188" s="11"/>
      <c r="GGZ188" s="12"/>
      <c r="GHI188" s="11"/>
      <c r="GHJ188" s="12"/>
      <c r="GHS188" s="11"/>
      <c r="GHT188" s="12"/>
      <c r="GIC188" s="11"/>
      <c r="GID188" s="12"/>
      <c r="GIM188" s="11"/>
      <c r="GIN188" s="12"/>
      <c r="GIW188" s="11"/>
      <c r="GIX188" s="12"/>
      <c r="GJG188" s="11"/>
      <c r="GJH188" s="12"/>
      <c r="GJQ188" s="11"/>
      <c r="GJR188" s="12"/>
      <c r="GKA188" s="11"/>
      <c r="GKB188" s="12"/>
      <c r="GKK188" s="11"/>
      <c r="GKL188" s="12"/>
      <c r="GKU188" s="11"/>
      <c r="GKV188" s="12"/>
      <c r="GLE188" s="11"/>
      <c r="GLF188" s="12"/>
      <c r="GLO188" s="11"/>
      <c r="GLP188" s="12"/>
      <c r="GLY188" s="11"/>
      <c r="GLZ188" s="12"/>
      <c r="GMI188" s="11"/>
      <c r="GMJ188" s="12"/>
      <c r="GMS188" s="11"/>
      <c r="GMT188" s="12"/>
      <c r="GNC188" s="11"/>
      <c r="GND188" s="12"/>
      <c r="GNM188" s="11"/>
      <c r="GNN188" s="12"/>
      <c r="GNW188" s="11"/>
      <c r="GNX188" s="12"/>
      <c r="GOG188" s="11"/>
      <c r="GOH188" s="12"/>
      <c r="GOQ188" s="11"/>
      <c r="GOR188" s="12"/>
      <c r="GPA188" s="11"/>
      <c r="GPB188" s="12"/>
      <c r="GPK188" s="11"/>
      <c r="GPL188" s="12"/>
      <c r="GPU188" s="11"/>
      <c r="GPV188" s="12"/>
      <c r="GQE188" s="11"/>
      <c r="GQF188" s="12"/>
      <c r="GQO188" s="11"/>
      <c r="GQP188" s="12"/>
      <c r="GQY188" s="11"/>
      <c r="GQZ188" s="12"/>
      <c r="GRI188" s="11"/>
      <c r="GRJ188" s="12"/>
      <c r="GRS188" s="11"/>
      <c r="GRT188" s="12"/>
      <c r="GSC188" s="11"/>
      <c r="GSD188" s="12"/>
      <c r="GSM188" s="11"/>
      <c r="GSN188" s="12"/>
      <c r="GSW188" s="11"/>
      <c r="GSX188" s="12"/>
      <c r="GTG188" s="11"/>
      <c r="GTH188" s="12"/>
      <c r="GTQ188" s="11"/>
      <c r="GTR188" s="12"/>
      <c r="GUA188" s="11"/>
      <c r="GUB188" s="12"/>
      <c r="GUK188" s="11"/>
      <c r="GUL188" s="12"/>
      <c r="GUU188" s="11"/>
      <c r="GUV188" s="12"/>
      <c r="GVE188" s="11"/>
      <c r="GVF188" s="12"/>
      <c r="GVO188" s="11"/>
      <c r="GVP188" s="12"/>
      <c r="GVY188" s="11"/>
      <c r="GVZ188" s="12"/>
      <c r="GWI188" s="11"/>
      <c r="GWJ188" s="12"/>
      <c r="GWS188" s="11"/>
      <c r="GWT188" s="12"/>
      <c r="GXC188" s="11"/>
      <c r="GXD188" s="12"/>
      <c r="GXM188" s="11"/>
      <c r="GXN188" s="12"/>
      <c r="GXW188" s="11"/>
      <c r="GXX188" s="12"/>
      <c r="GYG188" s="11"/>
      <c r="GYH188" s="12"/>
      <c r="GYQ188" s="11"/>
      <c r="GYR188" s="12"/>
      <c r="GZA188" s="11"/>
      <c r="GZB188" s="12"/>
      <c r="GZK188" s="11"/>
      <c r="GZL188" s="12"/>
      <c r="GZU188" s="11"/>
      <c r="GZV188" s="12"/>
      <c r="HAE188" s="11"/>
      <c r="HAF188" s="12"/>
      <c r="HAO188" s="11"/>
      <c r="HAP188" s="12"/>
      <c r="HAY188" s="11"/>
      <c r="HAZ188" s="12"/>
      <c r="HBI188" s="11"/>
      <c r="HBJ188" s="12"/>
      <c r="HBS188" s="11"/>
      <c r="HBT188" s="12"/>
      <c r="HCC188" s="11"/>
      <c r="HCD188" s="12"/>
      <c r="HCM188" s="11"/>
      <c r="HCN188" s="12"/>
      <c r="HCW188" s="11"/>
      <c r="HCX188" s="12"/>
      <c r="HDG188" s="11"/>
      <c r="HDH188" s="12"/>
      <c r="HDQ188" s="11"/>
      <c r="HDR188" s="12"/>
      <c r="HEA188" s="11"/>
      <c r="HEB188" s="12"/>
      <c r="HEK188" s="11"/>
      <c r="HEL188" s="12"/>
      <c r="HEU188" s="11"/>
      <c r="HEV188" s="12"/>
      <c r="HFE188" s="11"/>
      <c r="HFF188" s="12"/>
      <c r="HFO188" s="11"/>
      <c r="HFP188" s="12"/>
      <c r="HFY188" s="11"/>
      <c r="HFZ188" s="12"/>
      <c r="HGI188" s="11"/>
      <c r="HGJ188" s="12"/>
      <c r="HGS188" s="11"/>
      <c r="HGT188" s="12"/>
      <c r="HHC188" s="11"/>
      <c r="HHD188" s="12"/>
      <c r="HHM188" s="11"/>
      <c r="HHN188" s="12"/>
      <c r="HHW188" s="11"/>
      <c r="HHX188" s="12"/>
      <c r="HIG188" s="11"/>
      <c r="HIH188" s="12"/>
      <c r="HIQ188" s="11"/>
      <c r="HIR188" s="12"/>
      <c r="HJA188" s="11"/>
      <c r="HJB188" s="12"/>
      <c r="HJK188" s="11"/>
      <c r="HJL188" s="12"/>
      <c r="HJU188" s="11"/>
      <c r="HJV188" s="12"/>
      <c r="HKE188" s="11"/>
      <c r="HKF188" s="12"/>
      <c r="HKO188" s="11"/>
      <c r="HKP188" s="12"/>
      <c r="HKY188" s="11"/>
      <c r="HKZ188" s="12"/>
      <c r="HLI188" s="11"/>
      <c r="HLJ188" s="12"/>
      <c r="HLS188" s="11"/>
      <c r="HLT188" s="12"/>
      <c r="HMC188" s="11"/>
      <c r="HMD188" s="12"/>
      <c r="HMM188" s="11"/>
      <c r="HMN188" s="12"/>
      <c r="HMW188" s="11"/>
      <c r="HMX188" s="12"/>
      <c r="HNG188" s="11"/>
      <c r="HNH188" s="12"/>
      <c r="HNQ188" s="11"/>
      <c r="HNR188" s="12"/>
      <c r="HOA188" s="11"/>
      <c r="HOB188" s="12"/>
      <c r="HOK188" s="11"/>
      <c r="HOL188" s="12"/>
      <c r="HOU188" s="11"/>
      <c r="HOV188" s="12"/>
      <c r="HPE188" s="11"/>
      <c r="HPF188" s="12"/>
      <c r="HPO188" s="11"/>
      <c r="HPP188" s="12"/>
      <c r="HPY188" s="11"/>
      <c r="HPZ188" s="12"/>
      <c r="HQI188" s="11"/>
      <c r="HQJ188" s="12"/>
      <c r="HQS188" s="11"/>
      <c r="HQT188" s="12"/>
      <c r="HRC188" s="11"/>
      <c r="HRD188" s="12"/>
      <c r="HRM188" s="11"/>
      <c r="HRN188" s="12"/>
      <c r="HRW188" s="11"/>
      <c r="HRX188" s="12"/>
      <c r="HSG188" s="11"/>
      <c r="HSH188" s="12"/>
      <c r="HSQ188" s="11"/>
      <c r="HSR188" s="12"/>
      <c r="HTA188" s="11"/>
      <c r="HTB188" s="12"/>
      <c r="HTK188" s="11"/>
      <c r="HTL188" s="12"/>
      <c r="HTU188" s="11"/>
      <c r="HTV188" s="12"/>
      <c r="HUE188" s="11"/>
      <c r="HUF188" s="12"/>
      <c r="HUO188" s="11"/>
      <c r="HUP188" s="12"/>
      <c r="HUY188" s="11"/>
      <c r="HUZ188" s="12"/>
      <c r="HVI188" s="11"/>
      <c r="HVJ188" s="12"/>
      <c r="HVS188" s="11"/>
      <c r="HVT188" s="12"/>
      <c r="HWC188" s="11"/>
      <c r="HWD188" s="12"/>
      <c r="HWM188" s="11"/>
      <c r="HWN188" s="12"/>
      <c r="HWW188" s="11"/>
      <c r="HWX188" s="12"/>
      <c r="HXG188" s="11"/>
      <c r="HXH188" s="12"/>
      <c r="HXQ188" s="11"/>
      <c r="HXR188" s="12"/>
      <c r="HYA188" s="11"/>
      <c r="HYB188" s="12"/>
      <c r="HYK188" s="11"/>
      <c r="HYL188" s="12"/>
      <c r="HYU188" s="11"/>
      <c r="HYV188" s="12"/>
      <c r="HZE188" s="11"/>
      <c r="HZF188" s="12"/>
      <c r="HZO188" s="11"/>
      <c r="HZP188" s="12"/>
      <c r="HZY188" s="11"/>
      <c r="HZZ188" s="12"/>
      <c r="IAI188" s="11"/>
      <c r="IAJ188" s="12"/>
      <c r="IAS188" s="11"/>
      <c r="IAT188" s="12"/>
      <c r="IBC188" s="11"/>
      <c r="IBD188" s="12"/>
      <c r="IBM188" s="11"/>
      <c r="IBN188" s="12"/>
      <c r="IBW188" s="11"/>
      <c r="IBX188" s="12"/>
      <c r="ICG188" s="11"/>
      <c r="ICH188" s="12"/>
      <c r="ICQ188" s="11"/>
      <c r="ICR188" s="12"/>
      <c r="IDA188" s="11"/>
      <c r="IDB188" s="12"/>
      <c r="IDK188" s="11"/>
      <c r="IDL188" s="12"/>
      <c r="IDU188" s="11"/>
      <c r="IDV188" s="12"/>
      <c r="IEE188" s="11"/>
      <c r="IEF188" s="12"/>
      <c r="IEO188" s="11"/>
      <c r="IEP188" s="12"/>
      <c r="IEY188" s="11"/>
      <c r="IEZ188" s="12"/>
      <c r="IFI188" s="11"/>
      <c r="IFJ188" s="12"/>
      <c r="IFS188" s="11"/>
      <c r="IFT188" s="12"/>
      <c r="IGC188" s="11"/>
      <c r="IGD188" s="12"/>
      <c r="IGM188" s="11"/>
      <c r="IGN188" s="12"/>
      <c r="IGW188" s="11"/>
      <c r="IGX188" s="12"/>
      <c r="IHG188" s="11"/>
      <c r="IHH188" s="12"/>
      <c r="IHQ188" s="11"/>
      <c r="IHR188" s="12"/>
      <c r="IIA188" s="11"/>
      <c r="IIB188" s="12"/>
      <c r="IIK188" s="11"/>
      <c r="IIL188" s="12"/>
      <c r="IIU188" s="11"/>
      <c r="IIV188" s="12"/>
      <c r="IJE188" s="11"/>
      <c r="IJF188" s="12"/>
      <c r="IJO188" s="11"/>
      <c r="IJP188" s="12"/>
      <c r="IJY188" s="11"/>
      <c r="IJZ188" s="12"/>
      <c r="IKI188" s="11"/>
      <c r="IKJ188" s="12"/>
      <c r="IKS188" s="11"/>
      <c r="IKT188" s="12"/>
      <c r="ILC188" s="11"/>
      <c r="ILD188" s="12"/>
      <c r="ILM188" s="11"/>
      <c r="ILN188" s="12"/>
      <c r="ILW188" s="11"/>
      <c r="ILX188" s="12"/>
      <c r="IMG188" s="11"/>
      <c r="IMH188" s="12"/>
      <c r="IMQ188" s="11"/>
      <c r="IMR188" s="12"/>
      <c r="INA188" s="11"/>
      <c r="INB188" s="12"/>
      <c r="INK188" s="11"/>
      <c r="INL188" s="12"/>
      <c r="INU188" s="11"/>
      <c r="INV188" s="12"/>
      <c r="IOE188" s="11"/>
      <c r="IOF188" s="12"/>
      <c r="IOO188" s="11"/>
      <c r="IOP188" s="12"/>
      <c r="IOY188" s="11"/>
      <c r="IOZ188" s="12"/>
      <c r="IPI188" s="11"/>
      <c r="IPJ188" s="12"/>
      <c r="IPS188" s="11"/>
      <c r="IPT188" s="12"/>
      <c r="IQC188" s="11"/>
      <c r="IQD188" s="12"/>
      <c r="IQM188" s="11"/>
      <c r="IQN188" s="12"/>
      <c r="IQW188" s="11"/>
      <c r="IQX188" s="12"/>
      <c r="IRG188" s="11"/>
      <c r="IRH188" s="12"/>
      <c r="IRQ188" s="11"/>
      <c r="IRR188" s="12"/>
      <c r="ISA188" s="11"/>
      <c r="ISB188" s="12"/>
      <c r="ISK188" s="11"/>
      <c r="ISL188" s="12"/>
      <c r="ISU188" s="11"/>
      <c r="ISV188" s="12"/>
      <c r="ITE188" s="11"/>
      <c r="ITF188" s="12"/>
      <c r="ITO188" s="11"/>
      <c r="ITP188" s="12"/>
      <c r="ITY188" s="11"/>
      <c r="ITZ188" s="12"/>
      <c r="IUI188" s="11"/>
      <c r="IUJ188" s="12"/>
      <c r="IUS188" s="11"/>
      <c r="IUT188" s="12"/>
      <c r="IVC188" s="11"/>
      <c r="IVD188" s="12"/>
      <c r="IVM188" s="11"/>
      <c r="IVN188" s="12"/>
      <c r="IVW188" s="11"/>
      <c r="IVX188" s="12"/>
      <c r="IWG188" s="11"/>
      <c r="IWH188" s="12"/>
      <c r="IWQ188" s="11"/>
      <c r="IWR188" s="12"/>
      <c r="IXA188" s="11"/>
      <c r="IXB188" s="12"/>
      <c r="IXK188" s="11"/>
      <c r="IXL188" s="12"/>
      <c r="IXU188" s="11"/>
      <c r="IXV188" s="12"/>
      <c r="IYE188" s="11"/>
      <c r="IYF188" s="12"/>
      <c r="IYO188" s="11"/>
      <c r="IYP188" s="12"/>
      <c r="IYY188" s="11"/>
      <c r="IYZ188" s="12"/>
      <c r="IZI188" s="11"/>
      <c r="IZJ188" s="12"/>
      <c r="IZS188" s="11"/>
      <c r="IZT188" s="12"/>
      <c r="JAC188" s="11"/>
      <c r="JAD188" s="12"/>
      <c r="JAM188" s="11"/>
      <c r="JAN188" s="12"/>
      <c r="JAW188" s="11"/>
      <c r="JAX188" s="12"/>
      <c r="JBG188" s="11"/>
      <c r="JBH188" s="12"/>
      <c r="JBQ188" s="11"/>
      <c r="JBR188" s="12"/>
      <c r="JCA188" s="11"/>
      <c r="JCB188" s="12"/>
      <c r="JCK188" s="11"/>
      <c r="JCL188" s="12"/>
      <c r="JCU188" s="11"/>
      <c r="JCV188" s="12"/>
      <c r="JDE188" s="11"/>
      <c r="JDF188" s="12"/>
      <c r="JDO188" s="11"/>
      <c r="JDP188" s="12"/>
      <c r="JDY188" s="11"/>
      <c r="JDZ188" s="12"/>
      <c r="JEI188" s="11"/>
      <c r="JEJ188" s="12"/>
      <c r="JES188" s="11"/>
      <c r="JET188" s="12"/>
      <c r="JFC188" s="11"/>
      <c r="JFD188" s="12"/>
      <c r="JFM188" s="11"/>
      <c r="JFN188" s="12"/>
      <c r="JFW188" s="11"/>
      <c r="JFX188" s="12"/>
      <c r="JGG188" s="11"/>
      <c r="JGH188" s="12"/>
      <c r="JGQ188" s="11"/>
      <c r="JGR188" s="12"/>
      <c r="JHA188" s="11"/>
      <c r="JHB188" s="12"/>
      <c r="JHK188" s="11"/>
      <c r="JHL188" s="12"/>
      <c r="JHU188" s="11"/>
      <c r="JHV188" s="12"/>
      <c r="JIE188" s="11"/>
      <c r="JIF188" s="12"/>
      <c r="JIO188" s="11"/>
      <c r="JIP188" s="12"/>
      <c r="JIY188" s="11"/>
      <c r="JIZ188" s="12"/>
      <c r="JJI188" s="11"/>
      <c r="JJJ188" s="12"/>
      <c r="JJS188" s="11"/>
      <c r="JJT188" s="12"/>
      <c r="JKC188" s="11"/>
      <c r="JKD188" s="12"/>
      <c r="JKM188" s="11"/>
      <c r="JKN188" s="12"/>
      <c r="JKW188" s="11"/>
      <c r="JKX188" s="12"/>
      <c r="JLG188" s="11"/>
      <c r="JLH188" s="12"/>
      <c r="JLQ188" s="11"/>
      <c r="JLR188" s="12"/>
      <c r="JMA188" s="11"/>
      <c r="JMB188" s="12"/>
      <c r="JMK188" s="11"/>
      <c r="JML188" s="12"/>
      <c r="JMU188" s="11"/>
      <c r="JMV188" s="12"/>
      <c r="JNE188" s="11"/>
      <c r="JNF188" s="12"/>
      <c r="JNO188" s="11"/>
      <c r="JNP188" s="12"/>
      <c r="JNY188" s="11"/>
      <c r="JNZ188" s="12"/>
      <c r="JOI188" s="11"/>
      <c r="JOJ188" s="12"/>
      <c r="JOS188" s="11"/>
      <c r="JOT188" s="12"/>
      <c r="JPC188" s="11"/>
      <c r="JPD188" s="12"/>
      <c r="JPM188" s="11"/>
      <c r="JPN188" s="12"/>
      <c r="JPW188" s="11"/>
      <c r="JPX188" s="12"/>
      <c r="JQG188" s="11"/>
      <c r="JQH188" s="12"/>
      <c r="JQQ188" s="11"/>
      <c r="JQR188" s="12"/>
      <c r="JRA188" s="11"/>
      <c r="JRB188" s="12"/>
      <c r="JRK188" s="11"/>
      <c r="JRL188" s="12"/>
      <c r="JRU188" s="11"/>
      <c r="JRV188" s="12"/>
      <c r="JSE188" s="11"/>
      <c r="JSF188" s="12"/>
      <c r="JSO188" s="11"/>
      <c r="JSP188" s="12"/>
      <c r="JSY188" s="11"/>
      <c r="JSZ188" s="12"/>
      <c r="JTI188" s="11"/>
      <c r="JTJ188" s="12"/>
      <c r="JTS188" s="11"/>
      <c r="JTT188" s="12"/>
      <c r="JUC188" s="11"/>
      <c r="JUD188" s="12"/>
      <c r="JUM188" s="11"/>
      <c r="JUN188" s="12"/>
      <c r="JUW188" s="11"/>
      <c r="JUX188" s="12"/>
      <c r="JVG188" s="11"/>
      <c r="JVH188" s="12"/>
      <c r="JVQ188" s="11"/>
      <c r="JVR188" s="12"/>
      <c r="JWA188" s="11"/>
      <c r="JWB188" s="12"/>
      <c r="JWK188" s="11"/>
      <c r="JWL188" s="12"/>
      <c r="JWU188" s="11"/>
      <c r="JWV188" s="12"/>
      <c r="JXE188" s="11"/>
      <c r="JXF188" s="12"/>
      <c r="JXO188" s="11"/>
      <c r="JXP188" s="12"/>
      <c r="JXY188" s="11"/>
      <c r="JXZ188" s="12"/>
      <c r="JYI188" s="11"/>
      <c r="JYJ188" s="12"/>
      <c r="JYS188" s="11"/>
      <c r="JYT188" s="12"/>
      <c r="JZC188" s="11"/>
      <c r="JZD188" s="12"/>
      <c r="JZM188" s="11"/>
      <c r="JZN188" s="12"/>
      <c r="JZW188" s="11"/>
      <c r="JZX188" s="12"/>
      <c r="KAG188" s="11"/>
      <c r="KAH188" s="12"/>
      <c r="KAQ188" s="11"/>
      <c r="KAR188" s="12"/>
      <c r="KBA188" s="11"/>
      <c r="KBB188" s="12"/>
      <c r="KBK188" s="11"/>
      <c r="KBL188" s="12"/>
      <c r="KBU188" s="11"/>
      <c r="KBV188" s="12"/>
      <c r="KCE188" s="11"/>
      <c r="KCF188" s="12"/>
      <c r="KCO188" s="11"/>
      <c r="KCP188" s="12"/>
      <c r="KCY188" s="11"/>
      <c r="KCZ188" s="12"/>
      <c r="KDI188" s="11"/>
      <c r="KDJ188" s="12"/>
      <c r="KDS188" s="11"/>
      <c r="KDT188" s="12"/>
      <c r="KEC188" s="11"/>
      <c r="KED188" s="12"/>
      <c r="KEM188" s="11"/>
      <c r="KEN188" s="12"/>
      <c r="KEW188" s="11"/>
      <c r="KEX188" s="12"/>
      <c r="KFG188" s="11"/>
      <c r="KFH188" s="12"/>
      <c r="KFQ188" s="11"/>
      <c r="KFR188" s="12"/>
      <c r="KGA188" s="11"/>
      <c r="KGB188" s="12"/>
      <c r="KGK188" s="11"/>
      <c r="KGL188" s="12"/>
      <c r="KGU188" s="11"/>
      <c r="KGV188" s="12"/>
      <c r="KHE188" s="11"/>
      <c r="KHF188" s="12"/>
      <c r="KHO188" s="11"/>
      <c r="KHP188" s="12"/>
      <c r="KHY188" s="11"/>
      <c r="KHZ188" s="12"/>
      <c r="KII188" s="11"/>
      <c r="KIJ188" s="12"/>
      <c r="KIS188" s="11"/>
      <c r="KIT188" s="12"/>
      <c r="KJC188" s="11"/>
      <c r="KJD188" s="12"/>
      <c r="KJM188" s="11"/>
      <c r="KJN188" s="12"/>
      <c r="KJW188" s="11"/>
      <c r="KJX188" s="12"/>
      <c r="KKG188" s="11"/>
      <c r="KKH188" s="12"/>
      <c r="KKQ188" s="11"/>
      <c r="KKR188" s="12"/>
      <c r="KLA188" s="11"/>
      <c r="KLB188" s="12"/>
      <c r="KLK188" s="11"/>
      <c r="KLL188" s="12"/>
      <c r="KLU188" s="11"/>
      <c r="KLV188" s="12"/>
      <c r="KME188" s="11"/>
      <c r="KMF188" s="12"/>
      <c r="KMO188" s="11"/>
      <c r="KMP188" s="12"/>
      <c r="KMY188" s="11"/>
      <c r="KMZ188" s="12"/>
      <c r="KNI188" s="11"/>
      <c r="KNJ188" s="12"/>
      <c r="KNS188" s="11"/>
      <c r="KNT188" s="12"/>
      <c r="KOC188" s="11"/>
      <c r="KOD188" s="12"/>
      <c r="KOM188" s="11"/>
      <c r="KON188" s="12"/>
      <c r="KOW188" s="11"/>
      <c r="KOX188" s="12"/>
      <c r="KPG188" s="11"/>
      <c r="KPH188" s="12"/>
      <c r="KPQ188" s="11"/>
      <c r="KPR188" s="12"/>
      <c r="KQA188" s="11"/>
      <c r="KQB188" s="12"/>
      <c r="KQK188" s="11"/>
      <c r="KQL188" s="12"/>
      <c r="KQU188" s="11"/>
      <c r="KQV188" s="12"/>
      <c r="KRE188" s="11"/>
      <c r="KRF188" s="12"/>
      <c r="KRO188" s="11"/>
      <c r="KRP188" s="12"/>
      <c r="KRY188" s="11"/>
      <c r="KRZ188" s="12"/>
      <c r="KSI188" s="11"/>
      <c r="KSJ188" s="12"/>
      <c r="KSS188" s="11"/>
      <c r="KST188" s="12"/>
      <c r="KTC188" s="11"/>
      <c r="KTD188" s="12"/>
      <c r="KTM188" s="11"/>
      <c r="KTN188" s="12"/>
      <c r="KTW188" s="11"/>
      <c r="KTX188" s="12"/>
      <c r="KUG188" s="11"/>
      <c r="KUH188" s="12"/>
      <c r="KUQ188" s="11"/>
      <c r="KUR188" s="12"/>
      <c r="KVA188" s="11"/>
      <c r="KVB188" s="12"/>
      <c r="KVK188" s="11"/>
      <c r="KVL188" s="12"/>
      <c r="KVU188" s="11"/>
      <c r="KVV188" s="12"/>
      <c r="KWE188" s="11"/>
      <c r="KWF188" s="12"/>
      <c r="KWO188" s="11"/>
      <c r="KWP188" s="12"/>
      <c r="KWY188" s="11"/>
      <c r="KWZ188" s="12"/>
      <c r="KXI188" s="11"/>
      <c r="KXJ188" s="12"/>
      <c r="KXS188" s="11"/>
      <c r="KXT188" s="12"/>
      <c r="KYC188" s="11"/>
      <c r="KYD188" s="12"/>
      <c r="KYM188" s="11"/>
      <c r="KYN188" s="12"/>
      <c r="KYW188" s="11"/>
      <c r="KYX188" s="12"/>
      <c r="KZG188" s="11"/>
      <c r="KZH188" s="12"/>
      <c r="KZQ188" s="11"/>
      <c r="KZR188" s="12"/>
      <c r="LAA188" s="11"/>
      <c r="LAB188" s="12"/>
      <c r="LAK188" s="11"/>
      <c r="LAL188" s="12"/>
      <c r="LAU188" s="11"/>
      <c r="LAV188" s="12"/>
      <c r="LBE188" s="11"/>
      <c r="LBF188" s="12"/>
      <c r="LBO188" s="11"/>
      <c r="LBP188" s="12"/>
      <c r="LBY188" s="11"/>
      <c r="LBZ188" s="12"/>
      <c r="LCI188" s="11"/>
      <c r="LCJ188" s="12"/>
      <c r="LCS188" s="11"/>
      <c r="LCT188" s="12"/>
      <c r="LDC188" s="11"/>
      <c r="LDD188" s="12"/>
      <c r="LDM188" s="11"/>
      <c r="LDN188" s="12"/>
      <c r="LDW188" s="11"/>
      <c r="LDX188" s="12"/>
      <c r="LEG188" s="11"/>
      <c r="LEH188" s="12"/>
      <c r="LEQ188" s="11"/>
      <c r="LER188" s="12"/>
      <c r="LFA188" s="11"/>
      <c r="LFB188" s="12"/>
      <c r="LFK188" s="11"/>
      <c r="LFL188" s="12"/>
      <c r="LFU188" s="11"/>
      <c r="LFV188" s="12"/>
      <c r="LGE188" s="11"/>
      <c r="LGF188" s="12"/>
      <c r="LGO188" s="11"/>
      <c r="LGP188" s="12"/>
      <c r="LGY188" s="11"/>
      <c r="LGZ188" s="12"/>
      <c r="LHI188" s="11"/>
      <c r="LHJ188" s="12"/>
      <c r="LHS188" s="11"/>
      <c r="LHT188" s="12"/>
      <c r="LIC188" s="11"/>
      <c r="LID188" s="12"/>
      <c r="LIM188" s="11"/>
      <c r="LIN188" s="12"/>
      <c r="LIW188" s="11"/>
      <c r="LIX188" s="12"/>
      <c r="LJG188" s="11"/>
      <c r="LJH188" s="12"/>
      <c r="LJQ188" s="11"/>
      <c r="LJR188" s="12"/>
      <c r="LKA188" s="11"/>
      <c r="LKB188" s="12"/>
      <c r="LKK188" s="11"/>
      <c r="LKL188" s="12"/>
      <c r="LKU188" s="11"/>
      <c r="LKV188" s="12"/>
      <c r="LLE188" s="11"/>
      <c r="LLF188" s="12"/>
      <c r="LLO188" s="11"/>
      <c r="LLP188" s="12"/>
      <c r="LLY188" s="11"/>
      <c r="LLZ188" s="12"/>
      <c r="LMI188" s="11"/>
      <c r="LMJ188" s="12"/>
      <c r="LMS188" s="11"/>
      <c r="LMT188" s="12"/>
      <c r="LNC188" s="11"/>
      <c r="LND188" s="12"/>
      <c r="LNM188" s="11"/>
      <c r="LNN188" s="12"/>
      <c r="LNW188" s="11"/>
      <c r="LNX188" s="12"/>
      <c r="LOG188" s="11"/>
      <c r="LOH188" s="12"/>
      <c r="LOQ188" s="11"/>
      <c r="LOR188" s="12"/>
      <c r="LPA188" s="11"/>
      <c r="LPB188" s="12"/>
      <c r="LPK188" s="11"/>
      <c r="LPL188" s="12"/>
      <c r="LPU188" s="11"/>
      <c r="LPV188" s="12"/>
      <c r="LQE188" s="11"/>
      <c r="LQF188" s="12"/>
      <c r="LQO188" s="11"/>
      <c r="LQP188" s="12"/>
      <c r="LQY188" s="11"/>
      <c r="LQZ188" s="12"/>
      <c r="LRI188" s="11"/>
      <c r="LRJ188" s="12"/>
      <c r="LRS188" s="11"/>
      <c r="LRT188" s="12"/>
      <c r="LSC188" s="11"/>
      <c r="LSD188" s="12"/>
      <c r="LSM188" s="11"/>
      <c r="LSN188" s="12"/>
      <c r="LSW188" s="11"/>
      <c r="LSX188" s="12"/>
      <c r="LTG188" s="11"/>
      <c r="LTH188" s="12"/>
      <c r="LTQ188" s="11"/>
      <c r="LTR188" s="12"/>
      <c r="LUA188" s="11"/>
      <c r="LUB188" s="12"/>
      <c r="LUK188" s="11"/>
      <c r="LUL188" s="12"/>
      <c r="LUU188" s="11"/>
      <c r="LUV188" s="12"/>
      <c r="LVE188" s="11"/>
      <c r="LVF188" s="12"/>
      <c r="LVO188" s="11"/>
      <c r="LVP188" s="12"/>
      <c r="LVY188" s="11"/>
      <c r="LVZ188" s="12"/>
      <c r="LWI188" s="11"/>
      <c r="LWJ188" s="12"/>
      <c r="LWS188" s="11"/>
      <c r="LWT188" s="12"/>
      <c r="LXC188" s="11"/>
      <c r="LXD188" s="12"/>
      <c r="LXM188" s="11"/>
      <c r="LXN188" s="12"/>
      <c r="LXW188" s="11"/>
      <c r="LXX188" s="12"/>
      <c r="LYG188" s="11"/>
      <c r="LYH188" s="12"/>
      <c r="LYQ188" s="11"/>
      <c r="LYR188" s="12"/>
      <c r="LZA188" s="11"/>
      <c r="LZB188" s="12"/>
      <c r="LZK188" s="11"/>
      <c r="LZL188" s="12"/>
      <c r="LZU188" s="11"/>
      <c r="LZV188" s="12"/>
      <c r="MAE188" s="11"/>
      <c r="MAF188" s="12"/>
      <c r="MAO188" s="11"/>
      <c r="MAP188" s="12"/>
      <c r="MAY188" s="11"/>
      <c r="MAZ188" s="12"/>
      <c r="MBI188" s="11"/>
      <c r="MBJ188" s="12"/>
      <c r="MBS188" s="11"/>
      <c r="MBT188" s="12"/>
      <c r="MCC188" s="11"/>
      <c r="MCD188" s="12"/>
      <c r="MCM188" s="11"/>
      <c r="MCN188" s="12"/>
      <c r="MCW188" s="11"/>
      <c r="MCX188" s="12"/>
      <c r="MDG188" s="11"/>
      <c r="MDH188" s="12"/>
      <c r="MDQ188" s="11"/>
      <c r="MDR188" s="12"/>
      <c r="MEA188" s="11"/>
      <c r="MEB188" s="12"/>
      <c r="MEK188" s="11"/>
      <c r="MEL188" s="12"/>
      <c r="MEU188" s="11"/>
      <c r="MEV188" s="12"/>
      <c r="MFE188" s="11"/>
      <c r="MFF188" s="12"/>
      <c r="MFO188" s="11"/>
      <c r="MFP188" s="12"/>
      <c r="MFY188" s="11"/>
      <c r="MFZ188" s="12"/>
      <c r="MGI188" s="11"/>
      <c r="MGJ188" s="12"/>
      <c r="MGS188" s="11"/>
      <c r="MGT188" s="12"/>
      <c r="MHC188" s="11"/>
      <c r="MHD188" s="12"/>
      <c r="MHM188" s="11"/>
      <c r="MHN188" s="12"/>
      <c r="MHW188" s="11"/>
      <c r="MHX188" s="12"/>
      <c r="MIG188" s="11"/>
      <c r="MIH188" s="12"/>
      <c r="MIQ188" s="11"/>
      <c r="MIR188" s="12"/>
      <c r="MJA188" s="11"/>
      <c r="MJB188" s="12"/>
      <c r="MJK188" s="11"/>
      <c r="MJL188" s="12"/>
      <c r="MJU188" s="11"/>
      <c r="MJV188" s="12"/>
      <c r="MKE188" s="11"/>
      <c r="MKF188" s="12"/>
      <c r="MKO188" s="11"/>
      <c r="MKP188" s="12"/>
      <c r="MKY188" s="11"/>
      <c r="MKZ188" s="12"/>
      <c r="MLI188" s="11"/>
      <c r="MLJ188" s="12"/>
      <c r="MLS188" s="11"/>
      <c r="MLT188" s="12"/>
      <c r="MMC188" s="11"/>
      <c r="MMD188" s="12"/>
      <c r="MMM188" s="11"/>
      <c r="MMN188" s="12"/>
      <c r="MMW188" s="11"/>
      <c r="MMX188" s="12"/>
      <c r="MNG188" s="11"/>
      <c r="MNH188" s="12"/>
      <c r="MNQ188" s="11"/>
      <c r="MNR188" s="12"/>
      <c r="MOA188" s="11"/>
      <c r="MOB188" s="12"/>
      <c r="MOK188" s="11"/>
      <c r="MOL188" s="12"/>
      <c r="MOU188" s="11"/>
      <c r="MOV188" s="12"/>
      <c r="MPE188" s="11"/>
      <c r="MPF188" s="12"/>
      <c r="MPO188" s="11"/>
      <c r="MPP188" s="12"/>
      <c r="MPY188" s="11"/>
      <c r="MPZ188" s="12"/>
      <c r="MQI188" s="11"/>
      <c r="MQJ188" s="12"/>
      <c r="MQS188" s="11"/>
      <c r="MQT188" s="12"/>
      <c r="MRC188" s="11"/>
      <c r="MRD188" s="12"/>
      <c r="MRM188" s="11"/>
      <c r="MRN188" s="12"/>
      <c r="MRW188" s="11"/>
      <c r="MRX188" s="12"/>
      <c r="MSG188" s="11"/>
      <c r="MSH188" s="12"/>
      <c r="MSQ188" s="11"/>
      <c r="MSR188" s="12"/>
      <c r="MTA188" s="11"/>
      <c r="MTB188" s="12"/>
      <c r="MTK188" s="11"/>
      <c r="MTL188" s="12"/>
      <c r="MTU188" s="11"/>
      <c r="MTV188" s="12"/>
      <c r="MUE188" s="11"/>
      <c r="MUF188" s="12"/>
      <c r="MUO188" s="11"/>
      <c r="MUP188" s="12"/>
      <c r="MUY188" s="11"/>
      <c r="MUZ188" s="12"/>
      <c r="MVI188" s="11"/>
      <c r="MVJ188" s="12"/>
      <c r="MVS188" s="11"/>
      <c r="MVT188" s="12"/>
      <c r="MWC188" s="11"/>
      <c r="MWD188" s="12"/>
      <c r="MWM188" s="11"/>
      <c r="MWN188" s="12"/>
      <c r="MWW188" s="11"/>
      <c r="MWX188" s="12"/>
      <c r="MXG188" s="11"/>
      <c r="MXH188" s="12"/>
      <c r="MXQ188" s="11"/>
      <c r="MXR188" s="12"/>
      <c r="MYA188" s="11"/>
      <c r="MYB188" s="12"/>
      <c r="MYK188" s="11"/>
      <c r="MYL188" s="12"/>
      <c r="MYU188" s="11"/>
      <c r="MYV188" s="12"/>
      <c r="MZE188" s="11"/>
      <c r="MZF188" s="12"/>
      <c r="MZO188" s="11"/>
      <c r="MZP188" s="12"/>
      <c r="MZY188" s="11"/>
      <c r="MZZ188" s="12"/>
      <c r="NAI188" s="11"/>
      <c r="NAJ188" s="12"/>
      <c r="NAS188" s="11"/>
      <c r="NAT188" s="12"/>
      <c r="NBC188" s="11"/>
      <c r="NBD188" s="12"/>
      <c r="NBM188" s="11"/>
      <c r="NBN188" s="12"/>
      <c r="NBW188" s="11"/>
      <c r="NBX188" s="12"/>
      <c r="NCG188" s="11"/>
      <c r="NCH188" s="12"/>
      <c r="NCQ188" s="11"/>
      <c r="NCR188" s="12"/>
      <c r="NDA188" s="11"/>
      <c r="NDB188" s="12"/>
      <c r="NDK188" s="11"/>
      <c r="NDL188" s="12"/>
      <c r="NDU188" s="11"/>
      <c r="NDV188" s="12"/>
      <c r="NEE188" s="11"/>
      <c r="NEF188" s="12"/>
      <c r="NEO188" s="11"/>
      <c r="NEP188" s="12"/>
      <c r="NEY188" s="11"/>
      <c r="NEZ188" s="12"/>
      <c r="NFI188" s="11"/>
      <c r="NFJ188" s="12"/>
      <c r="NFS188" s="11"/>
      <c r="NFT188" s="12"/>
      <c r="NGC188" s="11"/>
      <c r="NGD188" s="12"/>
      <c r="NGM188" s="11"/>
      <c r="NGN188" s="12"/>
      <c r="NGW188" s="11"/>
      <c r="NGX188" s="12"/>
      <c r="NHG188" s="11"/>
      <c r="NHH188" s="12"/>
      <c r="NHQ188" s="11"/>
      <c r="NHR188" s="12"/>
      <c r="NIA188" s="11"/>
      <c r="NIB188" s="12"/>
      <c r="NIK188" s="11"/>
      <c r="NIL188" s="12"/>
      <c r="NIU188" s="11"/>
      <c r="NIV188" s="12"/>
      <c r="NJE188" s="11"/>
      <c r="NJF188" s="12"/>
      <c r="NJO188" s="11"/>
      <c r="NJP188" s="12"/>
      <c r="NJY188" s="11"/>
      <c r="NJZ188" s="12"/>
      <c r="NKI188" s="11"/>
      <c r="NKJ188" s="12"/>
      <c r="NKS188" s="11"/>
      <c r="NKT188" s="12"/>
      <c r="NLC188" s="11"/>
      <c r="NLD188" s="12"/>
      <c r="NLM188" s="11"/>
      <c r="NLN188" s="12"/>
      <c r="NLW188" s="11"/>
      <c r="NLX188" s="12"/>
      <c r="NMG188" s="11"/>
      <c r="NMH188" s="12"/>
      <c r="NMQ188" s="11"/>
      <c r="NMR188" s="12"/>
      <c r="NNA188" s="11"/>
      <c r="NNB188" s="12"/>
      <c r="NNK188" s="11"/>
      <c r="NNL188" s="12"/>
      <c r="NNU188" s="11"/>
      <c r="NNV188" s="12"/>
      <c r="NOE188" s="11"/>
      <c r="NOF188" s="12"/>
      <c r="NOO188" s="11"/>
      <c r="NOP188" s="12"/>
      <c r="NOY188" s="11"/>
      <c r="NOZ188" s="12"/>
      <c r="NPI188" s="11"/>
      <c r="NPJ188" s="12"/>
      <c r="NPS188" s="11"/>
      <c r="NPT188" s="12"/>
      <c r="NQC188" s="11"/>
      <c r="NQD188" s="12"/>
      <c r="NQM188" s="11"/>
      <c r="NQN188" s="12"/>
      <c r="NQW188" s="11"/>
      <c r="NQX188" s="12"/>
      <c r="NRG188" s="11"/>
      <c r="NRH188" s="12"/>
      <c r="NRQ188" s="11"/>
      <c r="NRR188" s="12"/>
      <c r="NSA188" s="11"/>
      <c r="NSB188" s="12"/>
      <c r="NSK188" s="11"/>
      <c r="NSL188" s="12"/>
      <c r="NSU188" s="11"/>
      <c r="NSV188" s="12"/>
      <c r="NTE188" s="11"/>
      <c r="NTF188" s="12"/>
      <c r="NTO188" s="11"/>
      <c r="NTP188" s="12"/>
      <c r="NTY188" s="11"/>
      <c r="NTZ188" s="12"/>
      <c r="NUI188" s="11"/>
      <c r="NUJ188" s="12"/>
      <c r="NUS188" s="11"/>
      <c r="NUT188" s="12"/>
      <c r="NVC188" s="11"/>
      <c r="NVD188" s="12"/>
      <c r="NVM188" s="11"/>
      <c r="NVN188" s="12"/>
      <c r="NVW188" s="11"/>
      <c r="NVX188" s="12"/>
      <c r="NWG188" s="11"/>
      <c r="NWH188" s="12"/>
      <c r="NWQ188" s="11"/>
      <c r="NWR188" s="12"/>
      <c r="NXA188" s="11"/>
      <c r="NXB188" s="12"/>
      <c r="NXK188" s="11"/>
      <c r="NXL188" s="12"/>
      <c r="NXU188" s="11"/>
      <c r="NXV188" s="12"/>
      <c r="NYE188" s="11"/>
      <c r="NYF188" s="12"/>
      <c r="NYO188" s="11"/>
      <c r="NYP188" s="12"/>
      <c r="NYY188" s="11"/>
      <c r="NYZ188" s="12"/>
      <c r="NZI188" s="11"/>
      <c r="NZJ188" s="12"/>
      <c r="NZS188" s="11"/>
      <c r="NZT188" s="12"/>
      <c r="OAC188" s="11"/>
      <c r="OAD188" s="12"/>
      <c r="OAM188" s="11"/>
      <c r="OAN188" s="12"/>
      <c r="OAW188" s="11"/>
      <c r="OAX188" s="12"/>
      <c r="OBG188" s="11"/>
      <c r="OBH188" s="12"/>
      <c r="OBQ188" s="11"/>
      <c r="OBR188" s="12"/>
      <c r="OCA188" s="11"/>
      <c r="OCB188" s="12"/>
      <c r="OCK188" s="11"/>
      <c r="OCL188" s="12"/>
      <c r="OCU188" s="11"/>
      <c r="OCV188" s="12"/>
      <c r="ODE188" s="11"/>
      <c r="ODF188" s="12"/>
      <c r="ODO188" s="11"/>
      <c r="ODP188" s="12"/>
      <c r="ODY188" s="11"/>
      <c r="ODZ188" s="12"/>
      <c r="OEI188" s="11"/>
      <c r="OEJ188" s="12"/>
      <c r="OES188" s="11"/>
      <c r="OET188" s="12"/>
      <c r="OFC188" s="11"/>
      <c r="OFD188" s="12"/>
      <c r="OFM188" s="11"/>
      <c r="OFN188" s="12"/>
      <c r="OFW188" s="11"/>
      <c r="OFX188" s="12"/>
      <c r="OGG188" s="11"/>
      <c r="OGH188" s="12"/>
      <c r="OGQ188" s="11"/>
      <c r="OGR188" s="12"/>
      <c r="OHA188" s="11"/>
      <c r="OHB188" s="12"/>
      <c r="OHK188" s="11"/>
      <c r="OHL188" s="12"/>
      <c r="OHU188" s="11"/>
      <c r="OHV188" s="12"/>
      <c r="OIE188" s="11"/>
      <c r="OIF188" s="12"/>
      <c r="OIO188" s="11"/>
      <c r="OIP188" s="12"/>
      <c r="OIY188" s="11"/>
      <c r="OIZ188" s="12"/>
      <c r="OJI188" s="11"/>
      <c r="OJJ188" s="12"/>
      <c r="OJS188" s="11"/>
      <c r="OJT188" s="12"/>
      <c r="OKC188" s="11"/>
      <c r="OKD188" s="12"/>
      <c r="OKM188" s="11"/>
      <c r="OKN188" s="12"/>
      <c r="OKW188" s="11"/>
      <c r="OKX188" s="12"/>
      <c r="OLG188" s="11"/>
      <c r="OLH188" s="12"/>
      <c r="OLQ188" s="11"/>
      <c r="OLR188" s="12"/>
      <c r="OMA188" s="11"/>
      <c r="OMB188" s="12"/>
      <c r="OMK188" s="11"/>
      <c r="OML188" s="12"/>
      <c r="OMU188" s="11"/>
      <c r="OMV188" s="12"/>
      <c r="ONE188" s="11"/>
      <c r="ONF188" s="12"/>
      <c r="ONO188" s="11"/>
      <c r="ONP188" s="12"/>
      <c r="ONY188" s="11"/>
      <c r="ONZ188" s="12"/>
      <c r="OOI188" s="11"/>
      <c r="OOJ188" s="12"/>
      <c r="OOS188" s="11"/>
      <c r="OOT188" s="12"/>
      <c r="OPC188" s="11"/>
      <c r="OPD188" s="12"/>
      <c r="OPM188" s="11"/>
      <c r="OPN188" s="12"/>
      <c r="OPW188" s="11"/>
      <c r="OPX188" s="12"/>
      <c r="OQG188" s="11"/>
      <c r="OQH188" s="12"/>
      <c r="OQQ188" s="11"/>
      <c r="OQR188" s="12"/>
      <c r="ORA188" s="11"/>
      <c r="ORB188" s="12"/>
      <c r="ORK188" s="11"/>
      <c r="ORL188" s="12"/>
      <c r="ORU188" s="11"/>
      <c r="ORV188" s="12"/>
      <c r="OSE188" s="11"/>
      <c r="OSF188" s="12"/>
      <c r="OSO188" s="11"/>
      <c r="OSP188" s="12"/>
      <c r="OSY188" s="11"/>
      <c r="OSZ188" s="12"/>
      <c r="OTI188" s="11"/>
      <c r="OTJ188" s="12"/>
      <c r="OTS188" s="11"/>
      <c r="OTT188" s="12"/>
      <c r="OUC188" s="11"/>
      <c r="OUD188" s="12"/>
      <c r="OUM188" s="11"/>
      <c r="OUN188" s="12"/>
      <c r="OUW188" s="11"/>
      <c r="OUX188" s="12"/>
      <c r="OVG188" s="11"/>
      <c r="OVH188" s="12"/>
      <c r="OVQ188" s="11"/>
      <c r="OVR188" s="12"/>
      <c r="OWA188" s="11"/>
      <c r="OWB188" s="12"/>
      <c r="OWK188" s="11"/>
      <c r="OWL188" s="12"/>
      <c r="OWU188" s="11"/>
      <c r="OWV188" s="12"/>
      <c r="OXE188" s="11"/>
      <c r="OXF188" s="12"/>
      <c r="OXO188" s="11"/>
      <c r="OXP188" s="12"/>
      <c r="OXY188" s="11"/>
      <c r="OXZ188" s="12"/>
      <c r="OYI188" s="11"/>
      <c r="OYJ188" s="12"/>
      <c r="OYS188" s="11"/>
      <c r="OYT188" s="12"/>
      <c r="OZC188" s="11"/>
      <c r="OZD188" s="12"/>
      <c r="OZM188" s="11"/>
      <c r="OZN188" s="12"/>
      <c r="OZW188" s="11"/>
      <c r="OZX188" s="12"/>
      <c r="PAG188" s="11"/>
      <c r="PAH188" s="12"/>
      <c r="PAQ188" s="11"/>
      <c r="PAR188" s="12"/>
      <c r="PBA188" s="11"/>
      <c r="PBB188" s="12"/>
      <c r="PBK188" s="11"/>
      <c r="PBL188" s="12"/>
      <c r="PBU188" s="11"/>
      <c r="PBV188" s="12"/>
      <c r="PCE188" s="11"/>
      <c r="PCF188" s="12"/>
      <c r="PCO188" s="11"/>
      <c r="PCP188" s="12"/>
      <c r="PCY188" s="11"/>
      <c r="PCZ188" s="12"/>
      <c r="PDI188" s="11"/>
      <c r="PDJ188" s="12"/>
      <c r="PDS188" s="11"/>
      <c r="PDT188" s="12"/>
      <c r="PEC188" s="11"/>
      <c r="PED188" s="12"/>
      <c r="PEM188" s="11"/>
      <c r="PEN188" s="12"/>
      <c r="PEW188" s="11"/>
      <c r="PEX188" s="12"/>
      <c r="PFG188" s="11"/>
      <c r="PFH188" s="12"/>
      <c r="PFQ188" s="11"/>
      <c r="PFR188" s="12"/>
      <c r="PGA188" s="11"/>
      <c r="PGB188" s="12"/>
      <c r="PGK188" s="11"/>
      <c r="PGL188" s="12"/>
      <c r="PGU188" s="11"/>
      <c r="PGV188" s="12"/>
      <c r="PHE188" s="11"/>
      <c r="PHF188" s="12"/>
      <c r="PHO188" s="11"/>
      <c r="PHP188" s="12"/>
      <c r="PHY188" s="11"/>
      <c r="PHZ188" s="12"/>
      <c r="PII188" s="11"/>
      <c r="PIJ188" s="12"/>
      <c r="PIS188" s="11"/>
      <c r="PIT188" s="12"/>
      <c r="PJC188" s="11"/>
      <c r="PJD188" s="12"/>
      <c r="PJM188" s="11"/>
      <c r="PJN188" s="12"/>
      <c r="PJW188" s="11"/>
      <c r="PJX188" s="12"/>
      <c r="PKG188" s="11"/>
      <c r="PKH188" s="12"/>
      <c r="PKQ188" s="11"/>
      <c r="PKR188" s="12"/>
      <c r="PLA188" s="11"/>
      <c r="PLB188" s="12"/>
      <c r="PLK188" s="11"/>
      <c r="PLL188" s="12"/>
      <c r="PLU188" s="11"/>
      <c r="PLV188" s="12"/>
      <c r="PME188" s="11"/>
      <c r="PMF188" s="12"/>
      <c r="PMO188" s="11"/>
      <c r="PMP188" s="12"/>
      <c r="PMY188" s="11"/>
      <c r="PMZ188" s="12"/>
      <c r="PNI188" s="11"/>
      <c r="PNJ188" s="12"/>
      <c r="PNS188" s="11"/>
      <c r="PNT188" s="12"/>
      <c r="POC188" s="11"/>
      <c r="POD188" s="12"/>
      <c r="POM188" s="11"/>
      <c r="PON188" s="12"/>
      <c r="POW188" s="11"/>
      <c r="POX188" s="12"/>
      <c r="PPG188" s="11"/>
      <c r="PPH188" s="12"/>
      <c r="PPQ188" s="11"/>
      <c r="PPR188" s="12"/>
      <c r="PQA188" s="11"/>
      <c r="PQB188" s="12"/>
      <c r="PQK188" s="11"/>
      <c r="PQL188" s="12"/>
      <c r="PQU188" s="11"/>
      <c r="PQV188" s="12"/>
      <c r="PRE188" s="11"/>
      <c r="PRF188" s="12"/>
      <c r="PRO188" s="11"/>
      <c r="PRP188" s="12"/>
      <c r="PRY188" s="11"/>
      <c r="PRZ188" s="12"/>
      <c r="PSI188" s="11"/>
      <c r="PSJ188" s="12"/>
      <c r="PSS188" s="11"/>
      <c r="PST188" s="12"/>
      <c r="PTC188" s="11"/>
      <c r="PTD188" s="12"/>
      <c r="PTM188" s="11"/>
      <c r="PTN188" s="12"/>
      <c r="PTW188" s="11"/>
      <c r="PTX188" s="12"/>
      <c r="PUG188" s="11"/>
      <c r="PUH188" s="12"/>
      <c r="PUQ188" s="11"/>
      <c r="PUR188" s="12"/>
      <c r="PVA188" s="11"/>
      <c r="PVB188" s="12"/>
      <c r="PVK188" s="11"/>
      <c r="PVL188" s="12"/>
      <c r="PVU188" s="11"/>
      <c r="PVV188" s="12"/>
      <c r="PWE188" s="11"/>
      <c r="PWF188" s="12"/>
      <c r="PWO188" s="11"/>
      <c r="PWP188" s="12"/>
      <c r="PWY188" s="11"/>
      <c r="PWZ188" s="12"/>
      <c r="PXI188" s="11"/>
      <c r="PXJ188" s="12"/>
      <c r="PXS188" s="11"/>
      <c r="PXT188" s="12"/>
      <c r="PYC188" s="11"/>
      <c r="PYD188" s="12"/>
      <c r="PYM188" s="11"/>
      <c r="PYN188" s="12"/>
      <c r="PYW188" s="11"/>
      <c r="PYX188" s="12"/>
      <c r="PZG188" s="11"/>
      <c r="PZH188" s="12"/>
      <c r="PZQ188" s="11"/>
      <c r="PZR188" s="12"/>
      <c r="QAA188" s="11"/>
      <c r="QAB188" s="12"/>
      <c r="QAK188" s="11"/>
      <c r="QAL188" s="12"/>
      <c r="QAU188" s="11"/>
      <c r="QAV188" s="12"/>
      <c r="QBE188" s="11"/>
      <c r="QBF188" s="12"/>
      <c r="QBO188" s="11"/>
      <c r="QBP188" s="12"/>
      <c r="QBY188" s="11"/>
      <c r="QBZ188" s="12"/>
      <c r="QCI188" s="11"/>
      <c r="QCJ188" s="12"/>
      <c r="QCS188" s="11"/>
      <c r="QCT188" s="12"/>
      <c r="QDC188" s="11"/>
      <c r="QDD188" s="12"/>
      <c r="QDM188" s="11"/>
      <c r="QDN188" s="12"/>
      <c r="QDW188" s="11"/>
      <c r="QDX188" s="12"/>
      <c r="QEG188" s="11"/>
      <c r="QEH188" s="12"/>
      <c r="QEQ188" s="11"/>
      <c r="QER188" s="12"/>
      <c r="QFA188" s="11"/>
      <c r="QFB188" s="12"/>
      <c r="QFK188" s="11"/>
      <c r="QFL188" s="12"/>
      <c r="QFU188" s="11"/>
      <c r="QFV188" s="12"/>
      <c r="QGE188" s="11"/>
      <c r="QGF188" s="12"/>
      <c r="QGO188" s="11"/>
      <c r="QGP188" s="12"/>
      <c r="QGY188" s="11"/>
      <c r="QGZ188" s="12"/>
      <c r="QHI188" s="11"/>
      <c r="QHJ188" s="12"/>
      <c r="QHS188" s="11"/>
      <c r="QHT188" s="12"/>
      <c r="QIC188" s="11"/>
      <c r="QID188" s="12"/>
      <c r="QIM188" s="11"/>
      <c r="QIN188" s="12"/>
      <c r="QIW188" s="11"/>
      <c r="QIX188" s="12"/>
      <c r="QJG188" s="11"/>
      <c r="QJH188" s="12"/>
      <c r="QJQ188" s="11"/>
      <c r="QJR188" s="12"/>
      <c r="QKA188" s="11"/>
      <c r="QKB188" s="12"/>
      <c r="QKK188" s="11"/>
      <c r="QKL188" s="12"/>
      <c r="QKU188" s="11"/>
      <c r="QKV188" s="12"/>
      <c r="QLE188" s="11"/>
      <c r="QLF188" s="12"/>
      <c r="QLO188" s="11"/>
      <c r="QLP188" s="12"/>
      <c r="QLY188" s="11"/>
      <c r="QLZ188" s="12"/>
      <c r="QMI188" s="11"/>
      <c r="QMJ188" s="12"/>
      <c r="QMS188" s="11"/>
      <c r="QMT188" s="12"/>
      <c r="QNC188" s="11"/>
      <c r="QND188" s="12"/>
      <c r="QNM188" s="11"/>
      <c r="QNN188" s="12"/>
      <c r="QNW188" s="11"/>
      <c r="QNX188" s="12"/>
      <c r="QOG188" s="11"/>
      <c r="QOH188" s="12"/>
      <c r="QOQ188" s="11"/>
      <c r="QOR188" s="12"/>
      <c r="QPA188" s="11"/>
      <c r="QPB188" s="12"/>
      <c r="QPK188" s="11"/>
      <c r="QPL188" s="12"/>
      <c r="QPU188" s="11"/>
      <c r="QPV188" s="12"/>
      <c r="QQE188" s="11"/>
      <c r="QQF188" s="12"/>
      <c r="QQO188" s="11"/>
      <c r="QQP188" s="12"/>
      <c r="QQY188" s="11"/>
      <c r="QQZ188" s="12"/>
      <c r="QRI188" s="11"/>
      <c r="QRJ188" s="12"/>
      <c r="QRS188" s="11"/>
      <c r="QRT188" s="12"/>
      <c r="QSC188" s="11"/>
      <c r="QSD188" s="12"/>
      <c r="QSM188" s="11"/>
      <c r="QSN188" s="12"/>
      <c r="QSW188" s="11"/>
      <c r="QSX188" s="12"/>
      <c r="QTG188" s="11"/>
      <c r="QTH188" s="12"/>
      <c r="QTQ188" s="11"/>
      <c r="QTR188" s="12"/>
      <c r="QUA188" s="11"/>
      <c r="QUB188" s="12"/>
      <c r="QUK188" s="11"/>
      <c r="QUL188" s="12"/>
      <c r="QUU188" s="11"/>
      <c r="QUV188" s="12"/>
      <c r="QVE188" s="11"/>
      <c r="QVF188" s="12"/>
      <c r="QVO188" s="11"/>
      <c r="QVP188" s="12"/>
      <c r="QVY188" s="11"/>
      <c r="QVZ188" s="12"/>
      <c r="QWI188" s="11"/>
      <c r="QWJ188" s="12"/>
      <c r="QWS188" s="11"/>
      <c r="QWT188" s="12"/>
      <c r="QXC188" s="11"/>
      <c r="QXD188" s="12"/>
      <c r="QXM188" s="11"/>
      <c r="QXN188" s="12"/>
      <c r="QXW188" s="11"/>
      <c r="QXX188" s="12"/>
      <c r="QYG188" s="11"/>
      <c r="QYH188" s="12"/>
      <c r="QYQ188" s="11"/>
      <c r="QYR188" s="12"/>
      <c r="QZA188" s="11"/>
      <c r="QZB188" s="12"/>
      <c r="QZK188" s="11"/>
      <c r="QZL188" s="12"/>
      <c r="QZU188" s="11"/>
      <c r="QZV188" s="12"/>
      <c r="RAE188" s="11"/>
      <c r="RAF188" s="12"/>
      <c r="RAO188" s="11"/>
      <c r="RAP188" s="12"/>
      <c r="RAY188" s="11"/>
      <c r="RAZ188" s="12"/>
      <c r="RBI188" s="11"/>
      <c r="RBJ188" s="12"/>
      <c r="RBS188" s="11"/>
      <c r="RBT188" s="12"/>
      <c r="RCC188" s="11"/>
      <c r="RCD188" s="12"/>
      <c r="RCM188" s="11"/>
      <c r="RCN188" s="12"/>
      <c r="RCW188" s="11"/>
      <c r="RCX188" s="12"/>
      <c r="RDG188" s="11"/>
      <c r="RDH188" s="12"/>
      <c r="RDQ188" s="11"/>
      <c r="RDR188" s="12"/>
      <c r="REA188" s="11"/>
      <c r="REB188" s="12"/>
      <c r="REK188" s="11"/>
      <c r="REL188" s="12"/>
      <c r="REU188" s="11"/>
      <c r="REV188" s="12"/>
      <c r="RFE188" s="11"/>
      <c r="RFF188" s="12"/>
      <c r="RFO188" s="11"/>
      <c r="RFP188" s="12"/>
      <c r="RFY188" s="11"/>
      <c r="RFZ188" s="12"/>
      <c r="RGI188" s="11"/>
      <c r="RGJ188" s="12"/>
      <c r="RGS188" s="11"/>
      <c r="RGT188" s="12"/>
      <c r="RHC188" s="11"/>
      <c r="RHD188" s="12"/>
      <c r="RHM188" s="11"/>
      <c r="RHN188" s="12"/>
      <c r="RHW188" s="11"/>
      <c r="RHX188" s="12"/>
      <c r="RIG188" s="11"/>
      <c r="RIH188" s="12"/>
      <c r="RIQ188" s="11"/>
      <c r="RIR188" s="12"/>
      <c r="RJA188" s="11"/>
      <c r="RJB188" s="12"/>
      <c r="RJK188" s="11"/>
      <c r="RJL188" s="12"/>
      <c r="RJU188" s="11"/>
      <c r="RJV188" s="12"/>
      <c r="RKE188" s="11"/>
      <c r="RKF188" s="12"/>
      <c r="RKO188" s="11"/>
      <c r="RKP188" s="12"/>
      <c r="RKY188" s="11"/>
      <c r="RKZ188" s="12"/>
      <c r="RLI188" s="11"/>
      <c r="RLJ188" s="12"/>
      <c r="RLS188" s="11"/>
      <c r="RLT188" s="12"/>
      <c r="RMC188" s="11"/>
      <c r="RMD188" s="12"/>
      <c r="RMM188" s="11"/>
      <c r="RMN188" s="12"/>
      <c r="RMW188" s="11"/>
      <c r="RMX188" s="12"/>
      <c r="RNG188" s="11"/>
      <c r="RNH188" s="12"/>
      <c r="RNQ188" s="11"/>
      <c r="RNR188" s="12"/>
      <c r="ROA188" s="11"/>
      <c r="ROB188" s="12"/>
      <c r="ROK188" s="11"/>
      <c r="ROL188" s="12"/>
      <c r="ROU188" s="11"/>
      <c r="ROV188" s="12"/>
      <c r="RPE188" s="11"/>
      <c r="RPF188" s="12"/>
      <c r="RPO188" s="11"/>
      <c r="RPP188" s="12"/>
      <c r="RPY188" s="11"/>
      <c r="RPZ188" s="12"/>
      <c r="RQI188" s="11"/>
      <c r="RQJ188" s="12"/>
      <c r="RQS188" s="11"/>
      <c r="RQT188" s="12"/>
      <c r="RRC188" s="11"/>
      <c r="RRD188" s="12"/>
      <c r="RRM188" s="11"/>
      <c r="RRN188" s="12"/>
      <c r="RRW188" s="11"/>
      <c r="RRX188" s="12"/>
      <c r="RSG188" s="11"/>
      <c r="RSH188" s="12"/>
      <c r="RSQ188" s="11"/>
      <c r="RSR188" s="12"/>
      <c r="RTA188" s="11"/>
      <c r="RTB188" s="12"/>
      <c r="RTK188" s="11"/>
      <c r="RTL188" s="12"/>
      <c r="RTU188" s="11"/>
      <c r="RTV188" s="12"/>
      <c r="RUE188" s="11"/>
      <c r="RUF188" s="12"/>
      <c r="RUO188" s="11"/>
      <c r="RUP188" s="12"/>
      <c r="RUY188" s="11"/>
      <c r="RUZ188" s="12"/>
      <c r="RVI188" s="11"/>
      <c r="RVJ188" s="12"/>
      <c r="RVS188" s="11"/>
      <c r="RVT188" s="12"/>
      <c r="RWC188" s="11"/>
      <c r="RWD188" s="12"/>
      <c r="RWM188" s="11"/>
      <c r="RWN188" s="12"/>
      <c r="RWW188" s="11"/>
      <c r="RWX188" s="12"/>
      <c r="RXG188" s="11"/>
      <c r="RXH188" s="12"/>
      <c r="RXQ188" s="11"/>
      <c r="RXR188" s="12"/>
      <c r="RYA188" s="11"/>
      <c r="RYB188" s="12"/>
      <c r="RYK188" s="11"/>
      <c r="RYL188" s="12"/>
      <c r="RYU188" s="11"/>
      <c r="RYV188" s="12"/>
      <c r="RZE188" s="11"/>
      <c r="RZF188" s="12"/>
      <c r="RZO188" s="11"/>
      <c r="RZP188" s="12"/>
      <c r="RZY188" s="11"/>
      <c r="RZZ188" s="12"/>
      <c r="SAI188" s="11"/>
      <c r="SAJ188" s="12"/>
      <c r="SAS188" s="11"/>
      <c r="SAT188" s="12"/>
      <c r="SBC188" s="11"/>
      <c r="SBD188" s="12"/>
      <c r="SBM188" s="11"/>
      <c r="SBN188" s="12"/>
      <c r="SBW188" s="11"/>
      <c r="SBX188" s="12"/>
      <c r="SCG188" s="11"/>
      <c r="SCH188" s="12"/>
      <c r="SCQ188" s="11"/>
      <c r="SCR188" s="12"/>
      <c r="SDA188" s="11"/>
      <c r="SDB188" s="12"/>
      <c r="SDK188" s="11"/>
      <c r="SDL188" s="12"/>
      <c r="SDU188" s="11"/>
      <c r="SDV188" s="12"/>
      <c r="SEE188" s="11"/>
      <c r="SEF188" s="12"/>
      <c r="SEO188" s="11"/>
      <c r="SEP188" s="12"/>
      <c r="SEY188" s="11"/>
      <c r="SEZ188" s="12"/>
      <c r="SFI188" s="11"/>
      <c r="SFJ188" s="12"/>
      <c r="SFS188" s="11"/>
      <c r="SFT188" s="12"/>
      <c r="SGC188" s="11"/>
      <c r="SGD188" s="12"/>
      <c r="SGM188" s="11"/>
      <c r="SGN188" s="12"/>
      <c r="SGW188" s="11"/>
      <c r="SGX188" s="12"/>
      <c r="SHG188" s="11"/>
      <c r="SHH188" s="12"/>
      <c r="SHQ188" s="11"/>
      <c r="SHR188" s="12"/>
      <c r="SIA188" s="11"/>
      <c r="SIB188" s="12"/>
      <c r="SIK188" s="11"/>
      <c r="SIL188" s="12"/>
      <c r="SIU188" s="11"/>
      <c r="SIV188" s="12"/>
      <c r="SJE188" s="11"/>
      <c r="SJF188" s="12"/>
      <c r="SJO188" s="11"/>
      <c r="SJP188" s="12"/>
      <c r="SJY188" s="11"/>
      <c r="SJZ188" s="12"/>
      <c r="SKI188" s="11"/>
      <c r="SKJ188" s="12"/>
      <c r="SKS188" s="11"/>
      <c r="SKT188" s="12"/>
      <c r="SLC188" s="11"/>
      <c r="SLD188" s="12"/>
      <c r="SLM188" s="11"/>
      <c r="SLN188" s="12"/>
      <c r="SLW188" s="11"/>
      <c r="SLX188" s="12"/>
      <c r="SMG188" s="11"/>
      <c r="SMH188" s="12"/>
      <c r="SMQ188" s="11"/>
      <c r="SMR188" s="12"/>
      <c r="SNA188" s="11"/>
      <c r="SNB188" s="12"/>
      <c r="SNK188" s="11"/>
      <c r="SNL188" s="12"/>
      <c r="SNU188" s="11"/>
      <c r="SNV188" s="12"/>
      <c r="SOE188" s="11"/>
      <c r="SOF188" s="12"/>
      <c r="SOO188" s="11"/>
      <c r="SOP188" s="12"/>
      <c r="SOY188" s="11"/>
      <c r="SOZ188" s="12"/>
      <c r="SPI188" s="11"/>
      <c r="SPJ188" s="12"/>
      <c r="SPS188" s="11"/>
      <c r="SPT188" s="12"/>
      <c r="SQC188" s="11"/>
      <c r="SQD188" s="12"/>
      <c r="SQM188" s="11"/>
      <c r="SQN188" s="12"/>
      <c r="SQW188" s="11"/>
      <c r="SQX188" s="12"/>
      <c r="SRG188" s="11"/>
      <c r="SRH188" s="12"/>
      <c r="SRQ188" s="11"/>
      <c r="SRR188" s="12"/>
      <c r="SSA188" s="11"/>
      <c r="SSB188" s="12"/>
      <c r="SSK188" s="11"/>
      <c r="SSL188" s="12"/>
      <c r="SSU188" s="11"/>
      <c r="SSV188" s="12"/>
      <c r="STE188" s="11"/>
      <c r="STF188" s="12"/>
      <c r="STO188" s="11"/>
      <c r="STP188" s="12"/>
      <c r="STY188" s="11"/>
      <c r="STZ188" s="12"/>
      <c r="SUI188" s="11"/>
      <c r="SUJ188" s="12"/>
      <c r="SUS188" s="11"/>
      <c r="SUT188" s="12"/>
      <c r="SVC188" s="11"/>
      <c r="SVD188" s="12"/>
      <c r="SVM188" s="11"/>
      <c r="SVN188" s="12"/>
      <c r="SVW188" s="11"/>
      <c r="SVX188" s="12"/>
      <c r="SWG188" s="11"/>
      <c r="SWH188" s="12"/>
      <c r="SWQ188" s="11"/>
      <c r="SWR188" s="12"/>
      <c r="SXA188" s="11"/>
      <c r="SXB188" s="12"/>
      <c r="SXK188" s="11"/>
      <c r="SXL188" s="12"/>
      <c r="SXU188" s="11"/>
      <c r="SXV188" s="12"/>
      <c r="SYE188" s="11"/>
      <c r="SYF188" s="12"/>
      <c r="SYO188" s="11"/>
      <c r="SYP188" s="12"/>
      <c r="SYY188" s="11"/>
      <c r="SYZ188" s="12"/>
      <c r="SZI188" s="11"/>
      <c r="SZJ188" s="12"/>
      <c r="SZS188" s="11"/>
      <c r="SZT188" s="12"/>
      <c r="TAC188" s="11"/>
      <c r="TAD188" s="12"/>
      <c r="TAM188" s="11"/>
      <c r="TAN188" s="12"/>
      <c r="TAW188" s="11"/>
      <c r="TAX188" s="12"/>
      <c r="TBG188" s="11"/>
      <c r="TBH188" s="12"/>
      <c r="TBQ188" s="11"/>
      <c r="TBR188" s="12"/>
      <c r="TCA188" s="11"/>
      <c r="TCB188" s="12"/>
      <c r="TCK188" s="11"/>
      <c r="TCL188" s="12"/>
      <c r="TCU188" s="11"/>
      <c r="TCV188" s="12"/>
      <c r="TDE188" s="11"/>
      <c r="TDF188" s="12"/>
      <c r="TDO188" s="11"/>
      <c r="TDP188" s="12"/>
      <c r="TDY188" s="11"/>
      <c r="TDZ188" s="12"/>
      <c r="TEI188" s="11"/>
      <c r="TEJ188" s="12"/>
      <c r="TES188" s="11"/>
      <c r="TET188" s="12"/>
      <c r="TFC188" s="11"/>
      <c r="TFD188" s="12"/>
      <c r="TFM188" s="11"/>
      <c r="TFN188" s="12"/>
      <c r="TFW188" s="11"/>
      <c r="TFX188" s="12"/>
      <c r="TGG188" s="11"/>
      <c r="TGH188" s="12"/>
      <c r="TGQ188" s="11"/>
      <c r="TGR188" s="12"/>
      <c r="THA188" s="11"/>
      <c r="THB188" s="12"/>
      <c r="THK188" s="11"/>
      <c r="THL188" s="12"/>
      <c r="THU188" s="11"/>
      <c r="THV188" s="12"/>
      <c r="TIE188" s="11"/>
      <c r="TIF188" s="12"/>
      <c r="TIO188" s="11"/>
      <c r="TIP188" s="12"/>
      <c r="TIY188" s="11"/>
      <c r="TIZ188" s="12"/>
      <c r="TJI188" s="11"/>
      <c r="TJJ188" s="12"/>
      <c r="TJS188" s="11"/>
      <c r="TJT188" s="12"/>
      <c r="TKC188" s="11"/>
      <c r="TKD188" s="12"/>
      <c r="TKM188" s="11"/>
      <c r="TKN188" s="12"/>
      <c r="TKW188" s="11"/>
      <c r="TKX188" s="12"/>
      <c r="TLG188" s="11"/>
      <c r="TLH188" s="12"/>
      <c r="TLQ188" s="11"/>
      <c r="TLR188" s="12"/>
      <c r="TMA188" s="11"/>
      <c r="TMB188" s="12"/>
      <c r="TMK188" s="11"/>
      <c r="TML188" s="12"/>
      <c r="TMU188" s="11"/>
      <c r="TMV188" s="12"/>
      <c r="TNE188" s="11"/>
      <c r="TNF188" s="12"/>
      <c r="TNO188" s="11"/>
      <c r="TNP188" s="12"/>
      <c r="TNY188" s="11"/>
      <c r="TNZ188" s="12"/>
      <c r="TOI188" s="11"/>
      <c r="TOJ188" s="12"/>
      <c r="TOS188" s="11"/>
      <c r="TOT188" s="12"/>
      <c r="TPC188" s="11"/>
      <c r="TPD188" s="12"/>
      <c r="TPM188" s="11"/>
      <c r="TPN188" s="12"/>
      <c r="TPW188" s="11"/>
      <c r="TPX188" s="12"/>
      <c r="TQG188" s="11"/>
      <c r="TQH188" s="12"/>
      <c r="TQQ188" s="11"/>
      <c r="TQR188" s="12"/>
      <c r="TRA188" s="11"/>
      <c r="TRB188" s="12"/>
      <c r="TRK188" s="11"/>
      <c r="TRL188" s="12"/>
      <c r="TRU188" s="11"/>
      <c r="TRV188" s="12"/>
      <c r="TSE188" s="11"/>
      <c r="TSF188" s="12"/>
      <c r="TSO188" s="11"/>
      <c r="TSP188" s="12"/>
      <c r="TSY188" s="11"/>
      <c r="TSZ188" s="12"/>
      <c r="TTI188" s="11"/>
      <c r="TTJ188" s="12"/>
      <c r="TTS188" s="11"/>
      <c r="TTT188" s="12"/>
      <c r="TUC188" s="11"/>
      <c r="TUD188" s="12"/>
      <c r="TUM188" s="11"/>
      <c r="TUN188" s="12"/>
      <c r="TUW188" s="11"/>
      <c r="TUX188" s="12"/>
      <c r="TVG188" s="11"/>
      <c r="TVH188" s="12"/>
      <c r="TVQ188" s="11"/>
      <c r="TVR188" s="12"/>
      <c r="TWA188" s="11"/>
      <c r="TWB188" s="12"/>
      <c r="TWK188" s="11"/>
      <c r="TWL188" s="12"/>
      <c r="TWU188" s="11"/>
      <c r="TWV188" s="12"/>
      <c r="TXE188" s="11"/>
      <c r="TXF188" s="12"/>
      <c r="TXO188" s="11"/>
      <c r="TXP188" s="12"/>
      <c r="TXY188" s="11"/>
      <c r="TXZ188" s="12"/>
      <c r="TYI188" s="11"/>
      <c r="TYJ188" s="12"/>
      <c r="TYS188" s="11"/>
      <c r="TYT188" s="12"/>
      <c r="TZC188" s="11"/>
      <c r="TZD188" s="12"/>
      <c r="TZM188" s="11"/>
      <c r="TZN188" s="12"/>
      <c r="TZW188" s="11"/>
      <c r="TZX188" s="12"/>
      <c r="UAG188" s="11"/>
      <c r="UAH188" s="12"/>
      <c r="UAQ188" s="11"/>
      <c r="UAR188" s="12"/>
      <c r="UBA188" s="11"/>
      <c r="UBB188" s="12"/>
      <c r="UBK188" s="11"/>
      <c r="UBL188" s="12"/>
      <c r="UBU188" s="11"/>
      <c r="UBV188" s="12"/>
      <c r="UCE188" s="11"/>
      <c r="UCF188" s="12"/>
      <c r="UCO188" s="11"/>
      <c r="UCP188" s="12"/>
      <c r="UCY188" s="11"/>
      <c r="UCZ188" s="12"/>
      <c r="UDI188" s="11"/>
      <c r="UDJ188" s="12"/>
      <c r="UDS188" s="11"/>
      <c r="UDT188" s="12"/>
      <c r="UEC188" s="11"/>
      <c r="UED188" s="12"/>
      <c r="UEM188" s="11"/>
      <c r="UEN188" s="12"/>
      <c r="UEW188" s="11"/>
      <c r="UEX188" s="12"/>
      <c r="UFG188" s="11"/>
      <c r="UFH188" s="12"/>
      <c r="UFQ188" s="11"/>
      <c r="UFR188" s="12"/>
      <c r="UGA188" s="11"/>
      <c r="UGB188" s="12"/>
      <c r="UGK188" s="11"/>
      <c r="UGL188" s="12"/>
      <c r="UGU188" s="11"/>
      <c r="UGV188" s="12"/>
      <c r="UHE188" s="11"/>
      <c r="UHF188" s="12"/>
      <c r="UHO188" s="11"/>
      <c r="UHP188" s="12"/>
      <c r="UHY188" s="11"/>
      <c r="UHZ188" s="12"/>
      <c r="UII188" s="11"/>
      <c r="UIJ188" s="12"/>
      <c r="UIS188" s="11"/>
      <c r="UIT188" s="12"/>
      <c r="UJC188" s="11"/>
      <c r="UJD188" s="12"/>
      <c r="UJM188" s="11"/>
      <c r="UJN188" s="12"/>
      <c r="UJW188" s="11"/>
      <c r="UJX188" s="12"/>
      <c r="UKG188" s="11"/>
      <c r="UKH188" s="12"/>
      <c r="UKQ188" s="11"/>
      <c r="UKR188" s="12"/>
      <c r="ULA188" s="11"/>
      <c r="ULB188" s="12"/>
      <c r="ULK188" s="11"/>
      <c r="ULL188" s="12"/>
      <c r="ULU188" s="11"/>
      <c r="ULV188" s="12"/>
      <c r="UME188" s="11"/>
      <c r="UMF188" s="12"/>
      <c r="UMO188" s="11"/>
      <c r="UMP188" s="12"/>
      <c r="UMY188" s="11"/>
      <c r="UMZ188" s="12"/>
      <c r="UNI188" s="11"/>
      <c r="UNJ188" s="12"/>
      <c r="UNS188" s="11"/>
      <c r="UNT188" s="12"/>
      <c r="UOC188" s="11"/>
      <c r="UOD188" s="12"/>
      <c r="UOM188" s="11"/>
      <c r="UON188" s="12"/>
      <c r="UOW188" s="11"/>
      <c r="UOX188" s="12"/>
      <c r="UPG188" s="11"/>
      <c r="UPH188" s="12"/>
      <c r="UPQ188" s="11"/>
      <c r="UPR188" s="12"/>
      <c r="UQA188" s="11"/>
      <c r="UQB188" s="12"/>
      <c r="UQK188" s="11"/>
      <c r="UQL188" s="12"/>
      <c r="UQU188" s="11"/>
      <c r="UQV188" s="12"/>
      <c r="URE188" s="11"/>
      <c r="URF188" s="12"/>
      <c r="URO188" s="11"/>
      <c r="URP188" s="12"/>
      <c r="URY188" s="11"/>
      <c r="URZ188" s="12"/>
      <c r="USI188" s="11"/>
      <c r="USJ188" s="12"/>
      <c r="USS188" s="11"/>
      <c r="UST188" s="12"/>
      <c r="UTC188" s="11"/>
      <c r="UTD188" s="12"/>
      <c r="UTM188" s="11"/>
      <c r="UTN188" s="12"/>
      <c r="UTW188" s="11"/>
      <c r="UTX188" s="12"/>
      <c r="UUG188" s="11"/>
      <c r="UUH188" s="12"/>
      <c r="UUQ188" s="11"/>
      <c r="UUR188" s="12"/>
      <c r="UVA188" s="11"/>
      <c r="UVB188" s="12"/>
      <c r="UVK188" s="11"/>
      <c r="UVL188" s="12"/>
      <c r="UVU188" s="11"/>
      <c r="UVV188" s="12"/>
      <c r="UWE188" s="11"/>
      <c r="UWF188" s="12"/>
      <c r="UWO188" s="11"/>
      <c r="UWP188" s="12"/>
      <c r="UWY188" s="11"/>
      <c r="UWZ188" s="12"/>
      <c r="UXI188" s="11"/>
      <c r="UXJ188" s="12"/>
      <c r="UXS188" s="11"/>
      <c r="UXT188" s="12"/>
      <c r="UYC188" s="11"/>
      <c r="UYD188" s="12"/>
      <c r="UYM188" s="11"/>
      <c r="UYN188" s="12"/>
      <c r="UYW188" s="11"/>
      <c r="UYX188" s="12"/>
      <c r="UZG188" s="11"/>
      <c r="UZH188" s="12"/>
      <c r="UZQ188" s="11"/>
      <c r="UZR188" s="12"/>
      <c r="VAA188" s="11"/>
      <c r="VAB188" s="12"/>
      <c r="VAK188" s="11"/>
      <c r="VAL188" s="12"/>
      <c r="VAU188" s="11"/>
      <c r="VAV188" s="12"/>
      <c r="VBE188" s="11"/>
      <c r="VBF188" s="12"/>
      <c r="VBO188" s="11"/>
      <c r="VBP188" s="12"/>
      <c r="VBY188" s="11"/>
      <c r="VBZ188" s="12"/>
      <c r="VCI188" s="11"/>
      <c r="VCJ188" s="12"/>
      <c r="VCS188" s="11"/>
      <c r="VCT188" s="12"/>
      <c r="VDC188" s="11"/>
      <c r="VDD188" s="12"/>
      <c r="VDM188" s="11"/>
      <c r="VDN188" s="12"/>
      <c r="VDW188" s="11"/>
      <c r="VDX188" s="12"/>
      <c r="VEG188" s="11"/>
      <c r="VEH188" s="12"/>
      <c r="VEQ188" s="11"/>
      <c r="VER188" s="12"/>
      <c r="VFA188" s="11"/>
      <c r="VFB188" s="12"/>
      <c r="VFK188" s="11"/>
      <c r="VFL188" s="12"/>
      <c r="VFU188" s="11"/>
      <c r="VFV188" s="12"/>
      <c r="VGE188" s="11"/>
      <c r="VGF188" s="12"/>
      <c r="VGO188" s="11"/>
      <c r="VGP188" s="12"/>
      <c r="VGY188" s="11"/>
      <c r="VGZ188" s="12"/>
      <c r="VHI188" s="11"/>
      <c r="VHJ188" s="12"/>
      <c r="VHS188" s="11"/>
      <c r="VHT188" s="12"/>
      <c r="VIC188" s="11"/>
      <c r="VID188" s="12"/>
      <c r="VIM188" s="11"/>
      <c r="VIN188" s="12"/>
      <c r="VIW188" s="11"/>
      <c r="VIX188" s="12"/>
      <c r="VJG188" s="11"/>
      <c r="VJH188" s="12"/>
      <c r="VJQ188" s="11"/>
      <c r="VJR188" s="12"/>
      <c r="VKA188" s="11"/>
      <c r="VKB188" s="12"/>
      <c r="VKK188" s="11"/>
      <c r="VKL188" s="12"/>
      <c r="VKU188" s="11"/>
      <c r="VKV188" s="12"/>
      <c r="VLE188" s="11"/>
      <c r="VLF188" s="12"/>
      <c r="VLO188" s="11"/>
      <c r="VLP188" s="12"/>
      <c r="VLY188" s="11"/>
      <c r="VLZ188" s="12"/>
      <c r="VMI188" s="11"/>
      <c r="VMJ188" s="12"/>
      <c r="VMS188" s="11"/>
      <c r="VMT188" s="12"/>
      <c r="VNC188" s="11"/>
      <c r="VND188" s="12"/>
      <c r="VNM188" s="11"/>
      <c r="VNN188" s="12"/>
      <c r="VNW188" s="11"/>
      <c r="VNX188" s="12"/>
      <c r="VOG188" s="11"/>
      <c r="VOH188" s="12"/>
      <c r="VOQ188" s="11"/>
      <c r="VOR188" s="12"/>
      <c r="VPA188" s="11"/>
      <c r="VPB188" s="12"/>
      <c r="VPK188" s="11"/>
      <c r="VPL188" s="12"/>
      <c r="VPU188" s="11"/>
      <c r="VPV188" s="12"/>
      <c r="VQE188" s="11"/>
      <c r="VQF188" s="12"/>
      <c r="VQO188" s="11"/>
      <c r="VQP188" s="12"/>
      <c r="VQY188" s="11"/>
      <c r="VQZ188" s="12"/>
      <c r="VRI188" s="11"/>
      <c r="VRJ188" s="12"/>
      <c r="VRS188" s="11"/>
      <c r="VRT188" s="12"/>
      <c r="VSC188" s="11"/>
      <c r="VSD188" s="12"/>
      <c r="VSM188" s="11"/>
      <c r="VSN188" s="12"/>
      <c r="VSW188" s="11"/>
      <c r="VSX188" s="12"/>
      <c r="VTG188" s="11"/>
      <c r="VTH188" s="12"/>
      <c r="VTQ188" s="11"/>
      <c r="VTR188" s="12"/>
      <c r="VUA188" s="11"/>
      <c r="VUB188" s="12"/>
      <c r="VUK188" s="11"/>
      <c r="VUL188" s="12"/>
      <c r="VUU188" s="11"/>
      <c r="VUV188" s="12"/>
      <c r="VVE188" s="11"/>
      <c r="VVF188" s="12"/>
      <c r="VVO188" s="11"/>
      <c r="VVP188" s="12"/>
      <c r="VVY188" s="11"/>
      <c r="VVZ188" s="12"/>
      <c r="VWI188" s="11"/>
      <c r="VWJ188" s="12"/>
      <c r="VWS188" s="11"/>
      <c r="VWT188" s="12"/>
      <c r="VXC188" s="11"/>
      <c r="VXD188" s="12"/>
      <c r="VXM188" s="11"/>
      <c r="VXN188" s="12"/>
      <c r="VXW188" s="11"/>
      <c r="VXX188" s="12"/>
      <c r="VYG188" s="11"/>
      <c r="VYH188" s="12"/>
      <c r="VYQ188" s="11"/>
      <c r="VYR188" s="12"/>
      <c r="VZA188" s="11"/>
      <c r="VZB188" s="12"/>
      <c r="VZK188" s="11"/>
      <c r="VZL188" s="12"/>
      <c r="VZU188" s="11"/>
      <c r="VZV188" s="12"/>
      <c r="WAE188" s="11"/>
      <c r="WAF188" s="12"/>
      <c r="WAO188" s="11"/>
      <c r="WAP188" s="12"/>
      <c r="WAY188" s="11"/>
      <c r="WAZ188" s="12"/>
      <c r="WBI188" s="11"/>
      <c r="WBJ188" s="12"/>
      <c r="WBS188" s="11"/>
      <c r="WBT188" s="12"/>
      <c r="WCC188" s="11"/>
      <c r="WCD188" s="12"/>
      <c r="WCM188" s="11"/>
      <c r="WCN188" s="12"/>
      <c r="WCW188" s="11"/>
      <c r="WCX188" s="12"/>
      <c r="WDG188" s="11"/>
      <c r="WDH188" s="12"/>
      <c r="WDQ188" s="11"/>
      <c r="WDR188" s="12"/>
      <c r="WEA188" s="11"/>
      <c r="WEB188" s="12"/>
      <c r="WEK188" s="11"/>
      <c r="WEL188" s="12"/>
      <c r="WEU188" s="11"/>
      <c r="WEV188" s="12"/>
      <c r="WFE188" s="11"/>
      <c r="WFF188" s="12"/>
      <c r="WFO188" s="11"/>
      <c r="WFP188" s="12"/>
      <c r="WFY188" s="11"/>
      <c r="WFZ188" s="12"/>
      <c r="WGI188" s="11"/>
      <c r="WGJ188" s="12"/>
      <c r="WGS188" s="11"/>
      <c r="WGT188" s="12"/>
      <c r="WHC188" s="11"/>
      <c r="WHD188" s="12"/>
      <c r="WHM188" s="11"/>
      <c r="WHN188" s="12"/>
      <c r="WHW188" s="11"/>
      <c r="WHX188" s="12"/>
      <c r="WIG188" s="11"/>
      <c r="WIH188" s="12"/>
      <c r="WIQ188" s="11"/>
      <c r="WIR188" s="12"/>
      <c r="WJA188" s="11"/>
      <c r="WJB188" s="12"/>
      <c r="WJK188" s="11"/>
      <c r="WJL188" s="12"/>
      <c r="WJU188" s="11"/>
      <c r="WJV188" s="12"/>
      <c r="WKE188" s="11"/>
      <c r="WKF188" s="12"/>
      <c r="WKO188" s="11"/>
      <c r="WKP188" s="12"/>
      <c r="WKY188" s="11"/>
      <c r="WKZ188" s="12"/>
      <c r="WLI188" s="11"/>
      <c r="WLJ188" s="12"/>
      <c r="WLS188" s="11"/>
      <c r="WLT188" s="12"/>
      <c r="WMC188" s="11"/>
      <c r="WMD188" s="12"/>
      <c r="WMM188" s="11"/>
      <c r="WMN188" s="12"/>
      <c r="WMW188" s="11"/>
      <c r="WMX188" s="12"/>
      <c r="WNG188" s="11"/>
      <c r="WNH188" s="12"/>
      <c r="WNQ188" s="11"/>
      <c r="WNR188" s="12"/>
      <c r="WOA188" s="11"/>
      <c r="WOB188" s="12"/>
      <c r="WOK188" s="11"/>
      <c r="WOL188" s="12"/>
      <c r="WOU188" s="11"/>
      <c r="WOV188" s="12"/>
      <c r="WPE188" s="11"/>
      <c r="WPF188" s="12"/>
      <c r="WPO188" s="11"/>
      <c r="WPP188" s="12"/>
      <c r="WPY188" s="11"/>
      <c r="WPZ188" s="12"/>
      <c r="WQI188" s="11"/>
      <c r="WQJ188" s="12"/>
      <c r="WQS188" s="11"/>
      <c r="WQT188" s="12"/>
      <c r="WRC188" s="11"/>
      <c r="WRD188" s="12"/>
      <c r="WRM188" s="11"/>
      <c r="WRN188" s="12"/>
      <c r="WRW188" s="11"/>
      <c r="WRX188" s="12"/>
      <c r="WSG188" s="11"/>
      <c r="WSH188" s="12"/>
      <c r="WSQ188" s="11"/>
      <c r="WSR188" s="12"/>
      <c r="WTA188" s="11"/>
      <c r="WTB188" s="12"/>
      <c r="WTK188" s="11"/>
      <c r="WTL188" s="12"/>
      <c r="WTU188" s="11"/>
      <c r="WTV188" s="12"/>
      <c r="WUE188" s="11"/>
      <c r="WUF188" s="12"/>
      <c r="WUO188" s="11"/>
      <c r="WUP188" s="12"/>
      <c r="WUY188" s="11"/>
      <c r="WUZ188" s="12"/>
      <c r="WVI188" s="11"/>
      <c r="WVJ188" s="12"/>
      <c r="WVS188" s="11"/>
      <c r="WVT188" s="12"/>
      <c r="WWC188" s="11"/>
      <c r="WWD188" s="12"/>
      <c r="WWM188" s="11"/>
      <c r="WWN188" s="12"/>
      <c r="WWW188" s="11"/>
      <c r="WWX188" s="12"/>
      <c r="WXG188" s="11"/>
      <c r="WXH188" s="12"/>
      <c r="WXQ188" s="11"/>
      <c r="WXR188" s="12"/>
      <c r="WYA188" s="11"/>
      <c r="WYB188" s="12"/>
      <c r="WYK188" s="11"/>
      <c r="WYL188" s="12"/>
      <c r="WYU188" s="11"/>
      <c r="WYV188" s="12"/>
      <c r="WZE188" s="11"/>
      <c r="WZF188" s="12"/>
      <c r="WZO188" s="11"/>
      <c r="WZP188" s="12"/>
      <c r="WZY188" s="11"/>
      <c r="WZZ188" s="12"/>
      <c r="XAI188" s="11"/>
      <c r="XAJ188" s="12"/>
      <c r="XAS188" s="11"/>
      <c r="XAT188" s="12"/>
      <c r="XBC188" s="11"/>
      <c r="XBD188" s="12"/>
      <c r="XBM188" s="11"/>
      <c r="XBN188" s="12"/>
      <c r="XBW188" s="11"/>
      <c r="XBX188" s="12"/>
      <c r="XCG188" s="11"/>
      <c r="XCH188" s="12"/>
      <c r="XCQ188" s="11"/>
      <c r="XCR188" s="12"/>
      <c r="XDA188" s="11"/>
      <c r="XDB188" s="12"/>
      <c r="XDK188" s="11"/>
      <c r="XDL188" s="12"/>
      <c r="XDU188" s="11"/>
      <c r="XDV188" s="12"/>
      <c r="XEE188" s="11"/>
      <c r="XEF188" s="12"/>
      <c r="XEO188" s="11"/>
      <c r="XEP188" s="12"/>
      <c r="XEY188" s="11"/>
      <c r="XEZ188" s="12"/>
    </row>
    <row r="189" spans="1:1020 1029:2040 2049:3070 3079:4090 4099:5120 5129:6140 6149:7160 7169:8190 8199:9210 9219:10240 10249:11260 11269:12280 12289:13310 13319:14330 14339:15360 15369:16380" s="10" customFormat="1" ht="27.6" x14ac:dyDescent="0.3">
      <c r="A189"/>
      <c r="B189"/>
      <c r="C189"/>
      <c r="D189"/>
      <c r="E189"/>
      <c r="F189"/>
      <c r="G189"/>
      <c r="H189" s="32" t="s">
        <v>9</v>
      </c>
      <c r="I189" s="33" t="s">
        <v>22</v>
      </c>
      <c r="J189" s="34" t="s">
        <v>23</v>
      </c>
      <c r="K189" s="35" t="s">
        <v>0</v>
      </c>
      <c r="L189" s="33"/>
      <c r="M189" s="33"/>
      <c r="N189" s="36"/>
      <c r="O189" s="33">
        <v>1</v>
      </c>
      <c r="P189" s="33">
        <f>IF(Tabela1[[#This Row],[Status]]="✔️",Tabela1[[#This Row],[Peso]],IF(Tabela1[[#This Row],[Status]]="✔️✔️",Tabela1[[#This Row],[Peso]]/2,0))</f>
        <v>1</v>
      </c>
      <c r="Q18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9" s="33" t="s">
        <v>264</v>
      </c>
      <c r="S189" s="37" t="s">
        <v>263</v>
      </c>
      <c r="T189" s="12"/>
      <c r="AC189" s="11"/>
      <c r="AD189" s="12"/>
      <c r="AM189" s="11"/>
      <c r="AN189" s="12"/>
      <c r="AW189" s="11"/>
      <c r="AX189" s="12"/>
      <c r="BG189" s="11"/>
      <c r="BH189" s="12"/>
      <c r="BQ189" s="11"/>
      <c r="BR189" s="12"/>
      <c r="CA189" s="11"/>
      <c r="CB189" s="12"/>
      <c r="CK189" s="11"/>
      <c r="CL189" s="12"/>
      <c r="CU189" s="11"/>
      <c r="CV189" s="12"/>
      <c r="DE189" s="11"/>
      <c r="DF189" s="12"/>
      <c r="DO189" s="11"/>
      <c r="DP189" s="12"/>
      <c r="DY189" s="11"/>
      <c r="DZ189" s="12"/>
      <c r="EI189" s="11"/>
      <c r="EJ189" s="12"/>
      <c r="ES189" s="11"/>
      <c r="ET189" s="12"/>
      <c r="FC189" s="11"/>
      <c r="FD189" s="12"/>
      <c r="FM189" s="11"/>
      <c r="FN189" s="12"/>
      <c r="FW189" s="11"/>
      <c r="FX189" s="12"/>
      <c r="GG189" s="11"/>
      <c r="GH189" s="12"/>
      <c r="GQ189" s="11"/>
      <c r="GR189" s="12"/>
      <c r="HA189" s="11"/>
      <c r="HB189" s="12"/>
      <c r="HK189" s="11"/>
      <c r="HL189" s="12"/>
      <c r="HU189" s="11"/>
      <c r="HV189" s="12"/>
      <c r="IE189" s="11"/>
      <c r="IF189" s="12"/>
      <c r="IO189" s="11"/>
      <c r="IP189" s="12"/>
      <c r="IY189" s="11"/>
      <c r="IZ189" s="12"/>
      <c r="JI189" s="11"/>
      <c r="JJ189" s="12"/>
      <c r="JS189" s="11"/>
      <c r="JT189" s="12"/>
      <c r="KC189" s="11"/>
      <c r="KD189" s="12"/>
      <c r="KM189" s="11"/>
      <c r="KN189" s="12"/>
      <c r="KW189" s="11"/>
      <c r="KX189" s="12"/>
      <c r="LG189" s="11"/>
      <c r="LH189" s="12"/>
      <c r="LQ189" s="11"/>
      <c r="LR189" s="12"/>
      <c r="MA189" s="11"/>
      <c r="MB189" s="12"/>
      <c r="MK189" s="11"/>
      <c r="ML189" s="12"/>
      <c r="MU189" s="11"/>
      <c r="MV189" s="12"/>
      <c r="NE189" s="11"/>
      <c r="NF189" s="12"/>
      <c r="NO189" s="11"/>
      <c r="NP189" s="12"/>
      <c r="NY189" s="11"/>
      <c r="NZ189" s="12"/>
      <c r="OI189" s="11"/>
      <c r="OJ189" s="12"/>
      <c r="OS189" s="11"/>
      <c r="OT189" s="12"/>
      <c r="PC189" s="11"/>
      <c r="PD189" s="12"/>
      <c r="PM189" s="11"/>
      <c r="PN189" s="12"/>
      <c r="PW189" s="11"/>
      <c r="PX189" s="12"/>
      <c r="QG189" s="11"/>
      <c r="QH189" s="12"/>
      <c r="QQ189" s="11"/>
      <c r="QR189" s="12"/>
      <c r="RA189" s="11"/>
      <c r="RB189" s="12"/>
      <c r="RK189" s="11"/>
      <c r="RL189" s="12"/>
      <c r="RU189" s="11"/>
      <c r="RV189" s="12"/>
      <c r="SE189" s="11"/>
      <c r="SF189" s="12"/>
      <c r="SO189" s="11"/>
      <c r="SP189" s="12"/>
      <c r="SY189" s="11"/>
      <c r="SZ189" s="12"/>
      <c r="TI189" s="11"/>
      <c r="TJ189" s="12"/>
      <c r="TS189" s="11"/>
      <c r="TT189" s="12"/>
      <c r="UC189" s="11"/>
      <c r="UD189" s="12"/>
      <c r="UM189" s="11"/>
      <c r="UN189" s="12"/>
      <c r="UW189" s="11"/>
      <c r="UX189" s="12"/>
      <c r="VG189" s="11"/>
      <c r="VH189" s="12"/>
      <c r="VQ189" s="11"/>
      <c r="VR189" s="12"/>
      <c r="WA189" s="11"/>
      <c r="WB189" s="12"/>
      <c r="WK189" s="11"/>
      <c r="WL189" s="12"/>
      <c r="WU189" s="11"/>
      <c r="WV189" s="12"/>
      <c r="XE189" s="11"/>
      <c r="XF189" s="12"/>
      <c r="XO189" s="11"/>
      <c r="XP189" s="12"/>
      <c r="XY189" s="11"/>
      <c r="XZ189" s="12"/>
      <c r="YI189" s="11"/>
      <c r="YJ189" s="12"/>
      <c r="YS189" s="11"/>
      <c r="YT189" s="12"/>
      <c r="ZC189" s="11"/>
      <c r="ZD189" s="12"/>
      <c r="ZM189" s="11"/>
      <c r="ZN189" s="12"/>
      <c r="ZW189" s="11"/>
      <c r="ZX189" s="12"/>
      <c r="AAG189" s="11"/>
      <c r="AAH189" s="12"/>
      <c r="AAQ189" s="11"/>
      <c r="AAR189" s="12"/>
      <c r="ABA189" s="11"/>
      <c r="ABB189" s="12"/>
      <c r="ABK189" s="11"/>
      <c r="ABL189" s="12"/>
      <c r="ABU189" s="11"/>
      <c r="ABV189" s="12"/>
      <c r="ACE189" s="11"/>
      <c r="ACF189" s="12"/>
      <c r="ACO189" s="11"/>
      <c r="ACP189" s="12"/>
      <c r="ACY189" s="11"/>
      <c r="ACZ189" s="12"/>
      <c r="ADI189" s="11"/>
      <c r="ADJ189" s="12"/>
      <c r="ADS189" s="11"/>
      <c r="ADT189" s="12"/>
      <c r="AEC189" s="11"/>
      <c r="AED189" s="12"/>
      <c r="AEM189" s="11"/>
      <c r="AEN189" s="12"/>
      <c r="AEW189" s="11"/>
      <c r="AEX189" s="12"/>
      <c r="AFG189" s="11"/>
      <c r="AFH189" s="12"/>
      <c r="AFQ189" s="11"/>
      <c r="AFR189" s="12"/>
      <c r="AGA189" s="11"/>
      <c r="AGB189" s="12"/>
      <c r="AGK189" s="11"/>
      <c r="AGL189" s="12"/>
      <c r="AGU189" s="11"/>
      <c r="AGV189" s="12"/>
      <c r="AHE189" s="11"/>
      <c r="AHF189" s="12"/>
      <c r="AHO189" s="11"/>
      <c r="AHP189" s="12"/>
      <c r="AHY189" s="11"/>
      <c r="AHZ189" s="12"/>
      <c r="AII189" s="11"/>
      <c r="AIJ189" s="12"/>
      <c r="AIS189" s="11"/>
      <c r="AIT189" s="12"/>
      <c r="AJC189" s="11"/>
      <c r="AJD189" s="12"/>
      <c r="AJM189" s="11"/>
      <c r="AJN189" s="12"/>
      <c r="AJW189" s="11"/>
      <c r="AJX189" s="12"/>
      <c r="AKG189" s="11"/>
      <c r="AKH189" s="12"/>
      <c r="AKQ189" s="11"/>
      <c r="AKR189" s="12"/>
      <c r="ALA189" s="11"/>
      <c r="ALB189" s="12"/>
      <c r="ALK189" s="11"/>
      <c r="ALL189" s="12"/>
      <c r="ALU189" s="11"/>
      <c r="ALV189" s="12"/>
      <c r="AME189" s="11"/>
      <c r="AMF189" s="12"/>
      <c r="AMO189" s="11"/>
      <c r="AMP189" s="12"/>
      <c r="AMY189" s="11"/>
      <c r="AMZ189" s="12"/>
      <c r="ANI189" s="11"/>
      <c r="ANJ189" s="12"/>
      <c r="ANS189" s="11"/>
      <c r="ANT189" s="12"/>
      <c r="AOC189" s="11"/>
      <c r="AOD189" s="12"/>
      <c r="AOM189" s="11"/>
      <c r="AON189" s="12"/>
      <c r="AOW189" s="11"/>
      <c r="AOX189" s="12"/>
      <c r="APG189" s="11"/>
      <c r="APH189" s="12"/>
      <c r="APQ189" s="11"/>
      <c r="APR189" s="12"/>
      <c r="AQA189" s="11"/>
      <c r="AQB189" s="12"/>
      <c r="AQK189" s="11"/>
      <c r="AQL189" s="12"/>
      <c r="AQU189" s="11"/>
      <c r="AQV189" s="12"/>
      <c r="ARE189" s="11"/>
      <c r="ARF189" s="12"/>
      <c r="ARO189" s="11"/>
      <c r="ARP189" s="12"/>
      <c r="ARY189" s="11"/>
      <c r="ARZ189" s="12"/>
      <c r="ASI189" s="11"/>
      <c r="ASJ189" s="12"/>
      <c r="ASS189" s="11"/>
      <c r="AST189" s="12"/>
      <c r="ATC189" s="11"/>
      <c r="ATD189" s="12"/>
      <c r="ATM189" s="11"/>
      <c r="ATN189" s="12"/>
      <c r="ATW189" s="11"/>
      <c r="ATX189" s="12"/>
      <c r="AUG189" s="11"/>
      <c r="AUH189" s="12"/>
      <c r="AUQ189" s="11"/>
      <c r="AUR189" s="12"/>
      <c r="AVA189" s="11"/>
      <c r="AVB189" s="12"/>
      <c r="AVK189" s="11"/>
      <c r="AVL189" s="12"/>
      <c r="AVU189" s="11"/>
      <c r="AVV189" s="12"/>
      <c r="AWE189" s="11"/>
      <c r="AWF189" s="12"/>
      <c r="AWO189" s="11"/>
      <c r="AWP189" s="12"/>
      <c r="AWY189" s="11"/>
      <c r="AWZ189" s="12"/>
      <c r="AXI189" s="11"/>
      <c r="AXJ189" s="12"/>
      <c r="AXS189" s="11"/>
      <c r="AXT189" s="12"/>
      <c r="AYC189" s="11"/>
      <c r="AYD189" s="12"/>
      <c r="AYM189" s="11"/>
      <c r="AYN189" s="12"/>
      <c r="AYW189" s="11"/>
      <c r="AYX189" s="12"/>
      <c r="AZG189" s="11"/>
      <c r="AZH189" s="12"/>
      <c r="AZQ189" s="11"/>
      <c r="AZR189" s="12"/>
      <c r="BAA189" s="11"/>
      <c r="BAB189" s="12"/>
      <c r="BAK189" s="11"/>
      <c r="BAL189" s="12"/>
      <c r="BAU189" s="11"/>
      <c r="BAV189" s="12"/>
      <c r="BBE189" s="11"/>
      <c r="BBF189" s="12"/>
      <c r="BBO189" s="11"/>
      <c r="BBP189" s="12"/>
      <c r="BBY189" s="11"/>
      <c r="BBZ189" s="12"/>
      <c r="BCI189" s="11"/>
      <c r="BCJ189" s="12"/>
      <c r="BCS189" s="11"/>
      <c r="BCT189" s="12"/>
      <c r="BDC189" s="11"/>
      <c r="BDD189" s="12"/>
      <c r="BDM189" s="11"/>
      <c r="BDN189" s="12"/>
      <c r="BDW189" s="11"/>
      <c r="BDX189" s="12"/>
      <c r="BEG189" s="11"/>
      <c r="BEH189" s="12"/>
      <c r="BEQ189" s="11"/>
      <c r="BER189" s="12"/>
      <c r="BFA189" s="11"/>
      <c r="BFB189" s="12"/>
      <c r="BFK189" s="11"/>
      <c r="BFL189" s="12"/>
      <c r="BFU189" s="11"/>
      <c r="BFV189" s="12"/>
      <c r="BGE189" s="11"/>
      <c r="BGF189" s="12"/>
      <c r="BGO189" s="11"/>
      <c r="BGP189" s="12"/>
      <c r="BGY189" s="11"/>
      <c r="BGZ189" s="12"/>
      <c r="BHI189" s="11"/>
      <c r="BHJ189" s="12"/>
      <c r="BHS189" s="11"/>
      <c r="BHT189" s="12"/>
      <c r="BIC189" s="11"/>
      <c r="BID189" s="12"/>
      <c r="BIM189" s="11"/>
      <c r="BIN189" s="12"/>
      <c r="BIW189" s="11"/>
      <c r="BIX189" s="12"/>
      <c r="BJG189" s="11"/>
      <c r="BJH189" s="12"/>
      <c r="BJQ189" s="11"/>
      <c r="BJR189" s="12"/>
      <c r="BKA189" s="11"/>
      <c r="BKB189" s="12"/>
      <c r="BKK189" s="11"/>
      <c r="BKL189" s="12"/>
      <c r="BKU189" s="11"/>
      <c r="BKV189" s="12"/>
      <c r="BLE189" s="11"/>
      <c r="BLF189" s="12"/>
      <c r="BLO189" s="11"/>
      <c r="BLP189" s="12"/>
      <c r="BLY189" s="11"/>
      <c r="BLZ189" s="12"/>
      <c r="BMI189" s="11"/>
      <c r="BMJ189" s="12"/>
      <c r="BMS189" s="11"/>
      <c r="BMT189" s="12"/>
      <c r="BNC189" s="11"/>
      <c r="BND189" s="12"/>
      <c r="BNM189" s="11"/>
      <c r="BNN189" s="12"/>
      <c r="BNW189" s="11"/>
      <c r="BNX189" s="12"/>
      <c r="BOG189" s="11"/>
      <c r="BOH189" s="12"/>
      <c r="BOQ189" s="11"/>
      <c r="BOR189" s="12"/>
      <c r="BPA189" s="11"/>
      <c r="BPB189" s="12"/>
      <c r="BPK189" s="11"/>
      <c r="BPL189" s="12"/>
      <c r="BPU189" s="11"/>
      <c r="BPV189" s="12"/>
      <c r="BQE189" s="11"/>
      <c r="BQF189" s="12"/>
      <c r="BQO189" s="11"/>
      <c r="BQP189" s="12"/>
      <c r="BQY189" s="11"/>
      <c r="BQZ189" s="12"/>
      <c r="BRI189" s="11"/>
      <c r="BRJ189" s="12"/>
      <c r="BRS189" s="11"/>
      <c r="BRT189" s="12"/>
      <c r="BSC189" s="11"/>
      <c r="BSD189" s="12"/>
      <c r="BSM189" s="11"/>
      <c r="BSN189" s="12"/>
      <c r="BSW189" s="11"/>
      <c r="BSX189" s="12"/>
      <c r="BTG189" s="11"/>
      <c r="BTH189" s="12"/>
      <c r="BTQ189" s="11"/>
      <c r="BTR189" s="12"/>
      <c r="BUA189" s="11"/>
      <c r="BUB189" s="12"/>
      <c r="BUK189" s="11"/>
      <c r="BUL189" s="12"/>
      <c r="BUU189" s="11"/>
      <c r="BUV189" s="12"/>
      <c r="BVE189" s="11"/>
      <c r="BVF189" s="12"/>
      <c r="BVO189" s="11"/>
      <c r="BVP189" s="12"/>
      <c r="BVY189" s="11"/>
      <c r="BVZ189" s="12"/>
      <c r="BWI189" s="11"/>
      <c r="BWJ189" s="12"/>
      <c r="BWS189" s="11"/>
      <c r="BWT189" s="12"/>
      <c r="BXC189" s="11"/>
      <c r="BXD189" s="12"/>
      <c r="BXM189" s="11"/>
      <c r="BXN189" s="12"/>
      <c r="BXW189" s="11"/>
      <c r="BXX189" s="12"/>
      <c r="BYG189" s="11"/>
      <c r="BYH189" s="12"/>
      <c r="BYQ189" s="11"/>
      <c r="BYR189" s="12"/>
      <c r="BZA189" s="11"/>
      <c r="BZB189" s="12"/>
      <c r="BZK189" s="11"/>
      <c r="BZL189" s="12"/>
      <c r="BZU189" s="11"/>
      <c r="BZV189" s="12"/>
      <c r="CAE189" s="11"/>
      <c r="CAF189" s="12"/>
      <c r="CAO189" s="11"/>
      <c r="CAP189" s="12"/>
      <c r="CAY189" s="11"/>
      <c r="CAZ189" s="12"/>
      <c r="CBI189" s="11"/>
      <c r="CBJ189" s="12"/>
      <c r="CBS189" s="11"/>
      <c r="CBT189" s="12"/>
      <c r="CCC189" s="11"/>
      <c r="CCD189" s="12"/>
      <c r="CCM189" s="11"/>
      <c r="CCN189" s="12"/>
      <c r="CCW189" s="11"/>
      <c r="CCX189" s="12"/>
      <c r="CDG189" s="11"/>
      <c r="CDH189" s="12"/>
      <c r="CDQ189" s="11"/>
      <c r="CDR189" s="12"/>
      <c r="CEA189" s="11"/>
      <c r="CEB189" s="12"/>
      <c r="CEK189" s="11"/>
      <c r="CEL189" s="12"/>
      <c r="CEU189" s="11"/>
      <c r="CEV189" s="12"/>
      <c r="CFE189" s="11"/>
      <c r="CFF189" s="12"/>
      <c r="CFO189" s="11"/>
      <c r="CFP189" s="12"/>
      <c r="CFY189" s="11"/>
      <c r="CFZ189" s="12"/>
      <c r="CGI189" s="11"/>
      <c r="CGJ189" s="12"/>
      <c r="CGS189" s="11"/>
      <c r="CGT189" s="12"/>
      <c r="CHC189" s="11"/>
      <c r="CHD189" s="12"/>
      <c r="CHM189" s="11"/>
      <c r="CHN189" s="12"/>
      <c r="CHW189" s="11"/>
      <c r="CHX189" s="12"/>
      <c r="CIG189" s="11"/>
      <c r="CIH189" s="12"/>
      <c r="CIQ189" s="11"/>
      <c r="CIR189" s="12"/>
      <c r="CJA189" s="11"/>
      <c r="CJB189" s="12"/>
      <c r="CJK189" s="11"/>
      <c r="CJL189" s="12"/>
      <c r="CJU189" s="11"/>
      <c r="CJV189" s="12"/>
      <c r="CKE189" s="11"/>
      <c r="CKF189" s="12"/>
      <c r="CKO189" s="11"/>
      <c r="CKP189" s="12"/>
      <c r="CKY189" s="11"/>
      <c r="CKZ189" s="12"/>
      <c r="CLI189" s="11"/>
      <c r="CLJ189" s="12"/>
      <c r="CLS189" s="11"/>
      <c r="CLT189" s="12"/>
      <c r="CMC189" s="11"/>
      <c r="CMD189" s="12"/>
      <c r="CMM189" s="11"/>
      <c r="CMN189" s="12"/>
      <c r="CMW189" s="11"/>
      <c r="CMX189" s="12"/>
      <c r="CNG189" s="11"/>
      <c r="CNH189" s="12"/>
      <c r="CNQ189" s="11"/>
      <c r="CNR189" s="12"/>
      <c r="COA189" s="11"/>
      <c r="COB189" s="12"/>
      <c r="COK189" s="11"/>
      <c r="COL189" s="12"/>
      <c r="COU189" s="11"/>
      <c r="COV189" s="12"/>
      <c r="CPE189" s="11"/>
      <c r="CPF189" s="12"/>
      <c r="CPO189" s="11"/>
      <c r="CPP189" s="12"/>
      <c r="CPY189" s="11"/>
      <c r="CPZ189" s="12"/>
      <c r="CQI189" s="11"/>
      <c r="CQJ189" s="12"/>
      <c r="CQS189" s="11"/>
      <c r="CQT189" s="12"/>
      <c r="CRC189" s="11"/>
      <c r="CRD189" s="12"/>
      <c r="CRM189" s="11"/>
      <c r="CRN189" s="12"/>
      <c r="CRW189" s="11"/>
      <c r="CRX189" s="12"/>
      <c r="CSG189" s="11"/>
      <c r="CSH189" s="12"/>
      <c r="CSQ189" s="11"/>
      <c r="CSR189" s="12"/>
      <c r="CTA189" s="11"/>
      <c r="CTB189" s="12"/>
      <c r="CTK189" s="11"/>
      <c r="CTL189" s="12"/>
      <c r="CTU189" s="11"/>
      <c r="CTV189" s="12"/>
      <c r="CUE189" s="11"/>
      <c r="CUF189" s="12"/>
      <c r="CUO189" s="11"/>
      <c r="CUP189" s="12"/>
      <c r="CUY189" s="11"/>
      <c r="CUZ189" s="12"/>
      <c r="CVI189" s="11"/>
      <c r="CVJ189" s="12"/>
      <c r="CVS189" s="11"/>
      <c r="CVT189" s="12"/>
      <c r="CWC189" s="11"/>
      <c r="CWD189" s="12"/>
      <c r="CWM189" s="11"/>
      <c r="CWN189" s="12"/>
      <c r="CWW189" s="11"/>
      <c r="CWX189" s="12"/>
      <c r="CXG189" s="11"/>
      <c r="CXH189" s="12"/>
      <c r="CXQ189" s="11"/>
      <c r="CXR189" s="12"/>
      <c r="CYA189" s="11"/>
      <c r="CYB189" s="12"/>
      <c r="CYK189" s="11"/>
      <c r="CYL189" s="12"/>
      <c r="CYU189" s="11"/>
      <c r="CYV189" s="12"/>
      <c r="CZE189" s="11"/>
      <c r="CZF189" s="12"/>
      <c r="CZO189" s="11"/>
      <c r="CZP189" s="12"/>
      <c r="CZY189" s="11"/>
      <c r="CZZ189" s="12"/>
      <c r="DAI189" s="11"/>
      <c r="DAJ189" s="12"/>
      <c r="DAS189" s="11"/>
      <c r="DAT189" s="12"/>
      <c r="DBC189" s="11"/>
      <c r="DBD189" s="12"/>
      <c r="DBM189" s="11"/>
      <c r="DBN189" s="12"/>
      <c r="DBW189" s="11"/>
      <c r="DBX189" s="12"/>
      <c r="DCG189" s="11"/>
      <c r="DCH189" s="12"/>
      <c r="DCQ189" s="11"/>
      <c r="DCR189" s="12"/>
      <c r="DDA189" s="11"/>
      <c r="DDB189" s="12"/>
      <c r="DDK189" s="11"/>
      <c r="DDL189" s="12"/>
      <c r="DDU189" s="11"/>
      <c r="DDV189" s="12"/>
      <c r="DEE189" s="11"/>
      <c r="DEF189" s="12"/>
      <c r="DEO189" s="11"/>
      <c r="DEP189" s="12"/>
      <c r="DEY189" s="11"/>
      <c r="DEZ189" s="12"/>
      <c r="DFI189" s="11"/>
      <c r="DFJ189" s="12"/>
      <c r="DFS189" s="11"/>
      <c r="DFT189" s="12"/>
      <c r="DGC189" s="11"/>
      <c r="DGD189" s="12"/>
      <c r="DGM189" s="11"/>
      <c r="DGN189" s="12"/>
      <c r="DGW189" s="11"/>
      <c r="DGX189" s="12"/>
      <c r="DHG189" s="11"/>
      <c r="DHH189" s="12"/>
      <c r="DHQ189" s="11"/>
      <c r="DHR189" s="12"/>
      <c r="DIA189" s="11"/>
      <c r="DIB189" s="12"/>
      <c r="DIK189" s="11"/>
      <c r="DIL189" s="12"/>
      <c r="DIU189" s="11"/>
      <c r="DIV189" s="12"/>
      <c r="DJE189" s="11"/>
      <c r="DJF189" s="12"/>
      <c r="DJO189" s="11"/>
      <c r="DJP189" s="12"/>
      <c r="DJY189" s="11"/>
      <c r="DJZ189" s="12"/>
      <c r="DKI189" s="11"/>
      <c r="DKJ189" s="12"/>
      <c r="DKS189" s="11"/>
      <c r="DKT189" s="12"/>
      <c r="DLC189" s="11"/>
      <c r="DLD189" s="12"/>
      <c r="DLM189" s="11"/>
      <c r="DLN189" s="12"/>
      <c r="DLW189" s="11"/>
      <c r="DLX189" s="12"/>
      <c r="DMG189" s="11"/>
      <c r="DMH189" s="12"/>
      <c r="DMQ189" s="11"/>
      <c r="DMR189" s="12"/>
      <c r="DNA189" s="11"/>
      <c r="DNB189" s="12"/>
      <c r="DNK189" s="11"/>
      <c r="DNL189" s="12"/>
      <c r="DNU189" s="11"/>
      <c r="DNV189" s="12"/>
      <c r="DOE189" s="11"/>
      <c r="DOF189" s="12"/>
      <c r="DOO189" s="11"/>
      <c r="DOP189" s="12"/>
      <c r="DOY189" s="11"/>
      <c r="DOZ189" s="12"/>
      <c r="DPI189" s="11"/>
      <c r="DPJ189" s="12"/>
      <c r="DPS189" s="11"/>
      <c r="DPT189" s="12"/>
      <c r="DQC189" s="11"/>
      <c r="DQD189" s="12"/>
      <c r="DQM189" s="11"/>
      <c r="DQN189" s="12"/>
      <c r="DQW189" s="11"/>
      <c r="DQX189" s="12"/>
      <c r="DRG189" s="11"/>
      <c r="DRH189" s="12"/>
      <c r="DRQ189" s="11"/>
      <c r="DRR189" s="12"/>
      <c r="DSA189" s="11"/>
      <c r="DSB189" s="12"/>
      <c r="DSK189" s="11"/>
      <c r="DSL189" s="12"/>
      <c r="DSU189" s="11"/>
      <c r="DSV189" s="12"/>
      <c r="DTE189" s="11"/>
      <c r="DTF189" s="12"/>
      <c r="DTO189" s="11"/>
      <c r="DTP189" s="12"/>
      <c r="DTY189" s="11"/>
      <c r="DTZ189" s="12"/>
      <c r="DUI189" s="11"/>
      <c r="DUJ189" s="12"/>
      <c r="DUS189" s="11"/>
      <c r="DUT189" s="12"/>
      <c r="DVC189" s="11"/>
      <c r="DVD189" s="12"/>
      <c r="DVM189" s="11"/>
      <c r="DVN189" s="12"/>
      <c r="DVW189" s="11"/>
      <c r="DVX189" s="12"/>
      <c r="DWG189" s="11"/>
      <c r="DWH189" s="12"/>
      <c r="DWQ189" s="11"/>
      <c r="DWR189" s="12"/>
      <c r="DXA189" s="11"/>
      <c r="DXB189" s="12"/>
      <c r="DXK189" s="11"/>
      <c r="DXL189" s="12"/>
      <c r="DXU189" s="11"/>
      <c r="DXV189" s="12"/>
      <c r="DYE189" s="11"/>
      <c r="DYF189" s="12"/>
      <c r="DYO189" s="11"/>
      <c r="DYP189" s="12"/>
      <c r="DYY189" s="11"/>
      <c r="DYZ189" s="12"/>
      <c r="DZI189" s="11"/>
      <c r="DZJ189" s="12"/>
      <c r="DZS189" s="11"/>
      <c r="DZT189" s="12"/>
      <c r="EAC189" s="11"/>
      <c r="EAD189" s="12"/>
      <c r="EAM189" s="11"/>
      <c r="EAN189" s="12"/>
      <c r="EAW189" s="11"/>
      <c r="EAX189" s="12"/>
      <c r="EBG189" s="11"/>
      <c r="EBH189" s="12"/>
      <c r="EBQ189" s="11"/>
      <c r="EBR189" s="12"/>
      <c r="ECA189" s="11"/>
      <c r="ECB189" s="12"/>
      <c r="ECK189" s="11"/>
      <c r="ECL189" s="12"/>
      <c r="ECU189" s="11"/>
      <c r="ECV189" s="12"/>
      <c r="EDE189" s="11"/>
      <c r="EDF189" s="12"/>
      <c r="EDO189" s="11"/>
      <c r="EDP189" s="12"/>
      <c r="EDY189" s="11"/>
      <c r="EDZ189" s="12"/>
      <c r="EEI189" s="11"/>
      <c r="EEJ189" s="12"/>
      <c r="EES189" s="11"/>
      <c r="EET189" s="12"/>
      <c r="EFC189" s="11"/>
      <c r="EFD189" s="12"/>
      <c r="EFM189" s="11"/>
      <c r="EFN189" s="12"/>
      <c r="EFW189" s="11"/>
      <c r="EFX189" s="12"/>
      <c r="EGG189" s="11"/>
      <c r="EGH189" s="12"/>
      <c r="EGQ189" s="11"/>
      <c r="EGR189" s="12"/>
      <c r="EHA189" s="11"/>
      <c r="EHB189" s="12"/>
      <c r="EHK189" s="11"/>
      <c r="EHL189" s="12"/>
      <c r="EHU189" s="11"/>
      <c r="EHV189" s="12"/>
      <c r="EIE189" s="11"/>
      <c r="EIF189" s="12"/>
      <c r="EIO189" s="11"/>
      <c r="EIP189" s="12"/>
      <c r="EIY189" s="11"/>
      <c r="EIZ189" s="12"/>
      <c r="EJI189" s="11"/>
      <c r="EJJ189" s="12"/>
      <c r="EJS189" s="11"/>
      <c r="EJT189" s="12"/>
      <c r="EKC189" s="11"/>
      <c r="EKD189" s="12"/>
      <c r="EKM189" s="11"/>
      <c r="EKN189" s="12"/>
      <c r="EKW189" s="11"/>
      <c r="EKX189" s="12"/>
      <c r="ELG189" s="11"/>
      <c r="ELH189" s="12"/>
      <c r="ELQ189" s="11"/>
      <c r="ELR189" s="12"/>
      <c r="EMA189" s="11"/>
      <c r="EMB189" s="12"/>
      <c r="EMK189" s="11"/>
      <c r="EML189" s="12"/>
      <c r="EMU189" s="11"/>
      <c r="EMV189" s="12"/>
      <c r="ENE189" s="11"/>
      <c r="ENF189" s="12"/>
      <c r="ENO189" s="11"/>
      <c r="ENP189" s="12"/>
      <c r="ENY189" s="11"/>
      <c r="ENZ189" s="12"/>
      <c r="EOI189" s="11"/>
      <c r="EOJ189" s="12"/>
      <c r="EOS189" s="11"/>
      <c r="EOT189" s="12"/>
      <c r="EPC189" s="11"/>
      <c r="EPD189" s="12"/>
      <c r="EPM189" s="11"/>
      <c r="EPN189" s="12"/>
      <c r="EPW189" s="11"/>
      <c r="EPX189" s="12"/>
      <c r="EQG189" s="11"/>
      <c r="EQH189" s="12"/>
      <c r="EQQ189" s="11"/>
      <c r="EQR189" s="12"/>
      <c r="ERA189" s="11"/>
      <c r="ERB189" s="12"/>
      <c r="ERK189" s="11"/>
      <c r="ERL189" s="12"/>
      <c r="ERU189" s="11"/>
      <c r="ERV189" s="12"/>
      <c r="ESE189" s="11"/>
      <c r="ESF189" s="12"/>
      <c r="ESO189" s="11"/>
      <c r="ESP189" s="12"/>
      <c r="ESY189" s="11"/>
      <c r="ESZ189" s="12"/>
      <c r="ETI189" s="11"/>
      <c r="ETJ189" s="12"/>
      <c r="ETS189" s="11"/>
      <c r="ETT189" s="12"/>
      <c r="EUC189" s="11"/>
      <c r="EUD189" s="12"/>
      <c r="EUM189" s="11"/>
      <c r="EUN189" s="12"/>
      <c r="EUW189" s="11"/>
      <c r="EUX189" s="12"/>
      <c r="EVG189" s="11"/>
      <c r="EVH189" s="12"/>
      <c r="EVQ189" s="11"/>
      <c r="EVR189" s="12"/>
      <c r="EWA189" s="11"/>
      <c r="EWB189" s="12"/>
      <c r="EWK189" s="11"/>
      <c r="EWL189" s="12"/>
      <c r="EWU189" s="11"/>
      <c r="EWV189" s="12"/>
      <c r="EXE189" s="11"/>
      <c r="EXF189" s="12"/>
      <c r="EXO189" s="11"/>
      <c r="EXP189" s="12"/>
      <c r="EXY189" s="11"/>
      <c r="EXZ189" s="12"/>
      <c r="EYI189" s="11"/>
      <c r="EYJ189" s="12"/>
      <c r="EYS189" s="11"/>
      <c r="EYT189" s="12"/>
      <c r="EZC189" s="11"/>
      <c r="EZD189" s="12"/>
      <c r="EZM189" s="11"/>
      <c r="EZN189" s="12"/>
      <c r="EZW189" s="11"/>
      <c r="EZX189" s="12"/>
      <c r="FAG189" s="11"/>
      <c r="FAH189" s="12"/>
      <c r="FAQ189" s="11"/>
      <c r="FAR189" s="12"/>
      <c r="FBA189" s="11"/>
      <c r="FBB189" s="12"/>
      <c r="FBK189" s="11"/>
      <c r="FBL189" s="12"/>
      <c r="FBU189" s="11"/>
      <c r="FBV189" s="12"/>
      <c r="FCE189" s="11"/>
      <c r="FCF189" s="12"/>
      <c r="FCO189" s="11"/>
      <c r="FCP189" s="12"/>
      <c r="FCY189" s="11"/>
      <c r="FCZ189" s="12"/>
      <c r="FDI189" s="11"/>
      <c r="FDJ189" s="12"/>
      <c r="FDS189" s="11"/>
      <c r="FDT189" s="12"/>
      <c r="FEC189" s="11"/>
      <c r="FED189" s="12"/>
      <c r="FEM189" s="11"/>
      <c r="FEN189" s="12"/>
      <c r="FEW189" s="11"/>
      <c r="FEX189" s="12"/>
      <c r="FFG189" s="11"/>
      <c r="FFH189" s="12"/>
      <c r="FFQ189" s="11"/>
      <c r="FFR189" s="12"/>
      <c r="FGA189" s="11"/>
      <c r="FGB189" s="12"/>
      <c r="FGK189" s="11"/>
      <c r="FGL189" s="12"/>
      <c r="FGU189" s="11"/>
      <c r="FGV189" s="12"/>
      <c r="FHE189" s="11"/>
      <c r="FHF189" s="12"/>
      <c r="FHO189" s="11"/>
      <c r="FHP189" s="12"/>
      <c r="FHY189" s="11"/>
      <c r="FHZ189" s="12"/>
      <c r="FII189" s="11"/>
      <c r="FIJ189" s="12"/>
      <c r="FIS189" s="11"/>
      <c r="FIT189" s="12"/>
      <c r="FJC189" s="11"/>
      <c r="FJD189" s="12"/>
      <c r="FJM189" s="11"/>
      <c r="FJN189" s="12"/>
      <c r="FJW189" s="11"/>
      <c r="FJX189" s="12"/>
      <c r="FKG189" s="11"/>
      <c r="FKH189" s="12"/>
      <c r="FKQ189" s="11"/>
      <c r="FKR189" s="12"/>
      <c r="FLA189" s="11"/>
      <c r="FLB189" s="12"/>
      <c r="FLK189" s="11"/>
      <c r="FLL189" s="12"/>
      <c r="FLU189" s="11"/>
      <c r="FLV189" s="12"/>
      <c r="FME189" s="11"/>
      <c r="FMF189" s="12"/>
      <c r="FMO189" s="11"/>
      <c r="FMP189" s="12"/>
      <c r="FMY189" s="11"/>
      <c r="FMZ189" s="12"/>
      <c r="FNI189" s="11"/>
      <c r="FNJ189" s="12"/>
      <c r="FNS189" s="11"/>
      <c r="FNT189" s="12"/>
      <c r="FOC189" s="11"/>
      <c r="FOD189" s="12"/>
      <c r="FOM189" s="11"/>
      <c r="FON189" s="12"/>
      <c r="FOW189" s="11"/>
      <c r="FOX189" s="12"/>
      <c r="FPG189" s="11"/>
      <c r="FPH189" s="12"/>
      <c r="FPQ189" s="11"/>
      <c r="FPR189" s="12"/>
      <c r="FQA189" s="11"/>
      <c r="FQB189" s="12"/>
      <c r="FQK189" s="11"/>
      <c r="FQL189" s="12"/>
      <c r="FQU189" s="11"/>
      <c r="FQV189" s="12"/>
      <c r="FRE189" s="11"/>
      <c r="FRF189" s="12"/>
      <c r="FRO189" s="11"/>
      <c r="FRP189" s="12"/>
      <c r="FRY189" s="11"/>
      <c r="FRZ189" s="12"/>
      <c r="FSI189" s="11"/>
      <c r="FSJ189" s="12"/>
      <c r="FSS189" s="11"/>
      <c r="FST189" s="12"/>
      <c r="FTC189" s="11"/>
      <c r="FTD189" s="12"/>
      <c r="FTM189" s="11"/>
      <c r="FTN189" s="12"/>
      <c r="FTW189" s="11"/>
      <c r="FTX189" s="12"/>
      <c r="FUG189" s="11"/>
      <c r="FUH189" s="12"/>
      <c r="FUQ189" s="11"/>
      <c r="FUR189" s="12"/>
      <c r="FVA189" s="11"/>
      <c r="FVB189" s="12"/>
      <c r="FVK189" s="11"/>
      <c r="FVL189" s="12"/>
      <c r="FVU189" s="11"/>
      <c r="FVV189" s="12"/>
      <c r="FWE189" s="11"/>
      <c r="FWF189" s="12"/>
      <c r="FWO189" s="11"/>
      <c r="FWP189" s="12"/>
      <c r="FWY189" s="11"/>
      <c r="FWZ189" s="12"/>
      <c r="FXI189" s="11"/>
      <c r="FXJ189" s="12"/>
      <c r="FXS189" s="11"/>
      <c r="FXT189" s="12"/>
      <c r="FYC189" s="11"/>
      <c r="FYD189" s="12"/>
      <c r="FYM189" s="11"/>
      <c r="FYN189" s="12"/>
      <c r="FYW189" s="11"/>
      <c r="FYX189" s="12"/>
      <c r="FZG189" s="11"/>
      <c r="FZH189" s="12"/>
      <c r="FZQ189" s="11"/>
      <c r="FZR189" s="12"/>
      <c r="GAA189" s="11"/>
      <c r="GAB189" s="12"/>
      <c r="GAK189" s="11"/>
      <c r="GAL189" s="12"/>
      <c r="GAU189" s="11"/>
      <c r="GAV189" s="12"/>
      <c r="GBE189" s="11"/>
      <c r="GBF189" s="12"/>
      <c r="GBO189" s="11"/>
      <c r="GBP189" s="12"/>
      <c r="GBY189" s="11"/>
      <c r="GBZ189" s="12"/>
      <c r="GCI189" s="11"/>
      <c r="GCJ189" s="12"/>
      <c r="GCS189" s="11"/>
      <c r="GCT189" s="12"/>
      <c r="GDC189" s="11"/>
      <c r="GDD189" s="12"/>
      <c r="GDM189" s="11"/>
      <c r="GDN189" s="12"/>
      <c r="GDW189" s="11"/>
      <c r="GDX189" s="12"/>
      <c r="GEG189" s="11"/>
      <c r="GEH189" s="12"/>
      <c r="GEQ189" s="11"/>
      <c r="GER189" s="12"/>
      <c r="GFA189" s="11"/>
      <c r="GFB189" s="12"/>
      <c r="GFK189" s="11"/>
      <c r="GFL189" s="12"/>
      <c r="GFU189" s="11"/>
      <c r="GFV189" s="12"/>
      <c r="GGE189" s="11"/>
      <c r="GGF189" s="12"/>
      <c r="GGO189" s="11"/>
      <c r="GGP189" s="12"/>
      <c r="GGY189" s="11"/>
      <c r="GGZ189" s="12"/>
      <c r="GHI189" s="11"/>
      <c r="GHJ189" s="12"/>
      <c r="GHS189" s="11"/>
      <c r="GHT189" s="12"/>
      <c r="GIC189" s="11"/>
      <c r="GID189" s="12"/>
      <c r="GIM189" s="11"/>
      <c r="GIN189" s="12"/>
      <c r="GIW189" s="11"/>
      <c r="GIX189" s="12"/>
      <c r="GJG189" s="11"/>
      <c r="GJH189" s="12"/>
      <c r="GJQ189" s="11"/>
      <c r="GJR189" s="12"/>
      <c r="GKA189" s="11"/>
      <c r="GKB189" s="12"/>
      <c r="GKK189" s="11"/>
      <c r="GKL189" s="12"/>
      <c r="GKU189" s="11"/>
      <c r="GKV189" s="12"/>
      <c r="GLE189" s="11"/>
      <c r="GLF189" s="12"/>
      <c r="GLO189" s="11"/>
      <c r="GLP189" s="12"/>
      <c r="GLY189" s="11"/>
      <c r="GLZ189" s="12"/>
      <c r="GMI189" s="11"/>
      <c r="GMJ189" s="12"/>
      <c r="GMS189" s="11"/>
      <c r="GMT189" s="12"/>
      <c r="GNC189" s="11"/>
      <c r="GND189" s="12"/>
      <c r="GNM189" s="11"/>
      <c r="GNN189" s="12"/>
      <c r="GNW189" s="11"/>
      <c r="GNX189" s="12"/>
      <c r="GOG189" s="11"/>
      <c r="GOH189" s="12"/>
      <c r="GOQ189" s="11"/>
      <c r="GOR189" s="12"/>
      <c r="GPA189" s="11"/>
      <c r="GPB189" s="12"/>
      <c r="GPK189" s="11"/>
      <c r="GPL189" s="12"/>
      <c r="GPU189" s="11"/>
      <c r="GPV189" s="12"/>
      <c r="GQE189" s="11"/>
      <c r="GQF189" s="12"/>
      <c r="GQO189" s="11"/>
      <c r="GQP189" s="12"/>
      <c r="GQY189" s="11"/>
      <c r="GQZ189" s="12"/>
      <c r="GRI189" s="11"/>
      <c r="GRJ189" s="12"/>
      <c r="GRS189" s="11"/>
      <c r="GRT189" s="12"/>
      <c r="GSC189" s="11"/>
      <c r="GSD189" s="12"/>
      <c r="GSM189" s="11"/>
      <c r="GSN189" s="12"/>
      <c r="GSW189" s="11"/>
      <c r="GSX189" s="12"/>
      <c r="GTG189" s="11"/>
      <c r="GTH189" s="12"/>
      <c r="GTQ189" s="11"/>
      <c r="GTR189" s="12"/>
      <c r="GUA189" s="11"/>
      <c r="GUB189" s="12"/>
      <c r="GUK189" s="11"/>
      <c r="GUL189" s="12"/>
      <c r="GUU189" s="11"/>
      <c r="GUV189" s="12"/>
      <c r="GVE189" s="11"/>
      <c r="GVF189" s="12"/>
      <c r="GVO189" s="11"/>
      <c r="GVP189" s="12"/>
      <c r="GVY189" s="11"/>
      <c r="GVZ189" s="12"/>
      <c r="GWI189" s="11"/>
      <c r="GWJ189" s="12"/>
      <c r="GWS189" s="11"/>
      <c r="GWT189" s="12"/>
      <c r="GXC189" s="11"/>
      <c r="GXD189" s="12"/>
      <c r="GXM189" s="11"/>
      <c r="GXN189" s="12"/>
      <c r="GXW189" s="11"/>
      <c r="GXX189" s="12"/>
      <c r="GYG189" s="11"/>
      <c r="GYH189" s="12"/>
      <c r="GYQ189" s="11"/>
      <c r="GYR189" s="12"/>
      <c r="GZA189" s="11"/>
      <c r="GZB189" s="12"/>
      <c r="GZK189" s="11"/>
      <c r="GZL189" s="12"/>
      <c r="GZU189" s="11"/>
      <c r="GZV189" s="12"/>
      <c r="HAE189" s="11"/>
      <c r="HAF189" s="12"/>
      <c r="HAO189" s="11"/>
      <c r="HAP189" s="12"/>
      <c r="HAY189" s="11"/>
      <c r="HAZ189" s="12"/>
      <c r="HBI189" s="11"/>
      <c r="HBJ189" s="12"/>
      <c r="HBS189" s="11"/>
      <c r="HBT189" s="12"/>
      <c r="HCC189" s="11"/>
      <c r="HCD189" s="12"/>
      <c r="HCM189" s="11"/>
      <c r="HCN189" s="12"/>
      <c r="HCW189" s="11"/>
      <c r="HCX189" s="12"/>
      <c r="HDG189" s="11"/>
      <c r="HDH189" s="12"/>
      <c r="HDQ189" s="11"/>
      <c r="HDR189" s="12"/>
      <c r="HEA189" s="11"/>
      <c r="HEB189" s="12"/>
      <c r="HEK189" s="11"/>
      <c r="HEL189" s="12"/>
      <c r="HEU189" s="11"/>
      <c r="HEV189" s="12"/>
      <c r="HFE189" s="11"/>
      <c r="HFF189" s="12"/>
      <c r="HFO189" s="11"/>
      <c r="HFP189" s="12"/>
      <c r="HFY189" s="11"/>
      <c r="HFZ189" s="12"/>
      <c r="HGI189" s="11"/>
      <c r="HGJ189" s="12"/>
      <c r="HGS189" s="11"/>
      <c r="HGT189" s="12"/>
      <c r="HHC189" s="11"/>
      <c r="HHD189" s="12"/>
      <c r="HHM189" s="11"/>
      <c r="HHN189" s="12"/>
      <c r="HHW189" s="11"/>
      <c r="HHX189" s="12"/>
      <c r="HIG189" s="11"/>
      <c r="HIH189" s="12"/>
      <c r="HIQ189" s="11"/>
      <c r="HIR189" s="12"/>
      <c r="HJA189" s="11"/>
      <c r="HJB189" s="12"/>
      <c r="HJK189" s="11"/>
      <c r="HJL189" s="12"/>
      <c r="HJU189" s="11"/>
      <c r="HJV189" s="12"/>
      <c r="HKE189" s="11"/>
      <c r="HKF189" s="12"/>
      <c r="HKO189" s="11"/>
      <c r="HKP189" s="12"/>
      <c r="HKY189" s="11"/>
      <c r="HKZ189" s="12"/>
      <c r="HLI189" s="11"/>
      <c r="HLJ189" s="12"/>
      <c r="HLS189" s="11"/>
      <c r="HLT189" s="12"/>
      <c r="HMC189" s="11"/>
      <c r="HMD189" s="12"/>
      <c r="HMM189" s="11"/>
      <c r="HMN189" s="12"/>
      <c r="HMW189" s="11"/>
      <c r="HMX189" s="12"/>
      <c r="HNG189" s="11"/>
      <c r="HNH189" s="12"/>
      <c r="HNQ189" s="11"/>
      <c r="HNR189" s="12"/>
      <c r="HOA189" s="11"/>
      <c r="HOB189" s="12"/>
      <c r="HOK189" s="11"/>
      <c r="HOL189" s="12"/>
      <c r="HOU189" s="11"/>
      <c r="HOV189" s="12"/>
      <c r="HPE189" s="11"/>
      <c r="HPF189" s="12"/>
      <c r="HPO189" s="11"/>
      <c r="HPP189" s="12"/>
      <c r="HPY189" s="11"/>
      <c r="HPZ189" s="12"/>
      <c r="HQI189" s="11"/>
      <c r="HQJ189" s="12"/>
      <c r="HQS189" s="11"/>
      <c r="HQT189" s="12"/>
      <c r="HRC189" s="11"/>
      <c r="HRD189" s="12"/>
      <c r="HRM189" s="11"/>
      <c r="HRN189" s="12"/>
      <c r="HRW189" s="11"/>
      <c r="HRX189" s="12"/>
      <c r="HSG189" s="11"/>
      <c r="HSH189" s="12"/>
      <c r="HSQ189" s="11"/>
      <c r="HSR189" s="12"/>
      <c r="HTA189" s="11"/>
      <c r="HTB189" s="12"/>
      <c r="HTK189" s="11"/>
      <c r="HTL189" s="12"/>
      <c r="HTU189" s="11"/>
      <c r="HTV189" s="12"/>
      <c r="HUE189" s="11"/>
      <c r="HUF189" s="12"/>
      <c r="HUO189" s="11"/>
      <c r="HUP189" s="12"/>
      <c r="HUY189" s="11"/>
      <c r="HUZ189" s="12"/>
      <c r="HVI189" s="11"/>
      <c r="HVJ189" s="12"/>
      <c r="HVS189" s="11"/>
      <c r="HVT189" s="12"/>
      <c r="HWC189" s="11"/>
      <c r="HWD189" s="12"/>
      <c r="HWM189" s="11"/>
      <c r="HWN189" s="12"/>
      <c r="HWW189" s="11"/>
      <c r="HWX189" s="12"/>
      <c r="HXG189" s="11"/>
      <c r="HXH189" s="12"/>
      <c r="HXQ189" s="11"/>
      <c r="HXR189" s="12"/>
      <c r="HYA189" s="11"/>
      <c r="HYB189" s="12"/>
      <c r="HYK189" s="11"/>
      <c r="HYL189" s="12"/>
      <c r="HYU189" s="11"/>
      <c r="HYV189" s="12"/>
      <c r="HZE189" s="11"/>
      <c r="HZF189" s="12"/>
      <c r="HZO189" s="11"/>
      <c r="HZP189" s="12"/>
      <c r="HZY189" s="11"/>
      <c r="HZZ189" s="12"/>
      <c r="IAI189" s="11"/>
      <c r="IAJ189" s="12"/>
      <c r="IAS189" s="11"/>
      <c r="IAT189" s="12"/>
      <c r="IBC189" s="11"/>
      <c r="IBD189" s="12"/>
      <c r="IBM189" s="11"/>
      <c r="IBN189" s="12"/>
      <c r="IBW189" s="11"/>
      <c r="IBX189" s="12"/>
      <c r="ICG189" s="11"/>
      <c r="ICH189" s="12"/>
      <c r="ICQ189" s="11"/>
      <c r="ICR189" s="12"/>
      <c r="IDA189" s="11"/>
      <c r="IDB189" s="12"/>
      <c r="IDK189" s="11"/>
      <c r="IDL189" s="12"/>
      <c r="IDU189" s="11"/>
      <c r="IDV189" s="12"/>
      <c r="IEE189" s="11"/>
      <c r="IEF189" s="12"/>
      <c r="IEO189" s="11"/>
      <c r="IEP189" s="12"/>
      <c r="IEY189" s="11"/>
      <c r="IEZ189" s="12"/>
      <c r="IFI189" s="11"/>
      <c r="IFJ189" s="12"/>
      <c r="IFS189" s="11"/>
      <c r="IFT189" s="12"/>
      <c r="IGC189" s="11"/>
      <c r="IGD189" s="12"/>
      <c r="IGM189" s="11"/>
      <c r="IGN189" s="12"/>
      <c r="IGW189" s="11"/>
      <c r="IGX189" s="12"/>
      <c r="IHG189" s="11"/>
      <c r="IHH189" s="12"/>
      <c r="IHQ189" s="11"/>
      <c r="IHR189" s="12"/>
      <c r="IIA189" s="11"/>
      <c r="IIB189" s="12"/>
      <c r="IIK189" s="11"/>
      <c r="IIL189" s="12"/>
      <c r="IIU189" s="11"/>
      <c r="IIV189" s="12"/>
      <c r="IJE189" s="11"/>
      <c r="IJF189" s="12"/>
      <c r="IJO189" s="11"/>
      <c r="IJP189" s="12"/>
      <c r="IJY189" s="11"/>
      <c r="IJZ189" s="12"/>
      <c r="IKI189" s="11"/>
      <c r="IKJ189" s="12"/>
      <c r="IKS189" s="11"/>
      <c r="IKT189" s="12"/>
      <c r="ILC189" s="11"/>
      <c r="ILD189" s="12"/>
      <c r="ILM189" s="11"/>
      <c r="ILN189" s="12"/>
      <c r="ILW189" s="11"/>
      <c r="ILX189" s="12"/>
      <c r="IMG189" s="11"/>
      <c r="IMH189" s="12"/>
      <c r="IMQ189" s="11"/>
      <c r="IMR189" s="12"/>
      <c r="INA189" s="11"/>
      <c r="INB189" s="12"/>
      <c r="INK189" s="11"/>
      <c r="INL189" s="12"/>
      <c r="INU189" s="11"/>
      <c r="INV189" s="12"/>
      <c r="IOE189" s="11"/>
      <c r="IOF189" s="12"/>
      <c r="IOO189" s="11"/>
      <c r="IOP189" s="12"/>
      <c r="IOY189" s="11"/>
      <c r="IOZ189" s="12"/>
      <c r="IPI189" s="11"/>
      <c r="IPJ189" s="12"/>
      <c r="IPS189" s="11"/>
      <c r="IPT189" s="12"/>
      <c r="IQC189" s="11"/>
      <c r="IQD189" s="12"/>
      <c r="IQM189" s="11"/>
      <c r="IQN189" s="12"/>
      <c r="IQW189" s="11"/>
      <c r="IQX189" s="12"/>
      <c r="IRG189" s="11"/>
      <c r="IRH189" s="12"/>
      <c r="IRQ189" s="11"/>
      <c r="IRR189" s="12"/>
      <c r="ISA189" s="11"/>
      <c r="ISB189" s="12"/>
      <c r="ISK189" s="11"/>
      <c r="ISL189" s="12"/>
      <c r="ISU189" s="11"/>
      <c r="ISV189" s="12"/>
      <c r="ITE189" s="11"/>
      <c r="ITF189" s="12"/>
      <c r="ITO189" s="11"/>
      <c r="ITP189" s="12"/>
      <c r="ITY189" s="11"/>
      <c r="ITZ189" s="12"/>
      <c r="IUI189" s="11"/>
      <c r="IUJ189" s="12"/>
      <c r="IUS189" s="11"/>
      <c r="IUT189" s="12"/>
      <c r="IVC189" s="11"/>
      <c r="IVD189" s="12"/>
      <c r="IVM189" s="11"/>
      <c r="IVN189" s="12"/>
      <c r="IVW189" s="11"/>
      <c r="IVX189" s="12"/>
      <c r="IWG189" s="11"/>
      <c r="IWH189" s="12"/>
      <c r="IWQ189" s="11"/>
      <c r="IWR189" s="12"/>
      <c r="IXA189" s="11"/>
      <c r="IXB189" s="12"/>
      <c r="IXK189" s="11"/>
      <c r="IXL189" s="12"/>
      <c r="IXU189" s="11"/>
      <c r="IXV189" s="12"/>
      <c r="IYE189" s="11"/>
      <c r="IYF189" s="12"/>
      <c r="IYO189" s="11"/>
      <c r="IYP189" s="12"/>
      <c r="IYY189" s="11"/>
      <c r="IYZ189" s="12"/>
      <c r="IZI189" s="11"/>
      <c r="IZJ189" s="12"/>
      <c r="IZS189" s="11"/>
      <c r="IZT189" s="12"/>
      <c r="JAC189" s="11"/>
      <c r="JAD189" s="12"/>
      <c r="JAM189" s="11"/>
      <c r="JAN189" s="12"/>
      <c r="JAW189" s="11"/>
      <c r="JAX189" s="12"/>
      <c r="JBG189" s="11"/>
      <c r="JBH189" s="12"/>
      <c r="JBQ189" s="11"/>
      <c r="JBR189" s="12"/>
      <c r="JCA189" s="11"/>
      <c r="JCB189" s="12"/>
      <c r="JCK189" s="11"/>
      <c r="JCL189" s="12"/>
      <c r="JCU189" s="11"/>
      <c r="JCV189" s="12"/>
      <c r="JDE189" s="11"/>
      <c r="JDF189" s="12"/>
      <c r="JDO189" s="11"/>
      <c r="JDP189" s="12"/>
      <c r="JDY189" s="11"/>
      <c r="JDZ189" s="12"/>
      <c r="JEI189" s="11"/>
      <c r="JEJ189" s="12"/>
      <c r="JES189" s="11"/>
      <c r="JET189" s="12"/>
      <c r="JFC189" s="11"/>
      <c r="JFD189" s="12"/>
      <c r="JFM189" s="11"/>
      <c r="JFN189" s="12"/>
      <c r="JFW189" s="11"/>
      <c r="JFX189" s="12"/>
      <c r="JGG189" s="11"/>
      <c r="JGH189" s="12"/>
      <c r="JGQ189" s="11"/>
      <c r="JGR189" s="12"/>
      <c r="JHA189" s="11"/>
      <c r="JHB189" s="12"/>
      <c r="JHK189" s="11"/>
      <c r="JHL189" s="12"/>
      <c r="JHU189" s="11"/>
      <c r="JHV189" s="12"/>
      <c r="JIE189" s="11"/>
      <c r="JIF189" s="12"/>
      <c r="JIO189" s="11"/>
      <c r="JIP189" s="12"/>
      <c r="JIY189" s="11"/>
      <c r="JIZ189" s="12"/>
      <c r="JJI189" s="11"/>
      <c r="JJJ189" s="12"/>
      <c r="JJS189" s="11"/>
      <c r="JJT189" s="12"/>
      <c r="JKC189" s="11"/>
      <c r="JKD189" s="12"/>
      <c r="JKM189" s="11"/>
      <c r="JKN189" s="12"/>
      <c r="JKW189" s="11"/>
      <c r="JKX189" s="12"/>
      <c r="JLG189" s="11"/>
      <c r="JLH189" s="12"/>
      <c r="JLQ189" s="11"/>
      <c r="JLR189" s="12"/>
      <c r="JMA189" s="11"/>
      <c r="JMB189" s="12"/>
      <c r="JMK189" s="11"/>
      <c r="JML189" s="12"/>
      <c r="JMU189" s="11"/>
      <c r="JMV189" s="12"/>
      <c r="JNE189" s="11"/>
      <c r="JNF189" s="12"/>
      <c r="JNO189" s="11"/>
      <c r="JNP189" s="12"/>
      <c r="JNY189" s="11"/>
      <c r="JNZ189" s="12"/>
      <c r="JOI189" s="11"/>
      <c r="JOJ189" s="12"/>
      <c r="JOS189" s="11"/>
      <c r="JOT189" s="12"/>
      <c r="JPC189" s="11"/>
      <c r="JPD189" s="12"/>
      <c r="JPM189" s="11"/>
      <c r="JPN189" s="12"/>
      <c r="JPW189" s="11"/>
      <c r="JPX189" s="12"/>
      <c r="JQG189" s="11"/>
      <c r="JQH189" s="12"/>
      <c r="JQQ189" s="11"/>
      <c r="JQR189" s="12"/>
      <c r="JRA189" s="11"/>
      <c r="JRB189" s="12"/>
      <c r="JRK189" s="11"/>
      <c r="JRL189" s="12"/>
      <c r="JRU189" s="11"/>
      <c r="JRV189" s="12"/>
      <c r="JSE189" s="11"/>
      <c r="JSF189" s="12"/>
      <c r="JSO189" s="11"/>
      <c r="JSP189" s="12"/>
      <c r="JSY189" s="11"/>
      <c r="JSZ189" s="12"/>
      <c r="JTI189" s="11"/>
      <c r="JTJ189" s="12"/>
      <c r="JTS189" s="11"/>
      <c r="JTT189" s="12"/>
      <c r="JUC189" s="11"/>
      <c r="JUD189" s="12"/>
      <c r="JUM189" s="11"/>
      <c r="JUN189" s="12"/>
      <c r="JUW189" s="11"/>
      <c r="JUX189" s="12"/>
      <c r="JVG189" s="11"/>
      <c r="JVH189" s="12"/>
      <c r="JVQ189" s="11"/>
      <c r="JVR189" s="12"/>
      <c r="JWA189" s="11"/>
      <c r="JWB189" s="12"/>
      <c r="JWK189" s="11"/>
      <c r="JWL189" s="12"/>
      <c r="JWU189" s="11"/>
      <c r="JWV189" s="12"/>
      <c r="JXE189" s="11"/>
      <c r="JXF189" s="12"/>
      <c r="JXO189" s="11"/>
      <c r="JXP189" s="12"/>
      <c r="JXY189" s="11"/>
      <c r="JXZ189" s="12"/>
      <c r="JYI189" s="11"/>
      <c r="JYJ189" s="12"/>
      <c r="JYS189" s="11"/>
      <c r="JYT189" s="12"/>
      <c r="JZC189" s="11"/>
      <c r="JZD189" s="12"/>
      <c r="JZM189" s="11"/>
      <c r="JZN189" s="12"/>
      <c r="JZW189" s="11"/>
      <c r="JZX189" s="12"/>
      <c r="KAG189" s="11"/>
      <c r="KAH189" s="12"/>
      <c r="KAQ189" s="11"/>
      <c r="KAR189" s="12"/>
      <c r="KBA189" s="11"/>
      <c r="KBB189" s="12"/>
      <c r="KBK189" s="11"/>
      <c r="KBL189" s="12"/>
      <c r="KBU189" s="11"/>
      <c r="KBV189" s="12"/>
      <c r="KCE189" s="11"/>
      <c r="KCF189" s="12"/>
      <c r="KCO189" s="11"/>
      <c r="KCP189" s="12"/>
      <c r="KCY189" s="11"/>
      <c r="KCZ189" s="12"/>
      <c r="KDI189" s="11"/>
      <c r="KDJ189" s="12"/>
      <c r="KDS189" s="11"/>
      <c r="KDT189" s="12"/>
      <c r="KEC189" s="11"/>
      <c r="KED189" s="12"/>
      <c r="KEM189" s="11"/>
      <c r="KEN189" s="12"/>
      <c r="KEW189" s="11"/>
      <c r="KEX189" s="12"/>
      <c r="KFG189" s="11"/>
      <c r="KFH189" s="12"/>
      <c r="KFQ189" s="11"/>
      <c r="KFR189" s="12"/>
      <c r="KGA189" s="11"/>
      <c r="KGB189" s="12"/>
      <c r="KGK189" s="11"/>
      <c r="KGL189" s="12"/>
      <c r="KGU189" s="11"/>
      <c r="KGV189" s="12"/>
      <c r="KHE189" s="11"/>
      <c r="KHF189" s="12"/>
      <c r="KHO189" s="11"/>
      <c r="KHP189" s="12"/>
      <c r="KHY189" s="11"/>
      <c r="KHZ189" s="12"/>
      <c r="KII189" s="11"/>
      <c r="KIJ189" s="12"/>
      <c r="KIS189" s="11"/>
      <c r="KIT189" s="12"/>
      <c r="KJC189" s="11"/>
      <c r="KJD189" s="12"/>
      <c r="KJM189" s="11"/>
      <c r="KJN189" s="12"/>
      <c r="KJW189" s="11"/>
      <c r="KJX189" s="12"/>
      <c r="KKG189" s="11"/>
      <c r="KKH189" s="12"/>
      <c r="KKQ189" s="11"/>
      <c r="KKR189" s="12"/>
      <c r="KLA189" s="11"/>
      <c r="KLB189" s="12"/>
      <c r="KLK189" s="11"/>
      <c r="KLL189" s="12"/>
      <c r="KLU189" s="11"/>
      <c r="KLV189" s="12"/>
      <c r="KME189" s="11"/>
      <c r="KMF189" s="12"/>
      <c r="KMO189" s="11"/>
      <c r="KMP189" s="12"/>
      <c r="KMY189" s="11"/>
      <c r="KMZ189" s="12"/>
      <c r="KNI189" s="11"/>
      <c r="KNJ189" s="12"/>
      <c r="KNS189" s="11"/>
      <c r="KNT189" s="12"/>
      <c r="KOC189" s="11"/>
      <c r="KOD189" s="12"/>
      <c r="KOM189" s="11"/>
      <c r="KON189" s="12"/>
      <c r="KOW189" s="11"/>
      <c r="KOX189" s="12"/>
      <c r="KPG189" s="11"/>
      <c r="KPH189" s="12"/>
      <c r="KPQ189" s="11"/>
      <c r="KPR189" s="12"/>
      <c r="KQA189" s="11"/>
      <c r="KQB189" s="12"/>
      <c r="KQK189" s="11"/>
      <c r="KQL189" s="12"/>
      <c r="KQU189" s="11"/>
      <c r="KQV189" s="12"/>
      <c r="KRE189" s="11"/>
      <c r="KRF189" s="12"/>
      <c r="KRO189" s="11"/>
      <c r="KRP189" s="12"/>
      <c r="KRY189" s="11"/>
      <c r="KRZ189" s="12"/>
      <c r="KSI189" s="11"/>
      <c r="KSJ189" s="12"/>
      <c r="KSS189" s="11"/>
      <c r="KST189" s="12"/>
      <c r="KTC189" s="11"/>
      <c r="KTD189" s="12"/>
      <c r="KTM189" s="11"/>
      <c r="KTN189" s="12"/>
      <c r="KTW189" s="11"/>
      <c r="KTX189" s="12"/>
      <c r="KUG189" s="11"/>
      <c r="KUH189" s="12"/>
      <c r="KUQ189" s="11"/>
      <c r="KUR189" s="12"/>
      <c r="KVA189" s="11"/>
      <c r="KVB189" s="12"/>
      <c r="KVK189" s="11"/>
      <c r="KVL189" s="12"/>
      <c r="KVU189" s="11"/>
      <c r="KVV189" s="12"/>
      <c r="KWE189" s="11"/>
      <c r="KWF189" s="12"/>
      <c r="KWO189" s="11"/>
      <c r="KWP189" s="12"/>
      <c r="KWY189" s="11"/>
      <c r="KWZ189" s="12"/>
      <c r="KXI189" s="11"/>
      <c r="KXJ189" s="12"/>
      <c r="KXS189" s="11"/>
      <c r="KXT189" s="12"/>
      <c r="KYC189" s="11"/>
      <c r="KYD189" s="12"/>
      <c r="KYM189" s="11"/>
      <c r="KYN189" s="12"/>
      <c r="KYW189" s="11"/>
      <c r="KYX189" s="12"/>
      <c r="KZG189" s="11"/>
      <c r="KZH189" s="12"/>
      <c r="KZQ189" s="11"/>
      <c r="KZR189" s="12"/>
      <c r="LAA189" s="11"/>
      <c r="LAB189" s="12"/>
      <c r="LAK189" s="11"/>
      <c r="LAL189" s="12"/>
      <c r="LAU189" s="11"/>
      <c r="LAV189" s="12"/>
      <c r="LBE189" s="11"/>
      <c r="LBF189" s="12"/>
      <c r="LBO189" s="11"/>
      <c r="LBP189" s="12"/>
      <c r="LBY189" s="11"/>
      <c r="LBZ189" s="12"/>
      <c r="LCI189" s="11"/>
      <c r="LCJ189" s="12"/>
      <c r="LCS189" s="11"/>
      <c r="LCT189" s="12"/>
      <c r="LDC189" s="11"/>
      <c r="LDD189" s="12"/>
      <c r="LDM189" s="11"/>
      <c r="LDN189" s="12"/>
      <c r="LDW189" s="11"/>
      <c r="LDX189" s="12"/>
      <c r="LEG189" s="11"/>
      <c r="LEH189" s="12"/>
      <c r="LEQ189" s="11"/>
      <c r="LER189" s="12"/>
      <c r="LFA189" s="11"/>
      <c r="LFB189" s="12"/>
      <c r="LFK189" s="11"/>
      <c r="LFL189" s="12"/>
      <c r="LFU189" s="11"/>
      <c r="LFV189" s="12"/>
      <c r="LGE189" s="11"/>
      <c r="LGF189" s="12"/>
      <c r="LGO189" s="11"/>
      <c r="LGP189" s="12"/>
      <c r="LGY189" s="11"/>
      <c r="LGZ189" s="12"/>
      <c r="LHI189" s="11"/>
      <c r="LHJ189" s="12"/>
      <c r="LHS189" s="11"/>
      <c r="LHT189" s="12"/>
      <c r="LIC189" s="11"/>
      <c r="LID189" s="12"/>
      <c r="LIM189" s="11"/>
      <c r="LIN189" s="12"/>
      <c r="LIW189" s="11"/>
      <c r="LIX189" s="12"/>
      <c r="LJG189" s="11"/>
      <c r="LJH189" s="12"/>
      <c r="LJQ189" s="11"/>
      <c r="LJR189" s="12"/>
      <c r="LKA189" s="11"/>
      <c r="LKB189" s="12"/>
      <c r="LKK189" s="11"/>
      <c r="LKL189" s="12"/>
      <c r="LKU189" s="11"/>
      <c r="LKV189" s="12"/>
      <c r="LLE189" s="11"/>
      <c r="LLF189" s="12"/>
      <c r="LLO189" s="11"/>
      <c r="LLP189" s="12"/>
      <c r="LLY189" s="11"/>
      <c r="LLZ189" s="12"/>
      <c r="LMI189" s="11"/>
      <c r="LMJ189" s="12"/>
      <c r="LMS189" s="11"/>
      <c r="LMT189" s="12"/>
      <c r="LNC189" s="11"/>
      <c r="LND189" s="12"/>
      <c r="LNM189" s="11"/>
      <c r="LNN189" s="12"/>
      <c r="LNW189" s="11"/>
      <c r="LNX189" s="12"/>
      <c r="LOG189" s="11"/>
      <c r="LOH189" s="12"/>
      <c r="LOQ189" s="11"/>
      <c r="LOR189" s="12"/>
      <c r="LPA189" s="11"/>
      <c r="LPB189" s="12"/>
      <c r="LPK189" s="11"/>
      <c r="LPL189" s="12"/>
      <c r="LPU189" s="11"/>
      <c r="LPV189" s="12"/>
      <c r="LQE189" s="11"/>
      <c r="LQF189" s="12"/>
      <c r="LQO189" s="11"/>
      <c r="LQP189" s="12"/>
      <c r="LQY189" s="11"/>
      <c r="LQZ189" s="12"/>
      <c r="LRI189" s="11"/>
      <c r="LRJ189" s="12"/>
      <c r="LRS189" s="11"/>
      <c r="LRT189" s="12"/>
      <c r="LSC189" s="11"/>
      <c r="LSD189" s="12"/>
      <c r="LSM189" s="11"/>
      <c r="LSN189" s="12"/>
      <c r="LSW189" s="11"/>
      <c r="LSX189" s="12"/>
      <c r="LTG189" s="11"/>
      <c r="LTH189" s="12"/>
      <c r="LTQ189" s="11"/>
      <c r="LTR189" s="12"/>
      <c r="LUA189" s="11"/>
      <c r="LUB189" s="12"/>
      <c r="LUK189" s="11"/>
      <c r="LUL189" s="12"/>
      <c r="LUU189" s="11"/>
      <c r="LUV189" s="12"/>
      <c r="LVE189" s="11"/>
      <c r="LVF189" s="12"/>
      <c r="LVO189" s="11"/>
      <c r="LVP189" s="12"/>
      <c r="LVY189" s="11"/>
      <c r="LVZ189" s="12"/>
      <c r="LWI189" s="11"/>
      <c r="LWJ189" s="12"/>
      <c r="LWS189" s="11"/>
      <c r="LWT189" s="12"/>
      <c r="LXC189" s="11"/>
      <c r="LXD189" s="12"/>
      <c r="LXM189" s="11"/>
      <c r="LXN189" s="12"/>
      <c r="LXW189" s="11"/>
      <c r="LXX189" s="12"/>
      <c r="LYG189" s="11"/>
      <c r="LYH189" s="12"/>
      <c r="LYQ189" s="11"/>
      <c r="LYR189" s="12"/>
      <c r="LZA189" s="11"/>
      <c r="LZB189" s="12"/>
      <c r="LZK189" s="11"/>
      <c r="LZL189" s="12"/>
      <c r="LZU189" s="11"/>
      <c r="LZV189" s="12"/>
      <c r="MAE189" s="11"/>
      <c r="MAF189" s="12"/>
      <c r="MAO189" s="11"/>
      <c r="MAP189" s="12"/>
      <c r="MAY189" s="11"/>
      <c r="MAZ189" s="12"/>
      <c r="MBI189" s="11"/>
      <c r="MBJ189" s="12"/>
      <c r="MBS189" s="11"/>
      <c r="MBT189" s="12"/>
      <c r="MCC189" s="11"/>
      <c r="MCD189" s="12"/>
      <c r="MCM189" s="11"/>
      <c r="MCN189" s="12"/>
      <c r="MCW189" s="11"/>
      <c r="MCX189" s="12"/>
      <c r="MDG189" s="11"/>
      <c r="MDH189" s="12"/>
      <c r="MDQ189" s="11"/>
      <c r="MDR189" s="12"/>
      <c r="MEA189" s="11"/>
      <c r="MEB189" s="12"/>
      <c r="MEK189" s="11"/>
      <c r="MEL189" s="12"/>
      <c r="MEU189" s="11"/>
      <c r="MEV189" s="12"/>
      <c r="MFE189" s="11"/>
      <c r="MFF189" s="12"/>
      <c r="MFO189" s="11"/>
      <c r="MFP189" s="12"/>
      <c r="MFY189" s="11"/>
      <c r="MFZ189" s="12"/>
      <c r="MGI189" s="11"/>
      <c r="MGJ189" s="12"/>
      <c r="MGS189" s="11"/>
      <c r="MGT189" s="12"/>
      <c r="MHC189" s="11"/>
      <c r="MHD189" s="12"/>
      <c r="MHM189" s="11"/>
      <c r="MHN189" s="12"/>
      <c r="MHW189" s="11"/>
      <c r="MHX189" s="12"/>
      <c r="MIG189" s="11"/>
      <c r="MIH189" s="12"/>
      <c r="MIQ189" s="11"/>
      <c r="MIR189" s="12"/>
      <c r="MJA189" s="11"/>
      <c r="MJB189" s="12"/>
      <c r="MJK189" s="11"/>
      <c r="MJL189" s="12"/>
      <c r="MJU189" s="11"/>
      <c r="MJV189" s="12"/>
      <c r="MKE189" s="11"/>
      <c r="MKF189" s="12"/>
      <c r="MKO189" s="11"/>
      <c r="MKP189" s="12"/>
      <c r="MKY189" s="11"/>
      <c r="MKZ189" s="12"/>
      <c r="MLI189" s="11"/>
      <c r="MLJ189" s="12"/>
      <c r="MLS189" s="11"/>
      <c r="MLT189" s="12"/>
      <c r="MMC189" s="11"/>
      <c r="MMD189" s="12"/>
      <c r="MMM189" s="11"/>
      <c r="MMN189" s="12"/>
      <c r="MMW189" s="11"/>
      <c r="MMX189" s="12"/>
      <c r="MNG189" s="11"/>
      <c r="MNH189" s="12"/>
      <c r="MNQ189" s="11"/>
      <c r="MNR189" s="12"/>
      <c r="MOA189" s="11"/>
      <c r="MOB189" s="12"/>
      <c r="MOK189" s="11"/>
      <c r="MOL189" s="12"/>
      <c r="MOU189" s="11"/>
      <c r="MOV189" s="12"/>
      <c r="MPE189" s="11"/>
      <c r="MPF189" s="12"/>
      <c r="MPO189" s="11"/>
      <c r="MPP189" s="12"/>
      <c r="MPY189" s="11"/>
      <c r="MPZ189" s="12"/>
      <c r="MQI189" s="11"/>
      <c r="MQJ189" s="12"/>
      <c r="MQS189" s="11"/>
      <c r="MQT189" s="12"/>
      <c r="MRC189" s="11"/>
      <c r="MRD189" s="12"/>
      <c r="MRM189" s="11"/>
      <c r="MRN189" s="12"/>
      <c r="MRW189" s="11"/>
      <c r="MRX189" s="12"/>
      <c r="MSG189" s="11"/>
      <c r="MSH189" s="12"/>
      <c r="MSQ189" s="11"/>
      <c r="MSR189" s="12"/>
      <c r="MTA189" s="11"/>
      <c r="MTB189" s="12"/>
      <c r="MTK189" s="11"/>
      <c r="MTL189" s="12"/>
      <c r="MTU189" s="11"/>
      <c r="MTV189" s="12"/>
      <c r="MUE189" s="11"/>
      <c r="MUF189" s="12"/>
      <c r="MUO189" s="11"/>
      <c r="MUP189" s="12"/>
      <c r="MUY189" s="11"/>
      <c r="MUZ189" s="12"/>
      <c r="MVI189" s="11"/>
      <c r="MVJ189" s="12"/>
      <c r="MVS189" s="11"/>
      <c r="MVT189" s="12"/>
      <c r="MWC189" s="11"/>
      <c r="MWD189" s="12"/>
      <c r="MWM189" s="11"/>
      <c r="MWN189" s="12"/>
      <c r="MWW189" s="11"/>
      <c r="MWX189" s="12"/>
      <c r="MXG189" s="11"/>
      <c r="MXH189" s="12"/>
      <c r="MXQ189" s="11"/>
      <c r="MXR189" s="12"/>
      <c r="MYA189" s="11"/>
      <c r="MYB189" s="12"/>
      <c r="MYK189" s="11"/>
      <c r="MYL189" s="12"/>
      <c r="MYU189" s="11"/>
      <c r="MYV189" s="12"/>
      <c r="MZE189" s="11"/>
      <c r="MZF189" s="12"/>
      <c r="MZO189" s="11"/>
      <c r="MZP189" s="12"/>
      <c r="MZY189" s="11"/>
      <c r="MZZ189" s="12"/>
      <c r="NAI189" s="11"/>
      <c r="NAJ189" s="12"/>
      <c r="NAS189" s="11"/>
      <c r="NAT189" s="12"/>
      <c r="NBC189" s="11"/>
      <c r="NBD189" s="12"/>
      <c r="NBM189" s="11"/>
      <c r="NBN189" s="12"/>
      <c r="NBW189" s="11"/>
      <c r="NBX189" s="12"/>
      <c r="NCG189" s="11"/>
      <c r="NCH189" s="12"/>
      <c r="NCQ189" s="11"/>
      <c r="NCR189" s="12"/>
      <c r="NDA189" s="11"/>
      <c r="NDB189" s="12"/>
      <c r="NDK189" s="11"/>
      <c r="NDL189" s="12"/>
      <c r="NDU189" s="11"/>
      <c r="NDV189" s="12"/>
      <c r="NEE189" s="11"/>
      <c r="NEF189" s="12"/>
      <c r="NEO189" s="11"/>
      <c r="NEP189" s="12"/>
      <c r="NEY189" s="11"/>
      <c r="NEZ189" s="12"/>
      <c r="NFI189" s="11"/>
      <c r="NFJ189" s="12"/>
      <c r="NFS189" s="11"/>
      <c r="NFT189" s="12"/>
      <c r="NGC189" s="11"/>
      <c r="NGD189" s="12"/>
      <c r="NGM189" s="11"/>
      <c r="NGN189" s="12"/>
      <c r="NGW189" s="11"/>
      <c r="NGX189" s="12"/>
      <c r="NHG189" s="11"/>
      <c r="NHH189" s="12"/>
      <c r="NHQ189" s="11"/>
      <c r="NHR189" s="12"/>
      <c r="NIA189" s="11"/>
      <c r="NIB189" s="12"/>
      <c r="NIK189" s="11"/>
      <c r="NIL189" s="12"/>
      <c r="NIU189" s="11"/>
      <c r="NIV189" s="12"/>
      <c r="NJE189" s="11"/>
      <c r="NJF189" s="12"/>
      <c r="NJO189" s="11"/>
      <c r="NJP189" s="12"/>
      <c r="NJY189" s="11"/>
      <c r="NJZ189" s="12"/>
      <c r="NKI189" s="11"/>
      <c r="NKJ189" s="12"/>
      <c r="NKS189" s="11"/>
      <c r="NKT189" s="12"/>
      <c r="NLC189" s="11"/>
      <c r="NLD189" s="12"/>
      <c r="NLM189" s="11"/>
      <c r="NLN189" s="12"/>
      <c r="NLW189" s="11"/>
      <c r="NLX189" s="12"/>
      <c r="NMG189" s="11"/>
      <c r="NMH189" s="12"/>
      <c r="NMQ189" s="11"/>
      <c r="NMR189" s="12"/>
      <c r="NNA189" s="11"/>
      <c r="NNB189" s="12"/>
      <c r="NNK189" s="11"/>
      <c r="NNL189" s="12"/>
      <c r="NNU189" s="11"/>
      <c r="NNV189" s="12"/>
      <c r="NOE189" s="11"/>
      <c r="NOF189" s="12"/>
      <c r="NOO189" s="11"/>
      <c r="NOP189" s="12"/>
      <c r="NOY189" s="11"/>
      <c r="NOZ189" s="12"/>
      <c r="NPI189" s="11"/>
      <c r="NPJ189" s="12"/>
      <c r="NPS189" s="11"/>
      <c r="NPT189" s="12"/>
      <c r="NQC189" s="11"/>
      <c r="NQD189" s="12"/>
      <c r="NQM189" s="11"/>
      <c r="NQN189" s="12"/>
      <c r="NQW189" s="11"/>
      <c r="NQX189" s="12"/>
      <c r="NRG189" s="11"/>
      <c r="NRH189" s="12"/>
      <c r="NRQ189" s="11"/>
      <c r="NRR189" s="12"/>
      <c r="NSA189" s="11"/>
      <c r="NSB189" s="12"/>
      <c r="NSK189" s="11"/>
      <c r="NSL189" s="12"/>
      <c r="NSU189" s="11"/>
      <c r="NSV189" s="12"/>
      <c r="NTE189" s="11"/>
      <c r="NTF189" s="12"/>
      <c r="NTO189" s="11"/>
      <c r="NTP189" s="12"/>
      <c r="NTY189" s="11"/>
      <c r="NTZ189" s="12"/>
      <c r="NUI189" s="11"/>
      <c r="NUJ189" s="12"/>
      <c r="NUS189" s="11"/>
      <c r="NUT189" s="12"/>
      <c r="NVC189" s="11"/>
      <c r="NVD189" s="12"/>
      <c r="NVM189" s="11"/>
      <c r="NVN189" s="12"/>
      <c r="NVW189" s="11"/>
      <c r="NVX189" s="12"/>
      <c r="NWG189" s="11"/>
      <c r="NWH189" s="12"/>
      <c r="NWQ189" s="11"/>
      <c r="NWR189" s="12"/>
      <c r="NXA189" s="11"/>
      <c r="NXB189" s="12"/>
      <c r="NXK189" s="11"/>
      <c r="NXL189" s="12"/>
      <c r="NXU189" s="11"/>
      <c r="NXV189" s="12"/>
      <c r="NYE189" s="11"/>
      <c r="NYF189" s="12"/>
      <c r="NYO189" s="11"/>
      <c r="NYP189" s="12"/>
      <c r="NYY189" s="11"/>
      <c r="NYZ189" s="12"/>
      <c r="NZI189" s="11"/>
      <c r="NZJ189" s="12"/>
      <c r="NZS189" s="11"/>
      <c r="NZT189" s="12"/>
      <c r="OAC189" s="11"/>
      <c r="OAD189" s="12"/>
      <c r="OAM189" s="11"/>
      <c r="OAN189" s="12"/>
      <c r="OAW189" s="11"/>
      <c r="OAX189" s="12"/>
      <c r="OBG189" s="11"/>
      <c r="OBH189" s="12"/>
      <c r="OBQ189" s="11"/>
      <c r="OBR189" s="12"/>
      <c r="OCA189" s="11"/>
      <c r="OCB189" s="12"/>
      <c r="OCK189" s="11"/>
      <c r="OCL189" s="12"/>
      <c r="OCU189" s="11"/>
      <c r="OCV189" s="12"/>
      <c r="ODE189" s="11"/>
      <c r="ODF189" s="12"/>
      <c r="ODO189" s="11"/>
      <c r="ODP189" s="12"/>
      <c r="ODY189" s="11"/>
      <c r="ODZ189" s="12"/>
      <c r="OEI189" s="11"/>
      <c r="OEJ189" s="12"/>
      <c r="OES189" s="11"/>
      <c r="OET189" s="12"/>
      <c r="OFC189" s="11"/>
      <c r="OFD189" s="12"/>
      <c r="OFM189" s="11"/>
      <c r="OFN189" s="12"/>
      <c r="OFW189" s="11"/>
      <c r="OFX189" s="12"/>
      <c r="OGG189" s="11"/>
      <c r="OGH189" s="12"/>
      <c r="OGQ189" s="11"/>
      <c r="OGR189" s="12"/>
      <c r="OHA189" s="11"/>
      <c r="OHB189" s="12"/>
      <c r="OHK189" s="11"/>
      <c r="OHL189" s="12"/>
      <c r="OHU189" s="11"/>
      <c r="OHV189" s="12"/>
      <c r="OIE189" s="11"/>
      <c r="OIF189" s="12"/>
      <c r="OIO189" s="11"/>
      <c r="OIP189" s="12"/>
      <c r="OIY189" s="11"/>
      <c r="OIZ189" s="12"/>
      <c r="OJI189" s="11"/>
      <c r="OJJ189" s="12"/>
      <c r="OJS189" s="11"/>
      <c r="OJT189" s="12"/>
      <c r="OKC189" s="11"/>
      <c r="OKD189" s="12"/>
      <c r="OKM189" s="11"/>
      <c r="OKN189" s="12"/>
      <c r="OKW189" s="11"/>
      <c r="OKX189" s="12"/>
      <c r="OLG189" s="11"/>
      <c r="OLH189" s="12"/>
      <c r="OLQ189" s="11"/>
      <c r="OLR189" s="12"/>
      <c r="OMA189" s="11"/>
      <c r="OMB189" s="12"/>
      <c r="OMK189" s="11"/>
      <c r="OML189" s="12"/>
      <c r="OMU189" s="11"/>
      <c r="OMV189" s="12"/>
      <c r="ONE189" s="11"/>
      <c r="ONF189" s="12"/>
      <c r="ONO189" s="11"/>
      <c r="ONP189" s="12"/>
      <c r="ONY189" s="11"/>
      <c r="ONZ189" s="12"/>
      <c r="OOI189" s="11"/>
      <c r="OOJ189" s="12"/>
      <c r="OOS189" s="11"/>
      <c r="OOT189" s="12"/>
      <c r="OPC189" s="11"/>
      <c r="OPD189" s="12"/>
      <c r="OPM189" s="11"/>
      <c r="OPN189" s="12"/>
      <c r="OPW189" s="11"/>
      <c r="OPX189" s="12"/>
      <c r="OQG189" s="11"/>
      <c r="OQH189" s="12"/>
      <c r="OQQ189" s="11"/>
      <c r="OQR189" s="12"/>
      <c r="ORA189" s="11"/>
      <c r="ORB189" s="12"/>
      <c r="ORK189" s="11"/>
      <c r="ORL189" s="12"/>
      <c r="ORU189" s="11"/>
      <c r="ORV189" s="12"/>
      <c r="OSE189" s="11"/>
      <c r="OSF189" s="12"/>
      <c r="OSO189" s="11"/>
      <c r="OSP189" s="12"/>
      <c r="OSY189" s="11"/>
      <c r="OSZ189" s="12"/>
      <c r="OTI189" s="11"/>
      <c r="OTJ189" s="12"/>
      <c r="OTS189" s="11"/>
      <c r="OTT189" s="12"/>
      <c r="OUC189" s="11"/>
      <c r="OUD189" s="12"/>
      <c r="OUM189" s="11"/>
      <c r="OUN189" s="12"/>
      <c r="OUW189" s="11"/>
      <c r="OUX189" s="12"/>
      <c r="OVG189" s="11"/>
      <c r="OVH189" s="12"/>
      <c r="OVQ189" s="11"/>
      <c r="OVR189" s="12"/>
      <c r="OWA189" s="11"/>
      <c r="OWB189" s="12"/>
      <c r="OWK189" s="11"/>
      <c r="OWL189" s="12"/>
      <c r="OWU189" s="11"/>
      <c r="OWV189" s="12"/>
      <c r="OXE189" s="11"/>
      <c r="OXF189" s="12"/>
      <c r="OXO189" s="11"/>
      <c r="OXP189" s="12"/>
      <c r="OXY189" s="11"/>
      <c r="OXZ189" s="12"/>
      <c r="OYI189" s="11"/>
      <c r="OYJ189" s="12"/>
      <c r="OYS189" s="11"/>
      <c r="OYT189" s="12"/>
      <c r="OZC189" s="11"/>
      <c r="OZD189" s="12"/>
      <c r="OZM189" s="11"/>
      <c r="OZN189" s="12"/>
      <c r="OZW189" s="11"/>
      <c r="OZX189" s="12"/>
      <c r="PAG189" s="11"/>
      <c r="PAH189" s="12"/>
      <c r="PAQ189" s="11"/>
      <c r="PAR189" s="12"/>
      <c r="PBA189" s="11"/>
      <c r="PBB189" s="12"/>
      <c r="PBK189" s="11"/>
      <c r="PBL189" s="12"/>
      <c r="PBU189" s="11"/>
      <c r="PBV189" s="12"/>
      <c r="PCE189" s="11"/>
      <c r="PCF189" s="12"/>
      <c r="PCO189" s="11"/>
      <c r="PCP189" s="12"/>
      <c r="PCY189" s="11"/>
      <c r="PCZ189" s="12"/>
      <c r="PDI189" s="11"/>
      <c r="PDJ189" s="12"/>
      <c r="PDS189" s="11"/>
      <c r="PDT189" s="12"/>
      <c r="PEC189" s="11"/>
      <c r="PED189" s="12"/>
      <c r="PEM189" s="11"/>
      <c r="PEN189" s="12"/>
      <c r="PEW189" s="11"/>
      <c r="PEX189" s="12"/>
      <c r="PFG189" s="11"/>
      <c r="PFH189" s="12"/>
      <c r="PFQ189" s="11"/>
      <c r="PFR189" s="12"/>
      <c r="PGA189" s="11"/>
      <c r="PGB189" s="12"/>
      <c r="PGK189" s="11"/>
      <c r="PGL189" s="12"/>
      <c r="PGU189" s="11"/>
      <c r="PGV189" s="12"/>
      <c r="PHE189" s="11"/>
      <c r="PHF189" s="12"/>
      <c r="PHO189" s="11"/>
      <c r="PHP189" s="12"/>
      <c r="PHY189" s="11"/>
      <c r="PHZ189" s="12"/>
      <c r="PII189" s="11"/>
      <c r="PIJ189" s="12"/>
      <c r="PIS189" s="11"/>
      <c r="PIT189" s="12"/>
      <c r="PJC189" s="11"/>
      <c r="PJD189" s="12"/>
      <c r="PJM189" s="11"/>
      <c r="PJN189" s="12"/>
      <c r="PJW189" s="11"/>
      <c r="PJX189" s="12"/>
      <c r="PKG189" s="11"/>
      <c r="PKH189" s="12"/>
      <c r="PKQ189" s="11"/>
      <c r="PKR189" s="12"/>
      <c r="PLA189" s="11"/>
      <c r="PLB189" s="12"/>
      <c r="PLK189" s="11"/>
      <c r="PLL189" s="12"/>
      <c r="PLU189" s="11"/>
      <c r="PLV189" s="12"/>
      <c r="PME189" s="11"/>
      <c r="PMF189" s="12"/>
      <c r="PMO189" s="11"/>
      <c r="PMP189" s="12"/>
      <c r="PMY189" s="11"/>
      <c r="PMZ189" s="12"/>
      <c r="PNI189" s="11"/>
      <c r="PNJ189" s="12"/>
      <c r="PNS189" s="11"/>
      <c r="PNT189" s="12"/>
      <c r="POC189" s="11"/>
      <c r="POD189" s="12"/>
      <c r="POM189" s="11"/>
      <c r="PON189" s="12"/>
      <c r="POW189" s="11"/>
      <c r="POX189" s="12"/>
      <c r="PPG189" s="11"/>
      <c r="PPH189" s="12"/>
      <c r="PPQ189" s="11"/>
      <c r="PPR189" s="12"/>
      <c r="PQA189" s="11"/>
      <c r="PQB189" s="12"/>
      <c r="PQK189" s="11"/>
      <c r="PQL189" s="12"/>
      <c r="PQU189" s="11"/>
      <c r="PQV189" s="12"/>
      <c r="PRE189" s="11"/>
      <c r="PRF189" s="12"/>
      <c r="PRO189" s="11"/>
      <c r="PRP189" s="12"/>
      <c r="PRY189" s="11"/>
      <c r="PRZ189" s="12"/>
      <c r="PSI189" s="11"/>
      <c r="PSJ189" s="12"/>
      <c r="PSS189" s="11"/>
      <c r="PST189" s="12"/>
      <c r="PTC189" s="11"/>
      <c r="PTD189" s="12"/>
      <c r="PTM189" s="11"/>
      <c r="PTN189" s="12"/>
      <c r="PTW189" s="11"/>
      <c r="PTX189" s="12"/>
      <c r="PUG189" s="11"/>
      <c r="PUH189" s="12"/>
      <c r="PUQ189" s="11"/>
      <c r="PUR189" s="12"/>
      <c r="PVA189" s="11"/>
      <c r="PVB189" s="12"/>
      <c r="PVK189" s="11"/>
      <c r="PVL189" s="12"/>
      <c r="PVU189" s="11"/>
      <c r="PVV189" s="12"/>
      <c r="PWE189" s="11"/>
      <c r="PWF189" s="12"/>
      <c r="PWO189" s="11"/>
      <c r="PWP189" s="12"/>
      <c r="PWY189" s="11"/>
      <c r="PWZ189" s="12"/>
      <c r="PXI189" s="11"/>
      <c r="PXJ189" s="12"/>
      <c r="PXS189" s="11"/>
      <c r="PXT189" s="12"/>
      <c r="PYC189" s="11"/>
      <c r="PYD189" s="12"/>
      <c r="PYM189" s="11"/>
      <c r="PYN189" s="12"/>
      <c r="PYW189" s="11"/>
      <c r="PYX189" s="12"/>
      <c r="PZG189" s="11"/>
      <c r="PZH189" s="12"/>
      <c r="PZQ189" s="11"/>
      <c r="PZR189" s="12"/>
      <c r="QAA189" s="11"/>
      <c r="QAB189" s="12"/>
      <c r="QAK189" s="11"/>
      <c r="QAL189" s="12"/>
      <c r="QAU189" s="11"/>
      <c r="QAV189" s="12"/>
      <c r="QBE189" s="11"/>
      <c r="QBF189" s="12"/>
      <c r="QBO189" s="11"/>
      <c r="QBP189" s="12"/>
      <c r="QBY189" s="11"/>
      <c r="QBZ189" s="12"/>
      <c r="QCI189" s="11"/>
      <c r="QCJ189" s="12"/>
      <c r="QCS189" s="11"/>
      <c r="QCT189" s="12"/>
      <c r="QDC189" s="11"/>
      <c r="QDD189" s="12"/>
      <c r="QDM189" s="11"/>
      <c r="QDN189" s="12"/>
      <c r="QDW189" s="11"/>
      <c r="QDX189" s="12"/>
      <c r="QEG189" s="11"/>
      <c r="QEH189" s="12"/>
      <c r="QEQ189" s="11"/>
      <c r="QER189" s="12"/>
      <c r="QFA189" s="11"/>
      <c r="QFB189" s="12"/>
      <c r="QFK189" s="11"/>
      <c r="QFL189" s="12"/>
      <c r="QFU189" s="11"/>
      <c r="QFV189" s="12"/>
      <c r="QGE189" s="11"/>
      <c r="QGF189" s="12"/>
      <c r="QGO189" s="11"/>
      <c r="QGP189" s="12"/>
      <c r="QGY189" s="11"/>
      <c r="QGZ189" s="12"/>
      <c r="QHI189" s="11"/>
      <c r="QHJ189" s="12"/>
      <c r="QHS189" s="11"/>
      <c r="QHT189" s="12"/>
      <c r="QIC189" s="11"/>
      <c r="QID189" s="12"/>
      <c r="QIM189" s="11"/>
      <c r="QIN189" s="12"/>
      <c r="QIW189" s="11"/>
      <c r="QIX189" s="12"/>
      <c r="QJG189" s="11"/>
      <c r="QJH189" s="12"/>
      <c r="QJQ189" s="11"/>
      <c r="QJR189" s="12"/>
      <c r="QKA189" s="11"/>
      <c r="QKB189" s="12"/>
      <c r="QKK189" s="11"/>
      <c r="QKL189" s="12"/>
      <c r="QKU189" s="11"/>
      <c r="QKV189" s="12"/>
      <c r="QLE189" s="11"/>
      <c r="QLF189" s="12"/>
      <c r="QLO189" s="11"/>
      <c r="QLP189" s="12"/>
      <c r="QLY189" s="11"/>
      <c r="QLZ189" s="12"/>
      <c r="QMI189" s="11"/>
      <c r="QMJ189" s="12"/>
      <c r="QMS189" s="11"/>
      <c r="QMT189" s="12"/>
      <c r="QNC189" s="11"/>
      <c r="QND189" s="12"/>
      <c r="QNM189" s="11"/>
      <c r="QNN189" s="12"/>
      <c r="QNW189" s="11"/>
      <c r="QNX189" s="12"/>
      <c r="QOG189" s="11"/>
      <c r="QOH189" s="12"/>
      <c r="QOQ189" s="11"/>
      <c r="QOR189" s="12"/>
      <c r="QPA189" s="11"/>
      <c r="QPB189" s="12"/>
      <c r="QPK189" s="11"/>
      <c r="QPL189" s="12"/>
      <c r="QPU189" s="11"/>
      <c r="QPV189" s="12"/>
      <c r="QQE189" s="11"/>
      <c r="QQF189" s="12"/>
      <c r="QQO189" s="11"/>
      <c r="QQP189" s="12"/>
      <c r="QQY189" s="11"/>
      <c r="QQZ189" s="12"/>
      <c r="QRI189" s="11"/>
      <c r="QRJ189" s="12"/>
      <c r="QRS189" s="11"/>
      <c r="QRT189" s="12"/>
      <c r="QSC189" s="11"/>
      <c r="QSD189" s="12"/>
      <c r="QSM189" s="11"/>
      <c r="QSN189" s="12"/>
      <c r="QSW189" s="11"/>
      <c r="QSX189" s="12"/>
      <c r="QTG189" s="11"/>
      <c r="QTH189" s="12"/>
      <c r="QTQ189" s="11"/>
      <c r="QTR189" s="12"/>
      <c r="QUA189" s="11"/>
      <c r="QUB189" s="12"/>
      <c r="QUK189" s="11"/>
      <c r="QUL189" s="12"/>
      <c r="QUU189" s="11"/>
      <c r="QUV189" s="12"/>
      <c r="QVE189" s="11"/>
      <c r="QVF189" s="12"/>
      <c r="QVO189" s="11"/>
      <c r="QVP189" s="12"/>
      <c r="QVY189" s="11"/>
      <c r="QVZ189" s="12"/>
      <c r="QWI189" s="11"/>
      <c r="QWJ189" s="12"/>
      <c r="QWS189" s="11"/>
      <c r="QWT189" s="12"/>
      <c r="QXC189" s="11"/>
      <c r="QXD189" s="12"/>
      <c r="QXM189" s="11"/>
      <c r="QXN189" s="12"/>
      <c r="QXW189" s="11"/>
      <c r="QXX189" s="12"/>
      <c r="QYG189" s="11"/>
      <c r="QYH189" s="12"/>
      <c r="QYQ189" s="11"/>
      <c r="QYR189" s="12"/>
      <c r="QZA189" s="11"/>
      <c r="QZB189" s="12"/>
      <c r="QZK189" s="11"/>
      <c r="QZL189" s="12"/>
      <c r="QZU189" s="11"/>
      <c r="QZV189" s="12"/>
      <c r="RAE189" s="11"/>
      <c r="RAF189" s="12"/>
      <c r="RAO189" s="11"/>
      <c r="RAP189" s="12"/>
      <c r="RAY189" s="11"/>
      <c r="RAZ189" s="12"/>
      <c r="RBI189" s="11"/>
      <c r="RBJ189" s="12"/>
      <c r="RBS189" s="11"/>
      <c r="RBT189" s="12"/>
      <c r="RCC189" s="11"/>
      <c r="RCD189" s="12"/>
      <c r="RCM189" s="11"/>
      <c r="RCN189" s="12"/>
      <c r="RCW189" s="11"/>
      <c r="RCX189" s="12"/>
      <c r="RDG189" s="11"/>
      <c r="RDH189" s="12"/>
      <c r="RDQ189" s="11"/>
      <c r="RDR189" s="12"/>
      <c r="REA189" s="11"/>
      <c r="REB189" s="12"/>
      <c r="REK189" s="11"/>
      <c r="REL189" s="12"/>
      <c r="REU189" s="11"/>
      <c r="REV189" s="12"/>
      <c r="RFE189" s="11"/>
      <c r="RFF189" s="12"/>
      <c r="RFO189" s="11"/>
      <c r="RFP189" s="12"/>
      <c r="RFY189" s="11"/>
      <c r="RFZ189" s="12"/>
      <c r="RGI189" s="11"/>
      <c r="RGJ189" s="12"/>
      <c r="RGS189" s="11"/>
      <c r="RGT189" s="12"/>
      <c r="RHC189" s="11"/>
      <c r="RHD189" s="12"/>
      <c r="RHM189" s="11"/>
      <c r="RHN189" s="12"/>
      <c r="RHW189" s="11"/>
      <c r="RHX189" s="12"/>
      <c r="RIG189" s="11"/>
      <c r="RIH189" s="12"/>
      <c r="RIQ189" s="11"/>
      <c r="RIR189" s="12"/>
      <c r="RJA189" s="11"/>
      <c r="RJB189" s="12"/>
      <c r="RJK189" s="11"/>
      <c r="RJL189" s="12"/>
      <c r="RJU189" s="11"/>
      <c r="RJV189" s="12"/>
      <c r="RKE189" s="11"/>
      <c r="RKF189" s="12"/>
      <c r="RKO189" s="11"/>
      <c r="RKP189" s="12"/>
      <c r="RKY189" s="11"/>
      <c r="RKZ189" s="12"/>
      <c r="RLI189" s="11"/>
      <c r="RLJ189" s="12"/>
      <c r="RLS189" s="11"/>
      <c r="RLT189" s="12"/>
      <c r="RMC189" s="11"/>
      <c r="RMD189" s="12"/>
      <c r="RMM189" s="11"/>
      <c r="RMN189" s="12"/>
      <c r="RMW189" s="11"/>
      <c r="RMX189" s="12"/>
      <c r="RNG189" s="11"/>
      <c r="RNH189" s="12"/>
      <c r="RNQ189" s="11"/>
      <c r="RNR189" s="12"/>
      <c r="ROA189" s="11"/>
      <c r="ROB189" s="12"/>
      <c r="ROK189" s="11"/>
      <c r="ROL189" s="12"/>
      <c r="ROU189" s="11"/>
      <c r="ROV189" s="12"/>
      <c r="RPE189" s="11"/>
      <c r="RPF189" s="12"/>
      <c r="RPO189" s="11"/>
      <c r="RPP189" s="12"/>
      <c r="RPY189" s="11"/>
      <c r="RPZ189" s="12"/>
      <c r="RQI189" s="11"/>
      <c r="RQJ189" s="12"/>
      <c r="RQS189" s="11"/>
      <c r="RQT189" s="12"/>
      <c r="RRC189" s="11"/>
      <c r="RRD189" s="12"/>
      <c r="RRM189" s="11"/>
      <c r="RRN189" s="12"/>
      <c r="RRW189" s="11"/>
      <c r="RRX189" s="12"/>
      <c r="RSG189" s="11"/>
      <c r="RSH189" s="12"/>
      <c r="RSQ189" s="11"/>
      <c r="RSR189" s="12"/>
      <c r="RTA189" s="11"/>
      <c r="RTB189" s="12"/>
      <c r="RTK189" s="11"/>
      <c r="RTL189" s="12"/>
      <c r="RTU189" s="11"/>
      <c r="RTV189" s="12"/>
      <c r="RUE189" s="11"/>
      <c r="RUF189" s="12"/>
      <c r="RUO189" s="11"/>
      <c r="RUP189" s="12"/>
      <c r="RUY189" s="11"/>
      <c r="RUZ189" s="12"/>
      <c r="RVI189" s="11"/>
      <c r="RVJ189" s="12"/>
      <c r="RVS189" s="11"/>
      <c r="RVT189" s="12"/>
      <c r="RWC189" s="11"/>
      <c r="RWD189" s="12"/>
      <c r="RWM189" s="11"/>
      <c r="RWN189" s="12"/>
      <c r="RWW189" s="11"/>
      <c r="RWX189" s="12"/>
      <c r="RXG189" s="11"/>
      <c r="RXH189" s="12"/>
      <c r="RXQ189" s="11"/>
      <c r="RXR189" s="12"/>
      <c r="RYA189" s="11"/>
      <c r="RYB189" s="12"/>
      <c r="RYK189" s="11"/>
      <c r="RYL189" s="12"/>
      <c r="RYU189" s="11"/>
      <c r="RYV189" s="12"/>
      <c r="RZE189" s="11"/>
      <c r="RZF189" s="12"/>
      <c r="RZO189" s="11"/>
      <c r="RZP189" s="12"/>
      <c r="RZY189" s="11"/>
      <c r="RZZ189" s="12"/>
      <c r="SAI189" s="11"/>
      <c r="SAJ189" s="12"/>
      <c r="SAS189" s="11"/>
      <c r="SAT189" s="12"/>
      <c r="SBC189" s="11"/>
      <c r="SBD189" s="12"/>
      <c r="SBM189" s="11"/>
      <c r="SBN189" s="12"/>
      <c r="SBW189" s="11"/>
      <c r="SBX189" s="12"/>
      <c r="SCG189" s="11"/>
      <c r="SCH189" s="12"/>
      <c r="SCQ189" s="11"/>
      <c r="SCR189" s="12"/>
      <c r="SDA189" s="11"/>
      <c r="SDB189" s="12"/>
      <c r="SDK189" s="11"/>
      <c r="SDL189" s="12"/>
      <c r="SDU189" s="11"/>
      <c r="SDV189" s="12"/>
      <c r="SEE189" s="11"/>
      <c r="SEF189" s="12"/>
      <c r="SEO189" s="11"/>
      <c r="SEP189" s="12"/>
      <c r="SEY189" s="11"/>
      <c r="SEZ189" s="12"/>
      <c r="SFI189" s="11"/>
      <c r="SFJ189" s="12"/>
      <c r="SFS189" s="11"/>
      <c r="SFT189" s="12"/>
      <c r="SGC189" s="11"/>
      <c r="SGD189" s="12"/>
      <c r="SGM189" s="11"/>
      <c r="SGN189" s="12"/>
      <c r="SGW189" s="11"/>
      <c r="SGX189" s="12"/>
      <c r="SHG189" s="11"/>
      <c r="SHH189" s="12"/>
      <c r="SHQ189" s="11"/>
      <c r="SHR189" s="12"/>
      <c r="SIA189" s="11"/>
      <c r="SIB189" s="12"/>
      <c r="SIK189" s="11"/>
      <c r="SIL189" s="12"/>
      <c r="SIU189" s="11"/>
      <c r="SIV189" s="12"/>
      <c r="SJE189" s="11"/>
      <c r="SJF189" s="12"/>
      <c r="SJO189" s="11"/>
      <c r="SJP189" s="12"/>
      <c r="SJY189" s="11"/>
      <c r="SJZ189" s="12"/>
      <c r="SKI189" s="11"/>
      <c r="SKJ189" s="12"/>
      <c r="SKS189" s="11"/>
      <c r="SKT189" s="12"/>
      <c r="SLC189" s="11"/>
      <c r="SLD189" s="12"/>
      <c r="SLM189" s="11"/>
      <c r="SLN189" s="12"/>
      <c r="SLW189" s="11"/>
      <c r="SLX189" s="12"/>
      <c r="SMG189" s="11"/>
      <c r="SMH189" s="12"/>
      <c r="SMQ189" s="11"/>
      <c r="SMR189" s="12"/>
      <c r="SNA189" s="11"/>
      <c r="SNB189" s="12"/>
      <c r="SNK189" s="11"/>
      <c r="SNL189" s="12"/>
      <c r="SNU189" s="11"/>
      <c r="SNV189" s="12"/>
      <c r="SOE189" s="11"/>
      <c r="SOF189" s="12"/>
      <c r="SOO189" s="11"/>
      <c r="SOP189" s="12"/>
      <c r="SOY189" s="11"/>
      <c r="SOZ189" s="12"/>
      <c r="SPI189" s="11"/>
      <c r="SPJ189" s="12"/>
      <c r="SPS189" s="11"/>
      <c r="SPT189" s="12"/>
      <c r="SQC189" s="11"/>
      <c r="SQD189" s="12"/>
      <c r="SQM189" s="11"/>
      <c r="SQN189" s="12"/>
      <c r="SQW189" s="11"/>
      <c r="SQX189" s="12"/>
      <c r="SRG189" s="11"/>
      <c r="SRH189" s="12"/>
      <c r="SRQ189" s="11"/>
      <c r="SRR189" s="12"/>
      <c r="SSA189" s="11"/>
      <c r="SSB189" s="12"/>
      <c r="SSK189" s="11"/>
      <c r="SSL189" s="12"/>
      <c r="SSU189" s="11"/>
      <c r="SSV189" s="12"/>
      <c r="STE189" s="11"/>
      <c r="STF189" s="12"/>
      <c r="STO189" s="11"/>
      <c r="STP189" s="12"/>
      <c r="STY189" s="11"/>
      <c r="STZ189" s="12"/>
      <c r="SUI189" s="11"/>
      <c r="SUJ189" s="12"/>
      <c r="SUS189" s="11"/>
      <c r="SUT189" s="12"/>
      <c r="SVC189" s="11"/>
      <c r="SVD189" s="12"/>
      <c r="SVM189" s="11"/>
      <c r="SVN189" s="12"/>
      <c r="SVW189" s="11"/>
      <c r="SVX189" s="12"/>
      <c r="SWG189" s="11"/>
      <c r="SWH189" s="12"/>
      <c r="SWQ189" s="11"/>
      <c r="SWR189" s="12"/>
      <c r="SXA189" s="11"/>
      <c r="SXB189" s="12"/>
      <c r="SXK189" s="11"/>
      <c r="SXL189" s="12"/>
      <c r="SXU189" s="11"/>
      <c r="SXV189" s="12"/>
      <c r="SYE189" s="11"/>
      <c r="SYF189" s="12"/>
      <c r="SYO189" s="11"/>
      <c r="SYP189" s="12"/>
      <c r="SYY189" s="11"/>
      <c r="SYZ189" s="12"/>
      <c r="SZI189" s="11"/>
      <c r="SZJ189" s="12"/>
      <c r="SZS189" s="11"/>
      <c r="SZT189" s="12"/>
      <c r="TAC189" s="11"/>
      <c r="TAD189" s="12"/>
      <c r="TAM189" s="11"/>
      <c r="TAN189" s="12"/>
      <c r="TAW189" s="11"/>
      <c r="TAX189" s="12"/>
      <c r="TBG189" s="11"/>
      <c r="TBH189" s="12"/>
      <c r="TBQ189" s="11"/>
      <c r="TBR189" s="12"/>
      <c r="TCA189" s="11"/>
      <c r="TCB189" s="12"/>
      <c r="TCK189" s="11"/>
      <c r="TCL189" s="12"/>
      <c r="TCU189" s="11"/>
      <c r="TCV189" s="12"/>
      <c r="TDE189" s="11"/>
      <c r="TDF189" s="12"/>
      <c r="TDO189" s="11"/>
      <c r="TDP189" s="12"/>
      <c r="TDY189" s="11"/>
      <c r="TDZ189" s="12"/>
      <c r="TEI189" s="11"/>
      <c r="TEJ189" s="12"/>
      <c r="TES189" s="11"/>
      <c r="TET189" s="12"/>
      <c r="TFC189" s="11"/>
      <c r="TFD189" s="12"/>
      <c r="TFM189" s="11"/>
      <c r="TFN189" s="12"/>
      <c r="TFW189" s="11"/>
      <c r="TFX189" s="12"/>
      <c r="TGG189" s="11"/>
      <c r="TGH189" s="12"/>
      <c r="TGQ189" s="11"/>
      <c r="TGR189" s="12"/>
      <c r="THA189" s="11"/>
      <c r="THB189" s="12"/>
      <c r="THK189" s="11"/>
      <c r="THL189" s="12"/>
      <c r="THU189" s="11"/>
      <c r="THV189" s="12"/>
      <c r="TIE189" s="11"/>
      <c r="TIF189" s="12"/>
      <c r="TIO189" s="11"/>
      <c r="TIP189" s="12"/>
      <c r="TIY189" s="11"/>
      <c r="TIZ189" s="12"/>
      <c r="TJI189" s="11"/>
      <c r="TJJ189" s="12"/>
      <c r="TJS189" s="11"/>
      <c r="TJT189" s="12"/>
      <c r="TKC189" s="11"/>
      <c r="TKD189" s="12"/>
      <c r="TKM189" s="11"/>
      <c r="TKN189" s="12"/>
      <c r="TKW189" s="11"/>
      <c r="TKX189" s="12"/>
      <c r="TLG189" s="11"/>
      <c r="TLH189" s="12"/>
      <c r="TLQ189" s="11"/>
      <c r="TLR189" s="12"/>
      <c r="TMA189" s="11"/>
      <c r="TMB189" s="12"/>
      <c r="TMK189" s="11"/>
      <c r="TML189" s="12"/>
      <c r="TMU189" s="11"/>
      <c r="TMV189" s="12"/>
      <c r="TNE189" s="11"/>
      <c r="TNF189" s="12"/>
      <c r="TNO189" s="11"/>
      <c r="TNP189" s="12"/>
      <c r="TNY189" s="11"/>
      <c r="TNZ189" s="12"/>
      <c r="TOI189" s="11"/>
      <c r="TOJ189" s="12"/>
      <c r="TOS189" s="11"/>
      <c r="TOT189" s="12"/>
      <c r="TPC189" s="11"/>
      <c r="TPD189" s="12"/>
      <c r="TPM189" s="11"/>
      <c r="TPN189" s="12"/>
      <c r="TPW189" s="11"/>
      <c r="TPX189" s="12"/>
      <c r="TQG189" s="11"/>
      <c r="TQH189" s="12"/>
      <c r="TQQ189" s="11"/>
      <c r="TQR189" s="12"/>
      <c r="TRA189" s="11"/>
      <c r="TRB189" s="12"/>
      <c r="TRK189" s="11"/>
      <c r="TRL189" s="12"/>
      <c r="TRU189" s="11"/>
      <c r="TRV189" s="12"/>
      <c r="TSE189" s="11"/>
      <c r="TSF189" s="12"/>
      <c r="TSO189" s="11"/>
      <c r="TSP189" s="12"/>
      <c r="TSY189" s="11"/>
      <c r="TSZ189" s="12"/>
      <c r="TTI189" s="11"/>
      <c r="TTJ189" s="12"/>
      <c r="TTS189" s="11"/>
      <c r="TTT189" s="12"/>
      <c r="TUC189" s="11"/>
      <c r="TUD189" s="12"/>
      <c r="TUM189" s="11"/>
      <c r="TUN189" s="12"/>
      <c r="TUW189" s="11"/>
      <c r="TUX189" s="12"/>
      <c r="TVG189" s="11"/>
      <c r="TVH189" s="12"/>
      <c r="TVQ189" s="11"/>
      <c r="TVR189" s="12"/>
      <c r="TWA189" s="11"/>
      <c r="TWB189" s="12"/>
      <c r="TWK189" s="11"/>
      <c r="TWL189" s="12"/>
      <c r="TWU189" s="11"/>
      <c r="TWV189" s="12"/>
      <c r="TXE189" s="11"/>
      <c r="TXF189" s="12"/>
      <c r="TXO189" s="11"/>
      <c r="TXP189" s="12"/>
      <c r="TXY189" s="11"/>
      <c r="TXZ189" s="12"/>
      <c r="TYI189" s="11"/>
      <c r="TYJ189" s="12"/>
      <c r="TYS189" s="11"/>
      <c r="TYT189" s="12"/>
      <c r="TZC189" s="11"/>
      <c r="TZD189" s="12"/>
      <c r="TZM189" s="11"/>
      <c r="TZN189" s="12"/>
      <c r="TZW189" s="11"/>
      <c r="TZX189" s="12"/>
      <c r="UAG189" s="11"/>
      <c r="UAH189" s="12"/>
      <c r="UAQ189" s="11"/>
      <c r="UAR189" s="12"/>
      <c r="UBA189" s="11"/>
      <c r="UBB189" s="12"/>
      <c r="UBK189" s="11"/>
      <c r="UBL189" s="12"/>
      <c r="UBU189" s="11"/>
      <c r="UBV189" s="12"/>
      <c r="UCE189" s="11"/>
      <c r="UCF189" s="12"/>
      <c r="UCO189" s="11"/>
      <c r="UCP189" s="12"/>
      <c r="UCY189" s="11"/>
      <c r="UCZ189" s="12"/>
      <c r="UDI189" s="11"/>
      <c r="UDJ189" s="12"/>
      <c r="UDS189" s="11"/>
      <c r="UDT189" s="12"/>
      <c r="UEC189" s="11"/>
      <c r="UED189" s="12"/>
      <c r="UEM189" s="11"/>
      <c r="UEN189" s="12"/>
      <c r="UEW189" s="11"/>
      <c r="UEX189" s="12"/>
      <c r="UFG189" s="11"/>
      <c r="UFH189" s="12"/>
      <c r="UFQ189" s="11"/>
      <c r="UFR189" s="12"/>
      <c r="UGA189" s="11"/>
      <c r="UGB189" s="12"/>
      <c r="UGK189" s="11"/>
      <c r="UGL189" s="12"/>
      <c r="UGU189" s="11"/>
      <c r="UGV189" s="12"/>
      <c r="UHE189" s="11"/>
      <c r="UHF189" s="12"/>
      <c r="UHO189" s="11"/>
      <c r="UHP189" s="12"/>
      <c r="UHY189" s="11"/>
      <c r="UHZ189" s="12"/>
      <c r="UII189" s="11"/>
      <c r="UIJ189" s="12"/>
      <c r="UIS189" s="11"/>
      <c r="UIT189" s="12"/>
      <c r="UJC189" s="11"/>
      <c r="UJD189" s="12"/>
      <c r="UJM189" s="11"/>
      <c r="UJN189" s="12"/>
      <c r="UJW189" s="11"/>
      <c r="UJX189" s="12"/>
      <c r="UKG189" s="11"/>
      <c r="UKH189" s="12"/>
      <c r="UKQ189" s="11"/>
      <c r="UKR189" s="12"/>
      <c r="ULA189" s="11"/>
      <c r="ULB189" s="12"/>
      <c r="ULK189" s="11"/>
      <c r="ULL189" s="12"/>
      <c r="ULU189" s="11"/>
      <c r="ULV189" s="12"/>
      <c r="UME189" s="11"/>
      <c r="UMF189" s="12"/>
      <c r="UMO189" s="11"/>
      <c r="UMP189" s="12"/>
      <c r="UMY189" s="11"/>
      <c r="UMZ189" s="12"/>
      <c r="UNI189" s="11"/>
      <c r="UNJ189" s="12"/>
      <c r="UNS189" s="11"/>
      <c r="UNT189" s="12"/>
      <c r="UOC189" s="11"/>
      <c r="UOD189" s="12"/>
      <c r="UOM189" s="11"/>
      <c r="UON189" s="12"/>
      <c r="UOW189" s="11"/>
      <c r="UOX189" s="12"/>
      <c r="UPG189" s="11"/>
      <c r="UPH189" s="12"/>
      <c r="UPQ189" s="11"/>
      <c r="UPR189" s="12"/>
      <c r="UQA189" s="11"/>
      <c r="UQB189" s="12"/>
      <c r="UQK189" s="11"/>
      <c r="UQL189" s="12"/>
      <c r="UQU189" s="11"/>
      <c r="UQV189" s="12"/>
      <c r="URE189" s="11"/>
      <c r="URF189" s="12"/>
      <c r="URO189" s="11"/>
      <c r="URP189" s="12"/>
      <c r="URY189" s="11"/>
      <c r="URZ189" s="12"/>
      <c r="USI189" s="11"/>
      <c r="USJ189" s="12"/>
      <c r="USS189" s="11"/>
      <c r="UST189" s="12"/>
      <c r="UTC189" s="11"/>
      <c r="UTD189" s="12"/>
      <c r="UTM189" s="11"/>
      <c r="UTN189" s="12"/>
      <c r="UTW189" s="11"/>
      <c r="UTX189" s="12"/>
      <c r="UUG189" s="11"/>
      <c r="UUH189" s="12"/>
      <c r="UUQ189" s="11"/>
      <c r="UUR189" s="12"/>
      <c r="UVA189" s="11"/>
      <c r="UVB189" s="12"/>
      <c r="UVK189" s="11"/>
      <c r="UVL189" s="12"/>
      <c r="UVU189" s="11"/>
      <c r="UVV189" s="12"/>
      <c r="UWE189" s="11"/>
      <c r="UWF189" s="12"/>
      <c r="UWO189" s="11"/>
      <c r="UWP189" s="12"/>
      <c r="UWY189" s="11"/>
      <c r="UWZ189" s="12"/>
      <c r="UXI189" s="11"/>
      <c r="UXJ189" s="12"/>
      <c r="UXS189" s="11"/>
      <c r="UXT189" s="12"/>
      <c r="UYC189" s="11"/>
      <c r="UYD189" s="12"/>
      <c r="UYM189" s="11"/>
      <c r="UYN189" s="12"/>
      <c r="UYW189" s="11"/>
      <c r="UYX189" s="12"/>
      <c r="UZG189" s="11"/>
      <c r="UZH189" s="12"/>
      <c r="UZQ189" s="11"/>
      <c r="UZR189" s="12"/>
      <c r="VAA189" s="11"/>
      <c r="VAB189" s="12"/>
      <c r="VAK189" s="11"/>
      <c r="VAL189" s="12"/>
      <c r="VAU189" s="11"/>
      <c r="VAV189" s="12"/>
      <c r="VBE189" s="11"/>
      <c r="VBF189" s="12"/>
      <c r="VBO189" s="11"/>
      <c r="VBP189" s="12"/>
      <c r="VBY189" s="11"/>
      <c r="VBZ189" s="12"/>
      <c r="VCI189" s="11"/>
      <c r="VCJ189" s="12"/>
      <c r="VCS189" s="11"/>
      <c r="VCT189" s="12"/>
      <c r="VDC189" s="11"/>
      <c r="VDD189" s="12"/>
      <c r="VDM189" s="11"/>
      <c r="VDN189" s="12"/>
      <c r="VDW189" s="11"/>
      <c r="VDX189" s="12"/>
      <c r="VEG189" s="11"/>
      <c r="VEH189" s="12"/>
      <c r="VEQ189" s="11"/>
      <c r="VER189" s="12"/>
      <c r="VFA189" s="11"/>
      <c r="VFB189" s="12"/>
      <c r="VFK189" s="11"/>
      <c r="VFL189" s="12"/>
      <c r="VFU189" s="11"/>
      <c r="VFV189" s="12"/>
      <c r="VGE189" s="11"/>
      <c r="VGF189" s="12"/>
      <c r="VGO189" s="11"/>
      <c r="VGP189" s="12"/>
      <c r="VGY189" s="11"/>
      <c r="VGZ189" s="12"/>
      <c r="VHI189" s="11"/>
      <c r="VHJ189" s="12"/>
      <c r="VHS189" s="11"/>
      <c r="VHT189" s="12"/>
      <c r="VIC189" s="11"/>
      <c r="VID189" s="12"/>
      <c r="VIM189" s="11"/>
      <c r="VIN189" s="12"/>
      <c r="VIW189" s="11"/>
      <c r="VIX189" s="12"/>
      <c r="VJG189" s="11"/>
      <c r="VJH189" s="12"/>
      <c r="VJQ189" s="11"/>
      <c r="VJR189" s="12"/>
      <c r="VKA189" s="11"/>
      <c r="VKB189" s="12"/>
      <c r="VKK189" s="11"/>
      <c r="VKL189" s="12"/>
      <c r="VKU189" s="11"/>
      <c r="VKV189" s="12"/>
      <c r="VLE189" s="11"/>
      <c r="VLF189" s="12"/>
      <c r="VLO189" s="11"/>
      <c r="VLP189" s="12"/>
      <c r="VLY189" s="11"/>
      <c r="VLZ189" s="12"/>
      <c r="VMI189" s="11"/>
      <c r="VMJ189" s="12"/>
      <c r="VMS189" s="11"/>
      <c r="VMT189" s="12"/>
      <c r="VNC189" s="11"/>
      <c r="VND189" s="12"/>
      <c r="VNM189" s="11"/>
      <c r="VNN189" s="12"/>
      <c r="VNW189" s="11"/>
      <c r="VNX189" s="12"/>
      <c r="VOG189" s="11"/>
      <c r="VOH189" s="12"/>
      <c r="VOQ189" s="11"/>
      <c r="VOR189" s="12"/>
      <c r="VPA189" s="11"/>
      <c r="VPB189" s="12"/>
      <c r="VPK189" s="11"/>
      <c r="VPL189" s="12"/>
      <c r="VPU189" s="11"/>
      <c r="VPV189" s="12"/>
      <c r="VQE189" s="11"/>
      <c r="VQF189" s="12"/>
      <c r="VQO189" s="11"/>
      <c r="VQP189" s="12"/>
      <c r="VQY189" s="11"/>
      <c r="VQZ189" s="12"/>
      <c r="VRI189" s="11"/>
      <c r="VRJ189" s="12"/>
      <c r="VRS189" s="11"/>
      <c r="VRT189" s="12"/>
      <c r="VSC189" s="11"/>
      <c r="VSD189" s="12"/>
      <c r="VSM189" s="11"/>
      <c r="VSN189" s="12"/>
      <c r="VSW189" s="11"/>
      <c r="VSX189" s="12"/>
      <c r="VTG189" s="11"/>
      <c r="VTH189" s="12"/>
      <c r="VTQ189" s="11"/>
      <c r="VTR189" s="12"/>
      <c r="VUA189" s="11"/>
      <c r="VUB189" s="12"/>
      <c r="VUK189" s="11"/>
      <c r="VUL189" s="12"/>
      <c r="VUU189" s="11"/>
      <c r="VUV189" s="12"/>
      <c r="VVE189" s="11"/>
      <c r="VVF189" s="12"/>
      <c r="VVO189" s="11"/>
      <c r="VVP189" s="12"/>
      <c r="VVY189" s="11"/>
      <c r="VVZ189" s="12"/>
      <c r="VWI189" s="11"/>
      <c r="VWJ189" s="12"/>
      <c r="VWS189" s="11"/>
      <c r="VWT189" s="12"/>
      <c r="VXC189" s="11"/>
      <c r="VXD189" s="12"/>
      <c r="VXM189" s="11"/>
      <c r="VXN189" s="12"/>
      <c r="VXW189" s="11"/>
      <c r="VXX189" s="12"/>
      <c r="VYG189" s="11"/>
      <c r="VYH189" s="12"/>
      <c r="VYQ189" s="11"/>
      <c r="VYR189" s="12"/>
      <c r="VZA189" s="11"/>
      <c r="VZB189" s="12"/>
      <c r="VZK189" s="11"/>
      <c r="VZL189" s="12"/>
      <c r="VZU189" s="11"/>
      <c r="VZV189" s="12"/>
      <c r="WAE189" s="11"/>
      <c r="WAF189" s="12"/>
      <c r="WAO189" s="11"/>
      <c r="WAP189" s="12"/>
      <c r="WAY189" s="11"/>
      <c r="WAZ189" s="12"/>
      <c r="WBI189" s="11"/>
      <c r="WBJ189" s="12"/>
      <c r="WBS189" s="11"/>
      <c r="WBT189" s="12"/>
      <c r="WCC189" s="11"/>
      <c r="WCD189" s="12"/>
      <c r="WCM189" s="11"/>
      <c r="WCN189" s="12"/>
      <c r="WCW189" s="11"/>
      <c r="WCX189" s="12"/>
      <c r="WDG189" s="11"/>
      <c r="WDH189" s="12"/>
      <c r="WDQ189" s="11"/>
      <c r="WDR189" s="12"/>
      <c r="WEA189" s="11"/>
      <c r="WEB189" s="12"/>
      <c r="WEK189" s="11"/>
      <c r="WEL189" s="12"/>
      <c r="WEU189" s="11"/>
      <c r="WEV189" s="12"/>
      <c r="WFE189" s="11"/>
      <c r="WFF189" s="12"/>
      <c r="WFO189" s="11"/>
      <c r="WFP189" s="12"/>
      <c r="WFY189" s="11"/>
      <c r="WFZ189" s="12"/>
      <c r="WGI189" s="11"/>
      <c r="WGJ189" s="12"/>
      <c r="WGS189" s="11"/>
      <c r="WGT189" s="12"/>
      <c r="WHC189" s="11"/>
      <c r="WHD189" s="12"/>
      <c r="WHM189" s="11"/>
      <c r="WHN189" s="12"/>
      <c r="WHW189" s="11"/>
      <c r="WHX189" s="12"/>
      <c r="WIG189" s="11"/>
      <c r="WIH189" s="12"/>
      <c r="WIQ189" s="11"/>
      <c r="WIR189" s="12"/>
      <c r="WJA189" s="11"/>
      <c r="WJB189" s="12"/>
      <c r="WJK189" s="11"/>
      <c r="WJL189" s="12"/>
      <c r="WJU189" s="11"/>
      <c r="WJV189" s="12"/>
      <c r="WKE189" s="11"/>
      <c r="WKF189" s="12"/>
      <c r="WKO189" s="11"/>
      <c r="WKP189" s="12"/>
      <c r="WKY189" s="11"/>
      <c r="WKZ189" s="12"/>
      <c r="WLI189" s="11"/>
      <c r="WLJ189" s="12"/>
      <c r="WLS189" s="11"/>
      <c r="WLT189" s="12"/>
      <c r="WMC189" s="11"/>
      <c r="WMD189" s="12"/>
      <c r="WMM189" s="11"/>
      <c r="WMN189" s="12"/>
      <c r="WMW189" s="11"/>
      <c r="WMX189" s="12"/>
      <c r="WNG189" s="11"/>
      <c r="WNH189" s="12"/>
      <c r="WNQ189" s="11"/>
      <c r="WNR189" s="12"/>
      <c r="WOA189" s="11"/>
      <c r="WOB189" s="12"/>
      <c r="WOK189" s="11"/>
      <c r="WOL189" s="12"/>
      <c r="WOU189" s="11"/>
      <c r="WOV189" s="12"/>
      <c r="WPE189" s="11"/>
      <c r="WPF189" s="12"/>
      <c r="WPO189" s="11"/>
      <c r="WPP189" s="12"/>
      <c r="WPY189" s="11"/>
      <c r="WPZ189" s="12"/>
      <c r="WQI189" s="11"/>
      <c r="WQJ189" s="12"/>
      <c r="WQS189" s="11"/>
      <c r="WQT189" s="12"/>
      <c r="WRC189" s="11"/>
      <c r="WRD189" s="12"/>
      <c r="WRM189" s="11"/>
      <c r="WRN189" s="12"/>
      <c r="WRW189" s="11"/>
      <c r="WRX189" s="12"/>
      <c r="WSG189" s="11"/>
      <c r="WSH189" s="12"/>
      <c r="WSQ189" s="11"/>
      <c r="WSR189" s="12"/>
      <c r="WTA189" s="11"/>
      <c r="WTB189" s="12"/>
      <c r="WTK189" s="11"/>
      <c r="WTL189" s="12"/>
      <c r="WTU189" s="11"/>
      <c r="WTV189" s="12"/>
      <c r="WUE189" s="11"/>
      <c r="WUF189" s="12"/>
      <c r="WUO189" s="11"/>
      <c r="WUP189" s="12"/>
      <c r="WUY189" s="11"/>
      <c r="WUZ189" s="12"/>
      <c r="WVI189" s="11"/>
      <c r="WVJ189" s="12"/>
      <c r="WVS189" s="11"/>
      <c r="WVT189" s="12"/>
      <c r="WWC189" s="11"/>
      <c r="WWD189" s="12"/>
      <c r="WWM189" s="11"/>
      <c r="WWN189" s="12"/>
      <c r="WWW189" s="11"/>
      <c r="WWX189" s="12"/>
      <c r="WXG189" s="11"/>
      <c r="WXH189" s="12"/>
      <c r="WXQ189" s="11"/>
      <c r="WXR189" s="12"/>
      <c r="WYA189" s="11"/>
      <c r="WYB189" s="12"/>
      <c r="WYK189" s="11"/>
      <c r="WYL189" s="12"/>
      <c r="WYU189" s="11"/>
      <c r="WYV189" s="12"/>
      <c r="WZE189" s="11"/>
      <c r="WZF189" s="12"/>
      <c r="WZO189" s="11"/>
      <c r="WZP189" s="12"/>
      <c r="WZY189" s="11"/>
      <c r="WZZ189" s="12"/>
      <c r="XAI189" s="11"/>
      <c r="XAJ189" s="12"/>
      <c r="XAS189" s="11"/>
      <c r="XAT189" s="12"/>
      <c r="XBC189" s="11"/>
      <c r="XBD189" s="12"/>
      <c r="XBM189" s="11"/>
      <c r="XBN189" s="12"/>
      <c r="XBW189" s="11"/>
      <c r="XBX189" s="12"/>
      <c r="XCG189" s="11"/>
      <c r="XCH189" s="12"/>
      <c r="XCQ189" s="11"/>
      <c r="XCR189" s="12"/>
      <c r="XDA189" s="11"/>
      <c r="XDB189" s="12"/>
      <c r="XDK189" s="11"/>
      <c r="XDL189" s="12"/>
      <c r="XDU189" s="11"/>
      <c r="XDV189" s="12"/>
      <c r="XEE189" s="11"/>
      <c r="XEF189" s="12"/>
      <c r="XEO189" s="11"/>
      <c r="XEP189" s="12"/>
      <c r="XEY189" s="11"/>
      <c r="XEZ189" s="12"/>
    </row>
    <row r="190" spans="1:1020 1029:2040 2049:3070 3079:4090 4099:5120 5129:6140 6149:7160 7169:8190 8199:9210 9219:10240 10249:11260 11269:12280 12289:13310 13319:14330 14339:15360 15369:16380" s="10" customFormat="1" ht="22.2" customHeight="1" x14ac:dyDescent="0.3">
      <c r="A190"/>
      <c r="B190"/>
      <c r="C190"/>
      <c r="D190"/>
      <c r="E190"/>
      <c r="F190"/>
      <c r="G190"/>
      <c r="H190" s="32" t="s">
        <v>9</v>
      </c>
      <c r="I190" s="33" t="s">
        <v>25</v>
      </c>
      <c r="J190" s="34" t="s">
        <v>28</v>
      </c>
      <c r="K190" s="35" t="s">
        <v>0</v>
      </c>
      <c r="L190" s="33"/>
      <c r="M190" s="33"/>
      <c r="N190" s="36"/>
      <c r="O190" s="33">
        <v>3</v>
      </c>
      <c r="P190" s="33">
        <f>IF(Tabela1[[#This Row],[Status]]="✔️",Tabela1[[#This Row],[Peso]],IF(Tabela1[[#This Row],[Status]]="✔️✔️",Tabela1[[#This Row],[Peso]]/2,0))</f>
        <v>3</v>
      </c>
      <c r="Q19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0" s="33" t="s">
        <v>264</v>
      </c>
      <c r="S190" s="37" t="s">
        <v>263</v>
      </c>
      <c r="T190" s="12"/>
      <c r="AC190" s="11"/>
      <c r="AD190" s="12"/>
      <c r="AM190" s="11"/>
      <c r="AN190" s="12"/>
      <c r="AW190" s="11"/>
      <c r="AX190" s="12"/>
      <c r="BG190" s="11"/>
      <c r="BH190" s="12"/>
      <c r="BQ190" s="11"/>
      <c r="BR190" s="12"/>
      <c r="CA190" s="11"/>
      <c r="CB190" s="12"/>
      <c r="CK190" s="11"/>
      <c r="CL190" s="12"/>
      <c r="CU190" s="11"/>
      <c r="CV190" s="12"/>
      <c r="DE190" s="11"/>
      <c r="DF190" s="12"/>
      <c r="DO190" s="11"/>
      <c r="DP190" s="12"/>
      <c r="DY190" s="11"/>
      <c r="DZ190" s="12"/>
      <c r="EI190" s="11"/>
      <c r="EJ190" s="12"/>
      <c r="ES190" s="11"/>
      <c r="ET190" s="12"/>
      <c r="FC190" s="11"/>
      <c r="FD190" s="12"/>
      <c r="FM190" s="11"/>
      <c r="FN190" s="12"/>
      <c r="FW190" s="11"/>
      <c r="FX190" s="12"/>
      <c r="GG190" s="11"/>
      <c r="GH190" s="12"/>
      <c r="GQ190" s="11"/>
      <c r="GR190" s="12"/>
      <c r="HA190" s="11"/>
      <c r="HB190" s="12"/>
      <c r="HK190" s="11"/>
      <c r="HL190" s="12"/>
      <c r="HU190" s="11"/>
      <c r="HV190" s="12"/>
      <c r="IE190" s="11"/>
      <c r="IF190" s="12"/>
      <c r="IO190" s="11"/>
      <c r="IP190" s="12"/>
      <c r="IY190" s="11"/>
      <c r="IZ190" s="12"/>
      <c r="JI190" s="11"/>
      <c r="JJ190" s="12"/>
      <c r="JS190" s="11"/>
      <c r="JT190" s="12"/>
      <c r="KC190" s="11"/>
      <c r="KD190" s="12"/>
      <c r="KM190" s="11"/>
      <c r="KN190" s="12"/>
      <c r="KW190" s="11"/>
      <c r="KX190" s="12"/>
      <c r="LG190" s="11"/>
      <c r="LH190" s="12"/>
      <c r="LQ190" s="11"/>
      <c r="LR190" s="12"/>
      <c r="MA190" s="11"/>
      <c r="MB190" s="12"/>
      <c r="MK190" s="11"/>
      <c r="ML190" s="12"/>
      <c r="MU190" s="11"/>
      <c r="MV190" s="12"/>
      <c r="NE190" s="11"/>
      <c r="NF190" s="12"/>
      <c r="NO190" s="11"/>
      <c r="NP190" s="12"/>
      <c r="NY190" s="11"/>
      <c r="NZ190" s="12"/>
      <c r="OI190" s="11"/>
      <c r="OJ190" s="12"/>
      <c r="OS190" s="11"/>
      <c r="OT190" s="12"/>
      <c r="PC190" s="11"/>
      <c r="PD190" s="12"/>
      <c r="PM190" s="11"/>
      <c r="PN190" s="12"/>
      <c r="PW190" s="11"/>
      <c r="PX190" s="12"/>
      <c r="QG190" s="11"/>
      <c r="QH190" s="12"/>
      <c r="QQ190" s="11"/>
      <c r="QR190" s="12"/>
      <c r="RA190" s="11"/>
      <c r="RB190" s="12"/>
      <c r="RK190" s="11"/>
      <c r="RL190" s="12"/>
      <c r="RU190" s="11"/>
      <c r="RV190" s="12"/>
      <c r="SE190" s="11"/>
      <c r="SF190" s="12"/>
      <c r="SO190" s="11"/>
      <c r="SP190" s="12"/>
      <c r="SY190" s="11"/>
      <c r="SZ190" s="12"/>
      <c r="TI190" s="11"/>
      <c r="TJ190" s="12"/>
      <c r="TS190" s="11"/>
      <c r="TT190" s="12"/>
      <c r="UC190" s="11"/>
      <c r="UD190" s="12"/>
      <c r="UM190" s="11"/>
      <c r="UN190" s="12"/>
      <c r="UW190" s="11"/>
      <c r="UX190" s="12"/>
      <c r="VG190" s="11"/>
      <c r="VH190" s="12"/>
      <c r="VQ190" s="11"/>
      <c r="VR190" s="12"/>
      <c r="WA190" s="11"/>
      <c r="WB190" s="12"/>
      <c r="WK190" s="11"/>
      <c r="WL190" s="12"/>
      <c r="WU190" s="11"/>
      <c r="WV190" s="12"/>
      <c r="XE190" s="11"/>
      <c r="XF190" s="12"/>
      <c r="XO190" s="11"/>
      <c r="XP190" s="12"/>
      <c r="XY190" s="11"/>
      <c r="XZ190" s="12"/>
      <c r="YI190" s="11"/>
      <c r="YJ190" s="12"/>
      <c r="YS190" s="11"/>
      <c r="YT190" s="12"/>
      <c r="ZC190" s="11"/>
      <c r="ZD190" s="12"/>
      <c r="ZM190" s="11"/>
      <c r="ZN190" s="12"/>
      <c r="ZW190" s="11"/>
      <c r="ZX190" s="12"/>
      <c r="AAG190" s="11"/>
      <c r="AAH190" s="12"/>
      <c r="AAQ190" s="11"/>
      <c r="AAR190" s="12"/>
      <c r="ABA190" s="11"/>
      <c r="ABB190" s="12"/>
      <c r="ABK190" s="11"/>
      <c r="ABL190" s="12"/>
      <c r="ABU190" s="11"/>
      <c r="ABV190" s="12"/>
      <c r="ACE190" s="11"/>
      <c r="ACF190" s="12"/>
      <c r="ACO190" s="11"/>
      <c r="ACP190" s="12"/>
      <c r="ACY190" s="11"/>
      <c r="ACZ190" s="12"/>
      <c r="ADI190" s="11"/>
      <c r="ADJ190" s="12"/>
      <c r="ADS190" s="11"/>
      <c r="ADT190" s="12"/>
      <c r="AEC190" s="11"/>
      <c r="AED190" s="12"/>
      <c r="AEM190" s="11"/>
      <c r="AEN190" s="12"/>
      <c r="AEW190" s="11"/>
      <c r="AEX190" s="12"/>
      <c r="AFG190" s="11"/>
      <c r="AFH190" s="12"/>
      <c r="AFQ190" s="11"/>
      <c r="AFR190" s="12"/>
      <c r="AGA190" s="11"/>
      <c r="AGB190" s="12"/>
      <c r="AGK190" s="11"/>
      <c r="AGL190" s="12"/>
      <c r="AGU190" s="11"/>
      <c r="AGV190" s="12"/>
      <c r="AHE190" s="11"/>
      <c r="AHF190" s="12"/>
      <c r="AHO190" s="11"/>
      <c r="AHP190" s="12"/>
      <c r="AHY190" s="11"/>
      <c r="AHZ190" s="12"/>
      <c r="AII190" s="11"/>
      <c r="AIJ190" s="12"/>
      <c r="AIS190" s="11"/>
      <c r="AIT190" s="12"/>
      <c r="AJC190" s="11"/>
      <c r="AJD190" s="12"/>
      <c r="AJM190" s="11"/>
      <c r="AJN190" s="12"/>
      <c r="AJW190" s="11"/>
      <c r="AJX190" s="12"/>
      <c r="AKG190" s="11"/>
      <c r="AKH190" s="12"/>
      <c r="AKQ190" s="11"/>
      <c r="AKR190" s="12"/>
      <c r="ALA190" s="11"/>
      <c r="ALB190" s="12"/>
      <c r="ALK190" s="11"/>
      <c r="ALL190" s="12"/>
      <c r="ALU190" s="11"/>
      <c r="ALV190" s="12"/>
      <c r="AME190" s="11"/>
      <c r="AMF190" s="12"/>
      <c r="AMO190" s="11"/>
      <c r="AMP190" s="12"/>
      <c r="AMY190" s="11"/>
      <c r="AMZ190" s="12"/>
      <c r="ANI190" s="11"/>
      <c r="ANJ190" s="12"/>
      <c r="ANS190" s="11"/>
      <c r="ANT190" s="12"/>
      <c r="AOC190" s="11"/>
      <c r="AOD190" s="12"/>
      <c r="AOM190" s="11"/>
      <c r="AON190" s="12"/>
      <c r="AOW190" s="11"/>
      <c r="AOX190" s="12"/>
      <c r="APG190" s="11"/>
      <c r="APH190" s="12"/>
      <c r="APQ190" s="11"/>
      <c r="APR190" s="12"/>
      <c r="AQA190" s="11"/>
      <c r="AQB190" s="12"/>
      <c r="AQK190" s="11"/>
      <c r="AQL190" s="12"/>
      <c r="AQU190" s="11"/>
      <c r="AQV190" s="12"/>
      <c r="ARE190" s="11"/>
      <c r="ARF190" s="12"/>
      <c r="ARO190" s="11"/>
      <c r="ARP190" s="12"/>
      <c r="ARY190" s="11"/>
      <c r="ARZ190" s="12"/>
      <c r="ASI190" s="11"/>
      <c r="ASJ190" s="12"/>
      <c r="ASS190" s="11"/>
      <c r="AST190" s="12"/>
      <c r="ATC190" s="11"/>
      <c r="ATD190" s="12"/>
      <c r="ATM190" s="11"/>
      <c r="ATN190" s="12"/>
      <c r="ATW190" s="11"/>
      <c r="ATX190" s="12"/>
      <c r="AUG190" s="11"/>
      <c r="AUH190" s="12"/>
      <c r="AUQ190" s="11"/>
      <c r="AUR190" s="12"/>
      <c r="AVA190" s="11"/>
      <c r="AVB190" s="12"/>
      <c r="AVK190" s="11"/>
      <c r="AVL190" s="12"/>
      <c r="AVU190" s="11"/>
      <c r="AVV190" s="12"/>
      <c r="AWE190" s="11"/>
      <c r="AWF190" s="12"/>
      <c r="AWO190" s="11"/>
      <c r="AWP190" s="12"/>
      <c r="AWY190" s="11"/>
      <c r="AWZ190" s="12"/>
      <c r="AXI190" s="11"/>
      <c r="AXJ190" s="12"/>
      <c r="AXS190" s="11"/>
      <c r="AXT190" s="12"/>
      <c r="AYC190" s="11"/>
      <c r="AYD190" s="12"/>
      <c r="AYM190" s="11"/>
      <c r="AYN190" s="12"/>
      <c r="AYW190" s="11"/>
      <c r="AYX190" s="12"/>
      <c r="AZG190" s="11"/>
      <c r="AZH190" s="12"/>
      <c r="AZQ190" s="11"/>
      <c r="AZR190" s="12"/>
      <c r="BAA190" s="11"/>
      <c r="BAB190" s="12"/>
      <c r="BAK190" s="11"/>
      <c r="BAL190" s="12"/>
      <c r="BAU190" s="11"/>
      <c r="BAV190" s="12"/>
      <c r="BBE190" s="11"/>
      <c r="BBF190" s="12"/>
      <c r="BBO190" s="11"/>
      <c r="BBP190" s="12"/>
      <c r="BBY190" s="11"/>
      <c r="BBZ190" s="12"/>
      <c r="BCI190" s="11"/>
      <c r="BCJ190" s="12"/>
      <c r="BCS190" s="11"/>
      <c r="BCT190" s="12"/>
      <c r="BDC190" s="11"/>
      <c r="BDD190" s="12"/>
      <c r="BDM190" s="11"/>
      <c r="BDN190" s="12"/>
      <c r="BDW190" s="11"/>
      <c r="BDX190" s="12"/>
      <c r="BEG190" s="11"/>
      <c r="BEH190" s="12"/>
      <c r="BEQ190" s="11"/>
      <c r="BER190" s="12"/>
      <c r="BFA190" s="11"/>
      <c r="BFB190" s="12"/>
      <c r="BFK190" s="11"/>
      <c r="BFL190" s="12"/>
      <c r="BFU190" s="11"/>
      <c r="BFV190" s="12"/>
      <c r="BGE190" s="11"/>
      <c r="BGF190" s="12"/>
      <c r="BGO190" s="11"/>
      <c r="BGP190" s="12"/>
      <c r="BGY190" s="11"/>
      <c r="BGZ190" s="12"/>
      <c r="BHI190" s="11"/>
      <c r="BHJ190" s="12"/>
      <c r="BHS190" s="11"/>
      <c r="BHT190" s="12"/>
      <c r="BIC190" s="11"/>
      <c r="BID190" s="12"/>
      <c r="BIM190" s="11"/>
      <c r="BIN190" s="12"/>
      <c r="BIW190" s="11"/>
      <c r="BIX190" s="12"/>
      <c r="BJG190" s="11"/>
      <c r="BJH190" s="12"/>
      <c r="BJQ190" s="11"/>
      <c r="BJR190" s="12"/>
      <c r="BKA190" s="11"/>
      <c r="BKB190" s="12"/>
      <c r="BKK190" s="11"/>
      <c r="BKL190" s="12"/>
      <c r="BKU190" s="11"/>
      <c r="BKV190" s="12"/>
      <c r="BLE190" s="11"/>
      <c r="BLF190" s="12"/>
      <c r="BLO190" s="11"/>
      <c r="BLP190" s="12"/>
      <c r="BLY190" s="11"/>
      <c r="BLZ190" s="12"/>
      <c r="BMI190" s="11"/>
      <c r="BMJ190" s="12"/>
      <c r="BMS190" s="11"/>
      <c r="BMT190" s="12"/>
      <c r="BNC190" s="11"/>
      <c r="BND190" s="12"/>
      <c r="BNM190" s="11"/>
      <c r="BNN190" s="12"/>
      <c r="BNW190" s="11"/>
      <c r="BNX190" s="12"/>
      <c r="BOG190" s="11"/>
      <c r="BOH190" s="12"/>
      <c r="BOQ190" s="11"/>
      <c r="BOR190" s="12"/>
      <c r="BPA190" s="11"/>
      <c r="BPB190" s="12"/>
      <c r="BPK190" s="11"/>
      <c r="BPL190" s="12"/>
      <c r="BPU190" s="11"/>
      <c r="BPV190" s="12"/>
      <c r="BQE190" s="11"/>
      <c r="BQF190" s="12"/>
      <c r="BQO190" s="11"/>
      <c r="BQP190" s="12"/>
      <c r="BQY190" s="11"/>
      <c r="BQZ190" s="12"/>
      <c r="BRI190" s="11"/>
      <c r="BRJ190" s="12"/>
      <c r="BRS190" s="11"/>
      <c r="BRT190" s="12"/>
      <c r="BSC190" s="11"/>
      <c r="BSD190" s="12"/>
      <c r="BSM190" s="11"/>
      <c r="BSN190" s="12"/>
      <c r="BSW190" s="11"/>
      <c r="BSX190" s="12"/>
      <c r="BTG190" s="11"/>
      <c r="BTH190" s="12"/>
      <c r="BTQ190" s="11"/>
      <c r="BTR190" s="12"/>
      <c r="BUA190" s="11"/>
      <c r="BUB190" s="12"/>
      <c r="BUK190" s="11"/>
      <c r="BUL190" s="12"/>
      <c r="BUU190" s="11"/>
      <c r="BUV190" s="12"/>
      <c r="BVE190" s="11"/>
      <c r="BVF190" s="12"/>
      <c r="BVO190" s="11"/>
      <c r="BVP190" s="12"/>
      <c r="BVY190" s="11"/>
      <c r="BVZ190" s="12"/>
      <c r="BWI190" s="11"/>
      <c r="BWJ190" s="12"/>
      <c r="BWS190" s="11"/>
      <c r="BWT190" s="12"/>
      <c r="BXC190" s="11"/>
      <c r="BXD190" s="12"/>
      <c r="BXM190" s="11"/>
      <c r="BXN190" s="12"/>
      <c r="BXW190" s="11"/>
      <c r="BXX190" s="12"/>
      <c r="BYG190" s="11"/>
      <c r="BYH190" s="12"/>
      <c r="BYQ190" s="11"/>
      <c r="BYR190" s="12"/>
      <c r="BZA190" s="11"/>
      <c r="BZB190" s="12"/>
      <c r="BZK190" s="11"/>
      <c r="BZL190" s="12"/>
      <c r="BZU190" s="11"/>
      <c r="BZV190" s="12"/>
      <c r="CAE190" s="11"/>
      <c r="CAF190" s="12"/>
      <c r="CAO190" s="11"/>
      <c r="CAP190" s="12"/>
      <c r="CAY190" s="11"/>
      <c r="CAZ190" s="12"/>
      <c r="CBI190" s="11"/>
      <c r="CBJ190" s="12"/>
      <c r="CBS190" s="11"/>
      <c r="CBT190" s="12"/>
      <c r="CCC190" s="11"/>
      <c r="CCD190" s="12"/>
      <c r="CCM190" s="11"/>
      <c r="CCN190" s="12"/>
      <c r="CCW190" s="11"/>
      <c r="CCX190" s="12"/>
      <c r="CDG190" s="11"/>
      <c r="CDH190" s="12"/>
      <c r="CDQ190" s="11"/>
      <c r="CDR190" s="12"/>
      <c r="CEA190" s="11"/>
      <c r="CEB190" s="12"/>
      <c r="CEK190" s="11"/>
      <c r="CEL190" s="12"/>
      <c r="CEU190" s="11"/>
      <c r="CEV190" s="12"/>
      <c r="CFE190" s="11"/>
      <c r="CFF190" s="12"/>
      <c r="CFO190" s="11"/>
      <c r="CFP190" s="12"/>
      <c r="CFY190" s="11"/>
      <c r="CFZ190" s="12"/>
      <c r="CGI190" s="11"/>
      <c r="CGJ190" s="12"/>
      <c r="CGS190" s="11"/>
      <c r="CGT190" s="12"/>
      <c r="CHC190" s="11"/>
      <c r="CHD190" s="12"/>
      <c r="CHM190" s="11"/>
      <c r="CHN190" s="12"/>
      <c r="CHW190" s="11"/>
      <c r="CHX190" s="12"/>
      <c r="CIG190" s="11"/>
      <c r="CIH190" s="12"/>
      <c r="CIQ190" s="11"/>
      <c r="CIR190" s="12"/>
      <c r="CJA190" s="11"/>
      <c r="CJB190" s="12"/>
      <c r="CJK190" s="11"/>
      <c r="CJL190" s="12"/>
      <c r="CJU190" s="11"/>
      <c r="CJV190" s="12"/>
      <c r="CKE190" s="11"/>
      <c r="CKF190" s="12"/>
      <c r="CKO190" s="11"/>
      <c r="CKP190" s="12"/>
      <c r="CKY190" s="11"/>
      <c r="CKZ190" s="12"/>
      <c r="CLI190" s="11"/>
      <c r="CLJ190" s="12"/>
      <c r="CLS190" s="11"/>
      <c r="CLT190" s="12"/>
      <c r="CMC190" s="11"/>
      <c r="CMD190" s="12"/>
      <c r="CMM190" s="11"/>
      <c r="CMN190" s="12"/>
      <c r="CMW190" s="11"/>
      <c r="CMX190" s="12"/>
      <c r="CNG190" s="11"/>
      <c r="CNH190" s="12"/>
      <c r="CNQ190" s="11"/>
      <c r="CNR190" s="12"/>
      <c r="COA190" s="11"/>
      <c r="COB190" s="12"/>
      <c r="COK190" s="11"/>
      <c r="COL190" s="12"/>
      <c r="COU190" s="11"/>
      <c r="COV190" s="12"/>
      <c r="CPE190" s="11"/>
      <c r="CPF190" s="12"/>
      <c r="CPO190" s="11"/>
      <c r="CPP190" s="12"/>
      <c r="CPY190" s="11"/>
      <c r="CPZ190" s="12"/>
      <c r="CQI190" s="11"/>
      <c r="CQJ190" s="12"/>
      <c r="CQS190" s="11"/>
      <c r="CQT190" s="12"/>
      <c r="CRC190" s="11"/>
      <c r="CRD190" s="12"/>
      <c r="CRM190" s="11"/>
      <c r="CRN190" s="12"/>
      <c r="CRW190" s="11"/>
      <c r="CRX190" s="12"/>
      <c r="CSG190" s="11"/>
      <c r="CSH190" s="12"/>
      <c r="CSQ190" s="11"/>
      <c r="CSR190" s="12"/>
      <c r="CTA190" s="11"/>
      <c r="CTB190" s="12"/>
      <c r="CTK190" s="11"/>
      <c r="CTL190" s="12"/>
      <c r="CTU190" s="11"/>
      <c r="CTV190" s="12"/>
      <c r="CUE190" s="11"/>
      <c r="CUF190" s="12"/>
      <c r="CUO190" s="11"/>
      <c r="CUP190" s="12"/>
      <c r="CUY190" s="11"/>
      <c r="CUZ190" s="12"/>
      <c r="CVI190" s="11"/>
      <c r="CVJ190" s="12"/>
      <c r="CVS190" s="11"/>
      <c r="CVT190" s="12"/>
      <c r="CWC190" s="11"/>
      <c r="CWD190" s="12"/>
      <c r="CWM190" s="11"/>
      <c r="CWN190" s="12"/>
      <c r="CWW190" s="11"/>
      <c r="CWX190" s="12"/>
      <c r="CXG190" s="11"/>
      <c r="CXH190" s="12"/>
      <c r="CXQ190" s="11"/>
      <c r="CXR190" s="12"/>
      <c r="CYA190" s="11"/>
      <c r="CYB190" s="12"/>
      <c r="CYK190" s="11"/>
      <c r="CYL190" s="12"/>
      <c r="CYU190" s="11"/>
      <c r="CYV190" s="12"/>
      <c r="CZE190" s="11"/>
      <c r="CZF190" s="12"/>
      <c r="CZO190" s="11"/>
      <c r="CZP190" s="12"/>
      <c r="CZY190" s="11"/>
      <c r="CZZ190" s="12"/>
      <c r="DAI190" s="11"/>
      <c r="DAJ190" s="12"/>
      <c r="DAS190" s="11"/>
      <c r="DAT190" s="12"/>
      <c r="DBC190" s="11"/>
      <c r="DBD190" s="12"/>
      <c r="DBM190" s="11"/>
      <c r="DBN190" s="12"/>
      <c r="DBW190" s="11"/>
      <c r="DBX190" s="12"/>
      <c r="DCG190" s="11"/>
      <c r="DCH190" s="12"/>
      <c r="DCQ190" s="11"/>
      <c r="DCR190" s="12"/>
      <c r="DDA190" s="11"/>
      <c r="DDB190" s="12"/>
      <c r="DDK190" s="11"/>
      <c r="DDL190" s="12"/>
      <c r="DDU190" s="11"/>
      <c r="DDV190" s="12"/>
      <c r="DEE190" s="11"/>
      <c r="DEF190" s="12"/>
      <c r="DEO190" s="11"/>
      <c r="DEP190" s="12"/>
      <c r="DEY190" s="11"/>
      <c r="DEZ190" s="12"/>
      <c r="DFI190" s="11"/>
      <c r="DFJ190" s="12"/>
      <c r="DFS190" s="11"/>
      <c r="DFT190" s="12"/>
      <c r="DGC190" s="11"/>
      <c r="DGD190" s="12"/>
      <c r="DGM190" s="11"/>
      <c r="DGN190" s="12"/>
      <c r="DGW190" s="11"/>
      <c r="DGX190" s="12"/>
      <c r="DHG190" s="11"/>
      <c r="DHH190" s="12"/>
      <c r="DHQ190" s="11"/>
      <c r="DHR190" s="12"/>
      <c r="DIA190" s="11"/>
      <c r="DIB190" s="12"/>
      <c r="DIK190" s="11"/>
      <c r="DIL190" s="12"/>
      <c r="DIU190" s="11"/>
      <c r="DIV190" s="12"/>
      <c r="DJE190" s="11"/>
      <c r="DJF190" s="12"/>
      <c r="DJO190" s="11"/>
      <c r="DJP190" s="12"/>
      <c r="DJY190" s="11"/>
      <c r="DJZ190" s="12"/>
      <c r="DKI190" s="11"/>
      <c r="DKJ190" s="12"/>
      <c r="DKS190" s="11"/>
      <c r="DKT190" s="12"/>
      <c r="DLC190" s="11"/>
      <c r="DLD190" s="12"/>
      <c r="DLM190" s="11"/>
      <c r="DLN190" s="12"/>
      <c r="DLW190" s="11"/>
      <c r="DLX190" s="12"/>
      <c r="DMG190" s="11"/>
      <c r="DMH190" s="12"/>
      <c r="DMQ190" s="11"/>
      <c r="DMR190" s="12"/>
      <c r="DNA190" s="11"/>
      <c r="DNB190" s="12"/>
      <c r="DNK190" s="11"/>
      <c r="DNL190" s="12"/>
      <c r="DNU190" s="11"/>
      <c r="DNV190" s="12"/>
      <c r="DOE190" s="11"/>
      <c r="DOF190" s="12"/>
      <c r="DOO190" s="11"/>
      <c r="DOP190" s="12"/>
      <c r="DOY190" s="11"/>
      <c r="DOZ190" s="12"/>
      <c r="DPI190" s="11"/>
      <c r="DPJ190" s="12"/>
      <c r="DPS190" s="11"/>
      <c r="DPT190" s="12"/>
      <c r="DQC190" s="11"/>
      <c r="DQD190" s="12"/>
      <c r="DQM190" s="11"/>
      <c r="DQN190" s="12"/>
      <c r="DQW190" s="11"/>
      <c r="DQX190" s="12"/>
      <c r="DRG190" s="11"/>
      <c r="DRH190" s="12"/>
      <c r="DRQ190" s="11"/>
      <c r="DRR190" s="12"/>
      <c r="DSA190" s="11"/>
      <c r="DSB190" s="12"/>
      <c r="DSK190" s="11"/>
      <c r="DSL190" s="12"/>
      <c r="DSU190" s="11"/>
      <c r="DSV190" s="12"/>
      <c r="DTE190" s="11"/>
      <c r="DTF190" s="12"/>
      <c r="DTO190" s="11"/>
      <c r="DTP190" s="12"/>
      <c r="DTY190" s="11"/>
      <c r="DTZ190" s="12"/>
      <c r="DUI190" s="11"/>
      <c r="DUJ190" s="12"/>
      <c r="DUS190" s="11"/>
      <c r="DUT190" s="12"/>
      <c r="DVC190" s="11"/>
      <c r="DVD190" s="12"/>
      <c r="DVM190" s="11"/>
      <c r="DVN190" s="12"/>
      <c r="DVW190" s="11"/>
      <c r="DVX190" s="12"/>
      <c r="DWG190" s="11"/>
      <c r="DWH190" s="12"/>
      <c r="DWQ190" s="11"/>
      <c r="DWR190" s="12"/>
      <c r="DXA190" s="11"/>
      <c r="DXB190" s="12"/>
      <c r="DXK190" s="11"/>
      <c r="DXL190" s="12"/>
      <c r="DXU190" s="11"/>
      <c r="DXV190" s="12"/>
      <c r="DYE190" s="11"/>
      <c r="DYF190" s="12"/>
      <c r="DYO190" s="11"/>
      <c r="DYP190" s="12"/>
      <c r="DYY190" s="11"/>
      <c r="DYZ190" s="12"/>
      <c r="DZI190" s="11"/>
      <c r="DZJ190" s="12"/>
      <c r="DZS190" s="11"/>
      <c r="DZT190" s="12"/>
      <c r="EAC190" s="11"/>
      <c r="EAD190" s="12"/>
      <c r="EAM190" s="11"/>
      <c r="EAN190" s="12"/>
      <c r="EAW190" s="11"/>
      <c r="EAX190" s="12"/>
      <c r="EBG190" s="11"/>
      <c r="EBH190" s="12"/>
      <c r="EBQ190" s="11"/>
      <c r="EBR190" s="12"/>
      <c r="ECA190" s="11"/>
      <c r="ECB190" s="12"/>
      <c r="ECK190" s="11"/>
      <c r="ECL190" s="12"/>
      <c r="ECU190" s="11"/>
      <c r="ECV190" s="12"/>
      <c r="EDE190" s="11"/>
      <c r="EDF190" s="12"/>
      <c r="EDO190" s="11"/>
      <c r="EDP190" s="12"/>
      <c r="EDY190" s="11"/>
      <c r="EDZ190" s="12"/>
      <c r="EEI190" s="11"/>
      <c r="EEJ190" s="12"/>
      <c r="EES190" s="11"/>
      <c r="EET190" s="12"/>
      <c r="EFC190" s="11"/>
      <c r="EFD190" s="12"/>
      <c r="EFM190" s="11"/>
      <c r="EFN190" s="12"/>
      <c r="EFW190" s="11"/>
      <c r="EFX190" s="12"/>
      <c r="EGG190" s="11"/>
      <c r="EGH190" s="12"/>
      <c r="EGQ190" s="11"/>
      <c r="EGR190" s="12"/>
      <c r="EHA190" s="11"/>
      <c r="EHB190" s="12"/>
      <c r="EHK190" s="11"/>
      <c r="EHL190" s="12"/>
      <c r="EHU190" s="11"/>
      <c r="EHV190" s="12"/>
      <c r="EIE190" s="11"/>
      <c r="EIF190" s="12"/>
      <c r="EIO190" s="11"/>
      <c r="EIP190" s="12"/>
      <c r="EIY190" s="11"/>
      <c r="EIZ190" s="12"/>
      <c r="EJI190" s="11"/>
      <c r="EJJ190" s="12"/>
      <c r="EJS190" s="11"/>
      <c r="EJT190" s="12"/>
      <c r="EKC190" s="11"/>
      <c r="EKD190" s="12"/>
      <c r="EKM190" s="11"/>
      <c r="EKN190" s="12"/>
      <c r="EKW190" s="11"/>
      <c r="EKX190" s="12"/>
      <c r="ELG190" s="11"/>
      <c r="ELH190" s="12"/>
      <c r="ELQ190" s="11"/>
      <c r="ELR190" s="12"/>
      <c r="EMA190" s="11"/>
      <c r="EMB190" s="12"/>
      <c r="EMK190" s="11"/>
      <c r="EML190" s="12"/>
      <c r="EMU190" s="11"/>
      <c r="EMV190" s="12"/>
      <c r="ENE190" s="11"/>
      <c r="ENF190" s="12"/>
      <c r="ENO190" s="11"/>
      <c r="ENP190" s="12"/>
      <c r="ENY190" s="11"/>
      <c r="ENZ190" s="12"/>
      <c r="EOI190" s="11"/>
      <c r="EOJ190" s="12"/>
      <c r="EOS190" s="11"/>
      <c r="EOT190" s="12"/>
      <c r="EPC190" s="11"/>
      <c r="EPD190" s="12"/>
      <c r="EPM190" s="11"/>
      <c r="EPN190" s="12"/>
      <c r="EPW190" s="11"/>
      <c r="EPX190" s="12"/>
      <c r="EQG190" s="11"/>
      <c r="EQH190" s="12"/>
      <c r="EQQ190" s="11"/>
      <c r="EQR190" s="12"/>
      <c r="ERA190" s="11"/>
      <c r="ERB190" s="12"/>
      <c r="ERK190" s="11"/>
      <c r="ERL190" s="12"/>
      <c r="ERU190" s="11"/>
      <c r="ERV190" s="12"/>
      <c r="ESE190" s="11"/>
      <c r="ESF190" s="12"/>
      <c r="ESO190" s="11"/>
      <c r="ESP190" s="12"/>
      <c r="ESY190" s="11"/>
      <c r="ESZ190" s="12"/>
      <c r="ETI190" s="11"/>
      <c r="ETJ190" s="12"/>
      <c r="ETS190" s="11"/>
      <c r="ETT190" s="12"/>
      <c r="EUC190" s="11"/>
      <c r="EUD190" s="12"/>
      <c r="EUM190" s="11"/>
      <c r="EUN190" s="12"/>
      <c r="EUW190" s="11"/>
      <c r="EUX190" s="12"/>
      <c r="EVG190" s="11"/>
      <c r="EVH190" s="12"/>
      <c r="EVQ190" s="11"/>
      <c r="EVR190" s="12"/>
      <c r="EWA190" s="11"/>
      <c r="EWB190" s="12"/>
      <c r="EWK190" s="11"/>
      <c r="EWL190" s="12"/>
      <c r="EWU190" s="11"/>
      <c r="EWV190" s="12"/>
      <c r="EXE190" s="11"/>
      <c r="EXF190" s="12"/>
      <c r="EXO190" s="11"/>
      <c r="EXP190" s="12"/>
      <c r="EXY190" s="11"/>
      <c r="EXZ190" s="12"/>
      <c r="EYI190" s="11"/>
      <c r="EYJ190" s="12"/>
      <c r="EYS190" s="11"/>
      <c r="EYT190" s="12"/>
      <c r="EZC190" s="11"/>
      <c r="EZD190" s="12"/>
      <c r="EZM190" s="11"/>
      <c r="EZN190" s="12"/>
      <c r="EZW190" s="11"/>
      <c r="EZX190" s="12"/>
      <c r="FAG190" s="11"/>
      <c r="FAH190" s="12"/>
      <c r="FAQ190" s="11"/>
      <c r="FAR190" s="12"/>
      <c r="FBA190" s="11"/>
      <c r="FBB190" s="12"/>
      <c r="FBK190" s="11"/>
      <c r="FBL190" s="12"/>
      <c r="FBU190" s="11"/>
      <c r="FBV190" s="12"/>
      <c r="FCE190" s="11"/>
      <c r="FCF190" s="12"/>
      <c r="FCO190" s="11"/>
      <c r="FCP190" s="12"/>
      <c r="FCY190" s="11"/>
      <c r="FCZ190" s="12"/>
      <c r="FDI190" s="11"/>
      <c r="FDJ190" s="12"/>
      <c r="FDS190" s="11"/>
      <c r="FDT190" s="12"/>
      <c r="FEC190" s="11"/>
      <c r="FED190" s="12"/>
      <c r="FEM190" s="11"/>
      <c r="FEN190" s="12"/>
      <c r="FEW190" s="11"/>
      <c r="FEX190" s="12"/>
      <c r="FFG190" s="11"/>
      <c r="FFH190" s="12"/>
      <c r="FFQ190" s="11"/>
      <c r="FFR190" s="12"/>
      <c r="FGA190" s="11"/>
      <c r="FGB190" s="12"/>
      <c r="FGK190" s="11"/>
      <c r="FGL190" s="12"/>
      <c r="FGU190" s="11"/>
      <c r="FGV190" s="12"/>
      <c r="FHE190" s="11"/>
      <c r="FHF190" s="12"/>
      <c r="FHO190" s="11"/>
      <c r="FHP190" s="12"/>
      <c r="FHY190" s="11"/>
      <c r="FHZ190" s="12"/>
      <c r="FII190" s="11"/>
      <c r="FIJ190" s="12"/>
      <c r="FIS190" s="11"/>
      <c r="FIT190" s="12"/>
      <c r="FJC190" s="11"/>
      <c r="FJD190" s="12"/>
      <c r="FJM190" s="11"/>
      <c r="FJN190" s="12"/>
      <c r="FJW190" s="11"/>
      <c r="FJX190" s="12"/>
      <c r="FKG190" s="11"/>
      <c r="FKH190" s="12"/>
      <c r="FKQ190" s="11"/>
      <c r="FKR190" s="12"/>
      <c r="FLA190" s="11"/>
      <c r="FLB190" s="12"/>
      <c r="FLK190" s="11"/>
      <c r="FLL190" s="12"/>
      <c r="FLU190" s="11"/>
      <c r="FLV190" s="12"/>
      <c r="FME190" s="11"/>
      <c r="FMF190" s="12"/>
      <c r="FMO190" s="11"/>
      <c r="FMP190" s="12"/>
      <c r="FMY190" s="11"/>
      <c r="FMZ190" s="12"/>
      <c r="FNI190" s="11"/>
      <c r="FNJ190" s="12"/>
      <c r="FNS190" s="11"/>
      <c r="FNT190" s="12"/>
      <c r="FOC190" s="11"/>
      <c r="FOD190" s="12"/>
      <c r="FOM190" s="11"/>
      <c r="FON190" s="12"/>
      <c r="FOW190" s="11"/>
      <c r="FOX190" s="12"/>
      <c r="FPG190" s="11"/>
      <c r="FPH190" s="12"/>
      <c r="FPQ190" s="11"/>
      <c r="FPR190" s="12"/>
      <c r="FQA190" s="11"/>
      <c r="FQB190" s="12"/>
      <c r="FQK190" s="11"/>
      <c r="FQL190" s="12"/>
      <c r="FQU190" s="11"/>
      <c r="FQV190" s="12"/>
      <c r="FRE190" s="11"/>
      <c r="FRF190" s="12"/>
      <c r="FRO190" s="11"/>
      <c r="FRP190" s="12"/>
      <c r="FRY190" s="11"/>
      <c r="FRZ190" s="12"/>
      <c r="FSI190" s="11"/>
      <c r="FSJ190" s="12"/>
      <c r="FSS190" s="11"/>
      <c r="FST190" s="12"/>
      <c r="FTC190" s="11"/>
      <c r="FTD190" s="12"/>
      <c r="FTM190" s="11"/>
      <c r="FTN190" s="12"/>
      <c r="FTW190" s="11"/>
      <c r="FTX190" s="12"/>
      <c r="FUG190" s="11"/>
      <c r="FUH190" s="12"/>
      <c r="FUQ190" s="11"/>
      <c r="FUR190" s="12"/>
      <c r="FVA190" s="11"/>
      <c r="FVB190" s="12"/>
      <c r="FVK190" s="11"/>
      <c r="FVL190" s="12"/>
      <c r="FVU190" s="11"/>
      <c r="FVV190" s="12"/>
      <c r="FWE190" s="11"/>
      <c r="FWF190" s="12"/>
      <c r="FWO190" s="11"/>
      <c r="FWP190" s="12"/>
      <c r="FWY190" s="11"/>
      <c r="FWZ190" s="12"/>
      <c r="FXI190" s="11"/>
      <c r="FXJ190" s="12"/>
      <c r="FXS190" s="11"/>
      <c r="FXT190" s="12"/>
      <c r="FYC190" s="11"/>
      <c r="FYD190" s="12"/>
      <c r="FYM190" s="11"/>
      <c r="FYN190" s="12"/>
      <c r="FYW190" s="11"/>
      <c r="FYX190" s="12"/>
      <c r="FZG190" s="11"/>
      <c r="FZH190" s="12"/>
      <c r="FZQ190" s="11"/>
      <c r="FZR190" s="12"/>
      <c r="GAA190" s="11"/>
      <c r="GAB190" s="12"/>
      <c r="GAK190" s="11"/>
      <c r="GAL190" s="12"/>
      <c r="GAU190" s="11"/>
      <c r="GAV190" s="12"/>
      <c r="GBE190" s="11"/>
      <c r="GBF190" s="12"/>
      <c r="GBO190" s="11"/>
      <c r="GBP190" s="12"/>
      <c r="GBY190" s="11"/>
      <c r="GBZ190" s="12"/>
      <c r="GCI190" s="11"/>
      <c r="GCJ190" s="12"/>
      <c r="GCS190" s="11"/>
      <c r="GCT190" s="12"/>
      <c r="GDC190" s="11"/>
      <c r="GDD190" s="12"/>
      <c r="GDM190" s="11"/>
      <c r="GDN190" s="12"/>
      <c r="GDW190" s="11"/>
      <c r="GDX190" s="12"/>
      <c r="GEG190" s="11"/>
      <c r="GEH190" s="12"/>
      <c r="GEQ190" s="11"/>
      <c r="GER190" s="12"/>
      <c r="GFA190" s="11"/>
      <c r="GFB190" s="12"/>
      <c r="GFK190" s="11"/>
      <c r="GFL190" s="12"/>
      <c r="GFU190" s="11"/>
      <c r="GFV190" s="12"/>
      <c r="GGE190" s="11"/>
      <c r="GGF190" s="12"/>
      <c r="GGO190" s="11"/>
      <c r="GGP190" s="12"/>
      <c r="GGY190" s="11"/>
      <c r="GGZ190" s="12"/>
      <c r="GHI190" s="11"/>
      <c r="GHJ190" s="12"/>
      <c r="GHS190" s="11"/>
      <c r="GHT190" s="12"/>
      <c r="GIC190" s="11"/>
      <c r="GID190" s="12"/>
      <c r="GIM190" s="11"/>
      <c r="GIN190" s="12"/>
      <c r="GIW190" s="11"/>
      <c r="GIX190" s="12"/>
      <c r="GJG190" s="11"/>
      <c r="GJH190" s="12"/>
      <c r="GJQ190" s="11"/>
      <c r="GJR190" s="12"/>
      <c r="GKA190" s="11"/>
      <c r="GKB190" s="12"/>
      <c r="GKK190" s="11"/>
      <c r="GKL190" s="12"/>
      <c r="GKU190" s="11"/>
      <c r="GKV190" s="12"/>
      <c r="GLE190" s="11"/>
      <c r="GLF190" s="12"/>
      <c r="GLO190" s="11"/>
      <c r="GLP190" s="12"/>
      <c r="GLY190" s="11"/>
      <c r="GLZ190" s="12"/>
      <c r="GMI190" s="11"/>
      <c r="GMJ190" s="12"/>
      <c r="GMS190" s="11"/>
      <c r="GMT190" s="12"/>
      <c r="GNC190" s="11"/>
      <c r="GND190" s="12"/>
      <c r="GNM190" s="11"/>
      <c r="GNN190" s="12"/>
      <c r="GNW190" s="11"/>
      <c r="GNX190" s="12"/>
      <c r="GOG190" s="11"/>
      <c r="GOH190" s="12"/>
      <c r="GOQ190" s="11"/>
      <c r="GOR190" s="12"/>
      <c r="GPA190" s="11"/>
      <c r="GPB190" s="12"/>
      <c r="GPK190" s="11"/>
      <c r="GPL190" s="12"/>
      <c r="GPU190" s="11"/>
      <c r="GPV190" s="12"/>
      <c r="GQE190" s="11"/>
      <c r="GQF190" s="12"/>
      <c r="GQO190" s="11"/>
      <c r="GQP190" s="12"/>
      <c r="GQY190" s="11"/>
      <c r="GQZ190" s="12"/>
      <c r="GRI190" s="11"/>
      <c r="GRJ190" s="12"/>
      <c r="GRS190" s="11"/>
      <c r="GRT190" s="12"/>
      <c r="GSC190" s="11"/>
      <c r="GSD190" s="12"/>
      <c r="GSM190" s="11"/>
      <c r="GSN190" s="12"/>
      <c r="GSW190" s="11"/>
      <c r="GSX190" s="12"/>
      <c r="GTG190" s="11"/>
      <c r="GTH190" s="12"/>
      <c r="GTQ190" s="11"/>
      <c r="GTR190" s="12"/>
      <c r="GUA190" s="11"/>
      <c r="GUB190" s="12"/>
      <c r="GUK190" s="11"/>
      <c r="GUL190" s="12"/>
      <c r="GUU190" s="11"/>
      <c r="GUV190" s="12"/>
      <c r="GVE190" s="11"/>
      <c r="GVF190" s="12"/>
      <c r="GVO190" s="11"/>
      <c r="GVP190" s="12"/>
      <c r="GVY190" s="11"/>
      <c r="GVZ190" s="12"/>
      <c r="GWI190" s="11"/>
      <c r="GWJ190" s="12"/>
      <c r="GWS190" s="11"/>
      <c r="GWT190" s="12"/>
      <c r="GXC190" s="11"/>
      <c r="GXD190" s="12"/>
      <c r="GXM190" s="11"/>
      <c r="GXN190" s="12"/>
      <c r="GXW190" s="11"/>
      <c r="GXX190" s="12"/>
      <c r="GYG190" s="11"/>
      <c r="GYH190" s="12"/>
      <c r="GYQ190" s="11"/>
      <c r="GYR190" s="12"/>
      <c r="GZA190" s="11"/>
      <c r="GZB190" s="12"/>
      <c r="GZK190" s="11"/>
      <c r="GZL190" s="12"/>
      <c r="GZU190" s="11"/>
      <c r="GZV190" s="12"/>
      <c r="HAE190" s="11"/>
      <c r="HAF190" s="12"/>
      <c r="HAO190" s="11"/>
      <c r="HAP190" s="12"/>
      <c r="HAY190" s="11"/>
      <c r="HAZ190" s="12"/>
      <c r="HBI190" s="11"/>
      <c r="HBJ190" s="12"/>
      <c r="HBS190" s="11"/>
      <c r="HBT190" s="12"/>
      <c r="HCC190" s="11"/>
      <c r="HCD190" s="12"/>
      <c r="HCM190" s="11"/>
      <c r="HCN190" s="12"/>
      <c r="HCW190" s="11"/>
      <c r="HCX190" s="12"/>
      <c r="HDG190" s="11"/>
      <c r="HDH190" s="12"/>
      <c r="HDQ190" s="11"/>
      <c r="HDR190" s="12"/>
      <c r="HEA190" s="11"/>
      <c r="HEB190" s="12"/>
      <c r="HEK190" s="11"/>
      <c r="HEL190" s="12"/>
      <c r="HEU190" s="11"/>
      <c r="HEV190" s="12"/>
      <c r="HFE190" s="11"/>
      <c r="HFF190" s="12"/>
      <c r="HFO190" s="11"/>
      <c r="HFP190" s="12"/>
      <c r="HFY190" s="11"/>
      <c r="HFZ190" s="12"/>
      <c r="HGI190" s="11"/>
      <c r="HGJ190" s="12"/>
      <c r="HGS190" s="11"/>
      <c r="HGT190" s="12"/>
      <c r="HHC190" s="11"/>
      <c r="HHD190" s="12"/>
      <c r="HHM190" s="11"/>
      <c r="HHN190" s="12"/>
      <c r="HHW190" s="11"/>
      <c r="HHX190" s="12"/>
      <c r="HIG190" s="11"/>
      <c r="HIH190" s="12"/>
      <c r="HIQ190" s="11"/>
      <c r="HIR190" s="12"/>
      <c r="HJA190" s="11"/>
      <c r="HJB190" s="12"/>
      <c r="HJK190" s="11"/>
      <c r="HJL190" s="12"/>
      <c r="HJU190" s="11"/>
      <c r="HJV190" s="12"/>
      <c r="HKE190" s="11"/>
      <c r="HKF190" s="12"/>
      <c r="HKO190" s="11"/>
      <c r="HKP190" s="12"/>
      <c r="HKY190" s="11"/>
      <c r="HKZ190" s="12"/>
      <c r="HLI190" s="11"/>
      <c r="HLJ190" s="12"/>
      <c r="HLS190" s="11"/>
      <c r="HLT190" s="12"/>
      <c r="HMC190" s="11"/>
      <c r="HMD190" s="12"/>
      <c r="HMM190" s="11"/>
      <c r="HMN190" s="12"/>
      <c r="HMW190" s="11"/>
      <c r="HMX190" s="12"/>
      <c r="HNG190" s="11"/>
      <c r="HNH190" s="12"/>
      <c r="HNQ190" s="11"/>
      <c r="HNR190" s="12"/>
      <c r="HOA190" s="11"/>
      <c r="HOB190" s="12"/>
      <c r="HOK190" s="11"/>
      <c r="HOL190" s="12"/>
      <c r="HOU190" s="11"/>
      <c r="HOV190" s="12"/>
      <c r="HPE190" s="11"/>
      <c r="HPF190" s="12"/>
      <c r="HPO190" s="11"/>
      <c r="HPP190" s="12"/>
      <c r="HPY190" s="11"/>
      <c r="HPZ190" s="12"/>
      <c r="HQI190" s="11"/>
      <c r="HQJ190" s="12"/>
      <c r="HQS190" s="11"/>
      <c r="HQT190" s="12"/>
      <c r="HRC190" s="11"/>
      <c r="HRD190" s="12"/>
      <c r="HRM190" s="11"/>
      <c r="HRN190" s="12"/>
      <c r="HRW190" s="11"/>
      <c r="HRX190" s="12"/>
      <c r="HSG190" s="11"/>
      <c r="HSH190" s="12"/>
      <c r="HSQ190" s="11"/>
      <c r="HSR190" s="12"/>
      <c r="HTA190" s="11"/>
      <c r="HTB190" s="12"/>
      <c r="HTK190" s="11"/>
      <c r="HTL190" s="12"/>
      <c r="HTU190" s="11"/>
      <c r="HTV190" s="12"/>
      <c r="HUE190" s="11"/>
      <c r="HUF190" s="12"/>
      <c r="HUO190" s="11"/>
      <c r="HUP190" s="12"/>
      <c r="HUY190" s="11"/>
      <c r="HUZ190" s="12"/>
      <c r="HVI190" s="11"/>
      <c r="HVJ190" s="12"/>
      <c r="HVS190" s="11"/>
      <c r="HVT190" s="12"/>
      <c r="HWC190" s="11"/>
      <c r="HWD190" s="12"/>
      <c r="HWM190" s="11"/>
      <c r="HWN190" s="12"/>
      <c r="HWW190" s="11"/>
      <c r="HWX190" s="12"/>
      <c r="HXG190" s="11"/>
      <c r="HXH190" s="12"/>
      <c r="HXQ190" s="11"/>
      <c r="HXR190" s="12"/>
      <c r="HYA190" s="11"/>
      <c r="HYB190" s="12"/>
      <c r="HYK190" s="11"/>
      <c r="HYL190" s="12"/>
      <c r="HYU190" s="11"/>
      <c r="HYV190" s="12"/>
      <c r="HZE190" s="11"/>
      <c r="HZF190" s="12"/>
      <c r="HZO190" s="11"/>
      <c r="HZP190" s="12"/>
      <c r="HZY190" s="11"/>
      <c r="HZZ190" s="12"/>
      <c r="IAI190" s="11"/>
      <c r="IAJ190" s="12"/>
      <c r="IAS190" s="11"/>
      <c r="IAT190" s="12"/>
      <c r="IBC190" s="11"/>
      <c r="IBD190" s="12"/>
      <c r="IBM190" s="11"/>
      <c r="IBN190" s="12"/>
      <c r="IBW190" s="11"/>
      <c r="IBX190" s="12"/>
      <c r="ICG190" s="11"/>
      <c r="ICH190" s="12"/>
      <c r="ICQ190" s="11"/>
      <c r="ICR190" s="12"/>
      <c r="IDA190" s="11"/>
      <c r="IDB190" s="12"/>
      <c r="IDK190" s="11"/>
      <c r="IDL190" s="12"/>
      <c r="IDU190" s="11"/>
      <c r="IDV190" s="12"/>
      <c r="IEE190" s="11"/>
      <c r="IEF190" s="12"/>
      <c r="IEO190" s="11"/>
      <c r="IEP190" s="12"/>
      <c r="IEY190" s="11"/>
      <c r="IEZ190" s="12"/>
      <c r="IFI190" s="11"/>
      <c r="IFJ190" s="12"/>
      <c r="IFS190" s="11"/>
      <c r="IFT190" s="12"/>
      <c r="IGC190" s="11"/>
      <c r="IGD190" s="12"/>
      <c r="IGM190" s="11"/>
      <c r="IGN190" s="12"/>
      <c r="IGW190" s="11"/>
      <c r="IGX190" s="12"/>
      <c r="IHG190" s="11"/>
      <c r="IHH190" s="12"/>
      <c r="IHQ190" s="11"/>
      <c r="IHR190" s="12"/>
      <c r="IIA190" s="11"/>
      <c r="IIB190" s="12"/>
      <c r="IIK190" s="11"/>
      <c r="IIL190" s="12"/>
      <c r="IIU190" s="11"/>
      <c r="IIV190" s="12"/>
      <c r="IJE190" s="11"/>
      <c r="IJF190" s="12"/>
      <c r="IJO190" s="11"/>
      <c r="IJP190" s="12"/>
      <c r="IJY190" s="11"/>
      <c r="IJZ190" s="12"/>
      <c r="IKI190" s="11"/>
      <c r="IKJ190" s="12"/>
      <c r="IKS190" s="11"/>
      <c r="IKT190" s="12"/>
      <c r="ILC190" s="11"/>
      <c r="ILD190" s="12"/>
      <c r="ILM190" s="11"/>
      <c r="ILN190" s="12"/>
      <c r="ILW190" s="11"/>
      <c r="ILX190" s="12"/>
      <c r="IMG190" s="11"/>
      <c r="IMH190" s="12"/>
      <c r="IMQ190" s="11"/>
      <c r="IMR190" s="12"/>
      <c r="INA190" s="11"/>
      <c r="INB190" s="12"/>
      <c r="INK190" s="11"/>
      <c r="INL190" s="12"/>
      <c r="INU190" s="11"/>
      <c r="INV190" s="12"/>
      <c r="IOE190" s="11"/>
      <c r="IOF190" s="12"/>
      <c r="IOO190" s="11"/>
      <c r="IOP190" s="12"/>
      <c r="IOY190" s="11"/>
      <c r="IOZ190" s="12"/>
      <c r="IPI190" s="11"/>
      <c r="IPJ190" s="12"/>
      <c r="IPS190" s="11"/>
      <c r="IPT190" s="12"/>
      <c r="IQC190" s="11"/>
      <c r="IQD190" s="12"/>
      <c r="IQM190" s="11"/>
      <c r="IQN190" s="12"/>
      <c r="IQW190" s="11"/>
      <c r="IQX190" s="12"/>
      <c r="IRG190" s="11"/>
      <c r="IRH190" s="12"/>
      <c r="IRQ190" s="11"/>
      <c r="IRR190" s="12"/>
      <c r="ISA190" s="11"/>
      <c r="ISB190" s="12"/>
      <c r="ISK190" s="11"/>
      <c r="ISL190" s="12"/>
      <c r="ISU190" s="11"/>
      <c r="ISV190" s="12"/>
      <c r="ITE190" s="11"/>
      <c r="ITF190" s="12"/>
      <c r="ITO190" s="11"/>
      <c r="ITP190" s="12"/>
      <c r="ITY190" s="11"/>
      <c r="ITZ190" s="12"/>
      <c r="IUI190" s="11"/>
      <c r="IUJ190" s="12"/>
      <c r="IUS190" s="11"/>
      <c r="IUT190" s="12"/>
      <c r="IVC190" s="11"/>
      <c r="IVD190" s="12"/>
      <c r="IVM190" s="11"/>
      <c r="IVN190" s="12"/>
      <c r="IVW190" s="11"/>
      <c r="IVX190" s="12"/>
      <c r="IWG190" s="11"/>
      <c r="IWH190" s="12"/>
      <c r="IWQ190" s="11"/>
      <c r="IWR190" s="12"/>
      <c r="IXA190" s="11"/>
      <c r="IXB190" s="12"/>
      <c r="IXK190" s="11"/>
      <c r="IXL190" s="12"/>
      <c r="IXU190" s="11"/>
      <c r="IXV190" s="12"/>
      <c r="IYE190" s="11"/>
      <c r="IYF190" s="12"/>
      <c r="IYO190" s="11"/>
      <c r="IYP190" s="12"/>
      <c r="IYY190" s="11"/>
      <c r="IYZ190" s="12"/>
      <c r="IZI190" s="11"/>
      <c r="IZJ190" s="12"/>
      <c r="IZS190" s="11"/>
      <c r="IZT190" s="12"/>
      <c r="JAC190" s="11"/>
      <c r="JAD190" s="12"/>
      <c r="JAM190" s="11"/>
      <c r="JAN190" s="12"/>
      <c r="JAW190" s="11"/>
      <c r="JAX190" s="12"/>
      <c r="JBG190" s="11"/>
      <c r="JBH190" s="12"/>
      <c r="JBQ190" s="11"/>
      <c r="JBR190" s="12"/>
      <c r="JCA190" s="11"/>
      <c r="JCB190" s="12"/>
      <c r="JCK190" s="11"/>
      <c r="JCL190" s="12"/>
      <c r="JCU190" s="11"/>
      <c r="JCV190" s="12"/>
      <c r="JDE190" s="11"/>
      <c r="JDF190" s="12"/>
      <c r="JDO190" s="11"/>
      <c r="JDP190" s="12"/>
      <c r="JDY190" s="11"/>
      <c r="JDZ190" s="12"/>
      <c r="JEI190" s="11"/>
      <c r="JEJ190" s="12"/>
      <c r="JES190" s="11"/>
      <c r="JET190" s="12"/>
      <c r="JFC190" s="11"/>
      <c r="JFD190" s="12"/>
      <c r="JFM190" s="11"/>
      <c r="JFN190" s="12"/>
      <c r="JFW190" s="11"/>
      <c r="JFX190" s="12"/>
      <c r="JGG190" s="11"/>
      <c r="JGH190" s="12"/>
      <c r="JGQ190" s="11"/>
      <c r="JGR190" s="12"/>
      <c r="JHA190" s="11"/>
      <c r="JHB190" s="12"/>
      <c r="JHK190" s="11"/>
      <c r="JHL190" s="12"/>
      <c r="JHU190" s="11"/>
      <c r="JHV190" s="12"/>
      <c r="JIE190" s="11"/>
      <c r="JIF190" s="12"/>
      <c r="JIO190" s="11"/>
      <c r="JIP190" s="12"/>
      <c r="JIY190" s="11"/>
      <c r="JIZ190" s="12"/>
      <c r="JJI190" s="11"/>
      <c r="JJJ190" s="12"/>
      <c r="JJS190" s="11"/>
      <c r="JJT190" s="12"/>
      <c r="JKC190" s="11"/>
      <c r="JKD190" s="12"/>
      <c r="JKM190" s="11"/>
      <c r="JKN190" s="12"/>
      <c r="JKW190" s="11"/>
      <c r="JKX190" s="12"/>
      <c r="JLG190" s="11"/>
      <c r="JLH190" s="12"/>
      <c r="JLQ190" s="11"/>
      <c r="JLR190" s="12"/>
      <c r="JMA190" s="11"/>
      <c r="JMB190" s="12"/>
      <c r="JMK190" s="11"/>
      <c r="JML190" s="12"/>
      <c r="JMU190" s="11"/>
      <c r="JMV190" s="12"/>
      <c r="JNE190" s="11"/>
      <c r="JNF190" s="12"/>
      <c r="JNO190" s="11"/>
      <c r="JNP190" s="12"/>
      <c r="JNY190" s="11"/>
      <c r="JNZ190" s="12"/>
      <c r="JOI190" s="11"/>
      <c r="JOJ190" s="12"/>
      <c r="JOS190" s="11"/>
      <c r="JOT190" s="12"/>
      <c r="JPC190" s="11"/>
      <c r="JPD190" s="12"/>
      <c r="JPM190" s="11"/>
      <c r="JPN190" s="12"/>
      <c r="JPW190" s="11"/>
      <c r="JPX190" s="12"/>
      <c r="JQG190" s="11"/>
      <c r="JQH190" s="12"/>
      <c r="JQQ190" s="11"/>
      <c r="JQR190" s="12"/>
      <c r="JRA190" s="11"/>
      <c r="JRB190" s="12"/>
      <c r="JRK190" s="11"/>
      <c r="JRL190" s="12"/>
      <c r="JRU190" s="11"/>
      <c r="JRV190" s="12"/>
      <c r="JSE190" s="11"/>
      <c r="JSF190" s="12"/>
      <c r="JSO190" s="11"/>
      <c r="JSP190" s="12"/>
      <c r="JSY190" s="11"/>
      <c r="JSZ190" s="12"/>
      <c r="JTI190" s="11"/>
      <c r="JTJ190" s="12"/>
      <c r="JTS190" s="11"/>
      <c r="JTT190" s="12"/>
      <c r="JUC190" s="11"/>
      <c r="JUD190" s="12"/>
      <c r="JUM190" s="11"/>
      <c r="JUN190" s="12"/>
      <c r="JUW190" s="11"/>
      <c r="JUX190" s="12"/>
      <c r="JVG190" s="11"/>
      <c r="JVH190" s="12"/>
      <c r="JVQ190" s="11"/>
      <c r="JVR190" s="12"/>
      <c r="JWA190" s="11"/>
      <c r="JWB190" s="12"/>
      <c r="JWK190" s="11"/>
      <c r="JWL190" s="12"/>
      <c r="JWU190" s="11"/>
      <c r="JWV190" s="12"/>
      <c r="JXE190" s="11"/>
      <c r="JXF190" s="12"/>
      <c r="JXO190" s="11"/>
      <c r="JXP190" s="12"/>
      <c r="JXY190" s="11"/>
      <c r="JXZ190" s="12"/>
      <c r="JYI190" s="11"/>
      <c r="JYJ190" s="12"/>
      <c r="JYS190" s="11"/>
      <c r="JYT190" s="12"/>
      <c r="JZC190" s="11"/>
      <c r="JZD190" s="12"/>
      <c r="JZM190" s="11"/>
      <c r="JZN190" s="12"/>
      <c r="JZW190" s="11"/>
      <c r="JZX190" s="12"/>
      <c r="KAG190" s="11"/>
      <c r="KAH190" s="12"/>
      <c r="KAQ190" s="11"/>
      <c r="KAR190" s="12"/>
      <c r="KBA190" s="11"/>
      <c r="KBB190" s="12"/>
      <c r="KBK190" s="11"/>
      <c r="KBL190" s="12"/>
      <c r="KBU190" s="11"/>
      <c r="KBV190" s="12"/>
      <c r="KCE190" s="11"/>
      <c r="KCF190" s="12"/>
      <c r="KCO190" s="11"/>
      <c r="KCP190" s="12"/>
      <c r="KCY190" s="11"/>
      <c r="KCZ190" s="12"/>
      <c r="KDI190" s="11"/>
      <c r="KDJ190" s="12"/>
      <c r="KDS190" s="11"/>
      <c r="KDT190" s="12"/>
      <c r="KEC190" s="11"/>
      <c r="KED190" s="12"/>
      <c r="KEM190" s="11"/>
      <c r="KEN190" s="12"/>
      <c r="KEW190" s="11"/>
      <c r="KEX190" s="12"/>
      <c r="KFG190" s="11"/>
      <c r="KFH190" s="12"/>
      <c r="KFQ190" s="11"/>
      <c r="KFR190" s="12"/>
      <c r="KGA190" s="11"/>
      <c r="KGB190" s="12"/>
      <c r="KGK190" s="11"/>
      <c r="KGL190" s="12"/>
      <c r="KGU190" s="11"/>
      <c r="KGV190" s="12"/>
      <c r="KHE190" s="11"/>
      <c r="KHF190" s="12"/>
      <c r="KHO190" s="11"/>
      <c r="KHP190" s="12"/>
      <c r="KHY190" s="11"/>
      <c r="KHZ190" s="12"/>
      <c r="KII190" s="11"/>
      <c r="KIJ190" s="12"/>
      <c r="KIS190" s="11"/>
      <c r="KIT190" s="12"/>
      <c r="KJC190" s="11"/>
      <c r="KJD190" s="12"/>
      <c r="KJM190" s="11"/>
      <c r="KJN190" s="12"/>
      <c r="KJW190" s="11"/>
      <c r="KJX190" s="12"/>
      <c r="KKG190" s="11"/>
      <c r="KKH190" s="12"/>
      <c r="KKQ190" s="11"/>
      <c r="KKR190" s="12"/>
      <c r="KLA190" s="11"/>
      <c r="KLB190" s="12"/>
      <c r="KLK190" s="11"/>
      <c r="KLL190" s="12"/>
      <c r="KLU190" s="11"/>
      <c r="KLV190" s="12"/>
      <c r="KME190" s="11"/>
      <c r="KMF190" s="12"/>
      <c r="KMO190" s="11"/>
      <c r="KMP190" s="12"/>
      <c r="KMY190" s="11"/>
      <c r="KMZ190" s="12"/>
      <c r="KNI190" s="11"/>
      <c r="KNJ190" s="12"/>
      <c r="KNS190" s="11"/>
      <c r="KNT190" s="12"/>
      <c r="KOC190" s="11"/>
      <c r="KOD190" s="12"/>
      <c r="KOM190" s="11"/>
      <c r="KON190" s="12"/>
      <c r="KOW190" s="11"/>
      <c r="KOX190" s="12"/>
      <c r="KPG190" s="11"/>
      <c r="KPH190" s="12"/>
      <c r="KPQ190" s="11"/>
      <c r="KPR190" s="12"/>
      <c r="KQA190" s="11"/>
      <c r="KQB190" s="12"/>
      <c r="KQK190" s="11"/>
      <c r="KQL190" s="12"/>
      <c r="KQU190" s="11"/>
      <c r="KQV190" s="12"/>
      <c r="KRE190" s="11"/>
      <c r="KRF190" s="12"/>
      <c r="KRO190" s="11"/>
      <c r="KRP190" s="12"/>
      <c r="KRY190" s="11"/>
      <c r="KRZ190" s="12"/>
      <c r="KSI190" s="11"/>
      <c r="KSJ190" s="12"/>
      <c r="KSS190" s="11"/>
      <c r="KST190" s="12"/>
      <c r="KTC190" s="11"/>
      <c r="KTD190" s="12"/>
      <c r="KTM190" s="11"/>
      <c r="KTN190" s="12"/>
      <c r="KTW190" s="11"/>
      <c r="KTX190" s="12"/>
      <c r="KUG190" s="11"/>
      <c r="KUH190" s="12"/>
      <c r="KUQ190" s="11"/>
      <c r="KUR190" s="12"/>
      <c r="KVA190" s="11"/>
      <c r="KVB190" s="12"/>
      <c r="KVK190" s="11"/>
      <c r="KVL190" s="12"/>
      <c r="KVU190" s="11"/>
      <c r="KVV190" s="12"/>
      <c r="KWE190" s="11"/>
      <c r="KWF190" s="12"/>
      <c r="KWO190" s="11"/>
      <c r="KWP190" s="12"/>
      <c r="KWY190" s="11"/>
      <c r="KWZ190" s="12"/>
      <c r="KXI190" s="11"/>
      <c r="KXJ190" s="12"/>
      <c r="KXS190" s="11"/>
      <c r="KXT190" s="12"/>
      <c r="KYC190" s="11"/>
      <c r="KYD190" s="12"/>
      <c r="KYM190" s="11"/>
      <c r="KYN190" s="12"/>
      <c r="KYW190" s="11"/>
      <c r="KYX190" s="12"/>
      <c r="KZG190" s="11"/>
      <c r="KZH190" s="12"/>
      <c r="KZQ190" s="11"/>
      <c r="KZR190" s="12"/>
      <c r="LAA190" s="11"/>
      <c r="LAB190" s="12"/>
      <c r="LAK190" s="11"/>
      <c r="LAL190" s="12"/>
      <c r="LAU190" s="11"/>
      <c r="LAV190" s="12"/>
      <c r="LBE190" s="11"/>
      <c r="LBF190" s="12"/>
      <c r="LBO190" s="11"/>
      <c r="LBP190" s="12"/>
      <c r="LBY190" s="11"/>
      <c r="LBZ190" s="12"/>
      <c r="LCI190" s="11"/>
      <c r="LCJ190" s="12"/>
      <c r="LCS190" s="11"/>
      <c r="LCT190" s="12"/>
      <c r="LDC190" s="11"/>
      <c r="LDD190" s="12"/>
      <c r="LDM190" s="11"/>
      <c r="LDN190" s="12"/>
      <c r="LDW190" s="11"/>
      <c r="LDX190" s="12"/>
      <c r="LEG190" s="11"/>
      <c r="LEH190" s="12"/>
      <c r="LEQ190" s="11"/>
      <c r="LER190" s="12"/>
      <c r="LFA190" s="11"/>
      <c r="LFB190" s="12"/>
      <c r="LFK190" s="11"/>
      <c r="LFL190" s="12"/>
      <c r="LFU190" s="11"/>
      <c r="LFV190" s="12"/>
      <c r="LGE190" s="11"/>
      <c r="LGF190" s="12"/>
      <c r="LGO190" s="11"/>
      <c r="LGP190" s="12"/>
      <c r="LGY190" s="11"/>
      <c r="LGZ190" s="12"/>
      <c r="LHI190" s="11"/>
      <c r="LHJ190" s="12"/>
      <c r="LHS190" s="11"/>
      <c r="LHT190" s="12"/>
      <c r="LIC190" s="11"/>
      <c r="LID190" s="12"/>
      <c r="LIM190" s="11"/>
      <c r="LIN190" s="12"/>
      <c r="LIW190" s="11"/>
      <c r="LIX190" s="12"/>
      <c r="LJG190" s="11"/>
      <c r="LJH190" s="12"/>
      <c r="LJQ190" s="11"/>
      <c r="LJR190" s="12"/>
      <c r="LKA190" s="11"/>
      <c r="LKB190" s="12"/>
      <c r="LKK190" s="11"/>
      <c r="LKL190" s="12"/>
      <c r="LKU190" s="11"/>
      <c r="LKV190" s="12"/>
      <c r="LLE190" s="11"/>
      <c r="LLF190" s="12"/>
      <c r="LLO190" s="11"/>
      <c r="LLP190" s="12"/>
      <c r="LLY190" s="11"/>
      <c r="LLZ190" s="12"/>
      <c r="LMI190" s="11"/>
      <c r="LMJ190" s="12"/>
      <c r="LMS190" s="11"/>
      <c r="LMT190" s="12"/>
      <c r="LNC190" s="11"/>
      <c r="LND190" s="12"/>
      <c r="LNM190" s="11"/>
      <c r="LNN190" s="12"/>
      <c r="LNW190" s="11"/>
      <c r="LNX190" s="12"/>
      <c r="LOG190" s="11"/>
      <c r="LOH190" s="12"/>
      <c r="LOQ190" s="11"/>
      <c r="LOR190" s="12"/>
      <c r="LPA190" s="11"/>
      <c r="LPB190" s="12"/>
      <c r="LPK190" s="11"/>
      <c r="LPL190" s="12"/>
      <c r="LPU190" s="11"/>
      <c r="LPV190" s="12"/>
      <c r="LQE190" s="11"/>
      <c r="LQF190" s="12"/>
      <c r="LQO190" s="11"/>
      <c r="LQP190" s="12"/>
      <c r="LQY190" s="11"/>
      <c r="LQZ190" s="12"/>
      <c r="LRI190" s="11"/>
      <c r="LRJ190" s="12"/>
      <c r="LRS190" s="11"/>
      <c r="LRT190" s="12"/>
      <c r="LSC190" s="11"/>
      <c r="LSD190" s="12"/>
      <c r="LSM190" s="11"/>
      <c r="LSN190" s="12"/>
      <c r="LSW190" s="11"/>
      <c r="LSX190" s="12"/>
      <c r="LTG190" s="11"/>
      <c r="LTH190" s="12"/>
      <c r="LTQ190" s="11"/>
      <c r="LTR190" s="12"/>
      <c r="LUA190" s="11"/>
      <c r="LUB190" s="12"/>
      <c r="LUK190" s="11"/>
      <c r="LUL190" s="12"/>
      <c r="LUU190" s="11"/>
      <c r="LUV190" s="12"/>
      <c r="LVE190" s="11"/>
      <c r="LVF190" s="12"/>
      <c r="LVO190" s="11"/>
      <c r="LVP190" s="12"/>
      <c r="LVY190" s="11"/>
      <c r="LVZ190" s="12"/>
      <c r="LWI190" s="11"/>
      <c r="LWJ190" s="12"/>
      <c r="LWS190" s="11"/>
      <c r="LWT190" s="12"/>
      <c r="LXC190" s="11"/>
      <c r="LXD190" s="12"/>
      <c r="LXM190" s="11"/>
      <c r="LXN190" s="12"/>
      <c r="LXW190" s="11"/>
      <c r="LXX190" s="12"/>
      <c r="LYG190" s="11"/>
      <c r="LYH190" s="12"/>
      <c r="LYQ190" s="11"/>
      <c r="LYR190" s="12"/>
      <c r="LZA190" s="11"/>
      <c r="LZB190" s="12"/>
      <c r="LZK190" s="11"/>
      <c r="LZL190" s="12"/>
      <c r="LZU190" s="11"/>
      <c r="LZV190" s="12"/>
      <c r="MAE190" s="11"/>
      <c r="MAF190" s="12"/>
      <c r="MAO190" s="11"/>
      <c r="MAP190" s="12"/>
      <c r="MAY190" s="11"/>
      <c r="MAZ190" s="12"/>
      <c r="MBI190" s="11"/>
      <c r="MBJ190" s="12"/>
      <c r="MBS190" s="11"/>
      <c r="MBT190" s="12"/>
      <c r="MCC190" s="11"/>
      <c r="MCD190" s="12"/>
      <c r="MCM190" s="11"/>
      <c r="MCN190" s="12"/>
      <c r="MCW190" s="11"/>
      <c r="MCX190" s="12"/>
      <c r="MDG190" s="11"/>
      <c r="MDH190" s="12"/>
      <c r="MDQ190" s="11"/>
      <c r="MDR190" s="12"/>
      <c r="MEA190" s="11"/>
      <c r="MEB190" s="12"/>
      <c r="MEK190" s="11"/>
      <c r="MEL190" s="12"/>
      <c r="MEU190" s="11"/>
      <c r="MEV190" s="12"/>
      <c r="MFE190" s="11"/>
      <c r="MFF190" s="12"/>
      <c r="MFO190" s="11"/>
      <c r="MFP190" s="12"/>
      <c r="MFY190" s="11"/>
      <c r="MFZ190" s="12"/>
      <c r="MGI190" s="11"/>
      <c r="MGJ190" s="12"/>
      <c r="MGS190" s="11"/>
      <c r="MGT190" s="12"/>
      <c r="MHC190" s="11"/>
      <c r="MHD190" s="12"/>
      <c r="MHM190" s="11"/>
      <c r="MHN190" s="12"/>
      <c r="MHW190" s="11"/>
      <c r="MHX190" s="12"/>
      <c r="MIG190" s="11"/>
      <c r="MIH190" s="12"/>
      <c r="MIQ190" s="11"/>
      <c r="MIR190" s="12"/>
      <c r="MJA190" s="11"/>
      <c r="MJB190" s="12"/>
      <c r="MJK190" s="11"/>
      <c r="MJL190" s="12"/>
      <c r="MJU190" s="11"/>
      <c r="MJV190" s="12"/>
      <c r="MKE190" s="11"/>
      <c r="MKF190" s="12"/>
      <c r="MKO190" s="11"/>
      <c r="MKP190" s="12"/>
      <c r="MKY190" s="11"/>
      <c r="MKZ190" s="12"/>
      <c r="MLI190" s="11"/>
      <c r="MLJ190" s="12"/>
      <c r="MLS190" s="11"/>
      <c r="MLT190" s="12"/>
      <c r="MMC190" s="11"/>
      <c r="MMD190" s="12"/>
      <c r="MMM190" s="11"/>
      <c r="MMN190" s="12"/>
      <c r="MMW190" s="11"/>
      <c r="MMX190" s="12"/>
      <c r="MNG190" s="11"/>
      <c r="MNH190" s="12"/>
      <c r="MNQ190" s="11"/>
      <c r="MNR190" s="12"/>
      <c r="MOA190" s="11"/>
      <c r="MOB190" s="12"/>
      <c r="MOK190" s="11"/>
      <c r="MOL190" s="12"/>
      <c r="MOU190" s="11"/>
      <c r="MOV190" s="12"/>
      <c r="MPE190" s="11"/>
      <c r="MPF190" s="12"/>
      <c r="MPO190" s="11"/>
      <c r="MPP190" s="12"/>
      <c r="MPY190" s="11"/>
      <c r="MPZ190" s="12"/>
      <c r="MQI190" s="11"/>
      <c r="MQJ190" s="12"/>
      <c r="MQS190" s="11"/>
      <c r="MQT190" s="12"/>
      <c r="MRC190" s="11"/>
      <c r="MRD190" s="12"/>
      <c r="MRM190" s="11"/>
      <c r="MRN190" s="12"/>
      <c r="MRW190" s="11"/>
      <c r="MRX190" s="12"/>
      <c r="MSG190" s="11"/>
      <c r="MSH190" s="12"/>
      <c r="MSQ190" s="11"/>
      <c r="MSR190" s="12"/>
      <c r="MTA190" s="11"/>
      <c r="MTB190" s="12"/>
      <c r="MTK190" s="11"/>
      <c r="MTL190" s="12"/>
      <c r="MTU190" s="11"/>
      <c r="MTV190" s="12"/>
      <c r="MUE190" s="11"/>
      <c r="MUF190" s="12"/>
      <c r="MUO190" s="11"/>
      <c r="MUP190" s="12"/>
      <c r="MUY190" s="11"/>
      <c r="MUZ190" s="12"/>
      <c r="MVI190" s="11"/>
      <c r="MVJ190" s="12"/>
      <c r="MVS190" s="11"/>
      <c r="MVT190" s="12"/>
      <c r="MWC190" s="11"/>
      <c r="MWD190" s="12"/>
      <c r="MWM190" s="11"/>
      <c r="MWN190" s="12"/>
      <c r="MWW190" s="11"/>
      <c r="MWX190" s="12"/>
      <c r="MXG190" s="11"/>
      <c r="MXH190" s="12"/>
      <c r="MXQ190" s="11"/>
      <c r="MXR190" s="12"/>
      <c r="MYA190" s="11"/>
      <c r="MYB190" s="12"/>
      <c r="MYK190" s="11"/>
      <c r="MYL190" s="12"/>
      <c r="MYU190" s="11"/>
      <c r="MYV190" s="12"/>
      <c r="MZE190" s="11"/>
      <c r="MZF190" s="12"/>
      <c r="MZO190" s="11"/>
      <c r="MZP190" s="12"/>
      <c r="MZY190" s="11"/>
      <c r="MZZ190" s="12"/>
      <c r="NAI190" s="11"/>
      <c r="NAJ190" s="12"/>
      <c r="NAS190" s="11"/>
      <c r="NAT190" s="12"/>
      <c r="NBC190" s="11"/>
      <c r="NBD190" s="12"/>
      <c r="NBM190" s="11"/>
      <c r="NBN190" s="12"/>
      <c r="NBW190" s="11"/>
      <c r="NBX190" s="12"/>
      <c r="NCG190" s="11"/>
      <c r="NCH190" s="12"/>
      <c r="NCQ190" s="11"/>
      <c r="NCR190" s="12"/>
      <c r="NDA190" s="11"/>
      <c r="NDB190" s="12"/>
      <c r="NDK190" s="11"/>
      <c r="NDL190" s="12"/>
      <c r="NDU190" s="11"/>
      <c r="NDV190" s="12"/>
      <c r="NEE190" s="11"/>
      <c r="NEF190" s="12"/>
      <c r="NEO190" s="11"/>
      <c r="NEP190" s="12"/>
      <c r="NEY190" s="11"/>
      <c r="NEZ190" s="12"/>
      <c r="NFI190" s="11"/>
      <c r="NFJ190" s="12"/>
      <c r="NFS190" s="11"/>
      <c r="NFT190" s="12"/>
      <c r="NGC190" s="11"/>
      <c r="NGD190" s="12"/>
      <c r="NGM190" s="11"/>
      <c r="NGN190" s="12"/>
      <c r="NGW190" s="11"/>
      <c r="NGX190" s="12"/>
      <c r="NHG190" s="11"/>
      <c r="NHH190" s="12"/>
      <c r="NHQ190" s="11"/>
      <c r="NHR190" s="12"/>
      <c r="NIA190" s="11"/>
      <c r="NIB190" s="12"/>
      <c r="NIK190" s="11"/>
      <c r="NIL190" s="12"/>
      <c r="NIU190" s="11"/>
      <c r="NIV190" s="12"/>
      <c r="NJE190" s="11"/>
      <c r="NJF190" s="12"/>
      <c r="NJO190" s="11"/>
      <c r="NJP190" s="12"/>
      <c r="NJY190" s="11"/>
      <c r="NJZ190" s="12"/>
      <c r="NKI190" s="11"/>
      <c r="NKJ190" s="12"/>
      <c r="NKS190" s="11"/>
      <c r="NKT190" s="12"/>
      <c r="NLC190" s="11"/>
      <c r="NLD190" s="12"/>
      <c r="NLM190" s="11"/>
      <c r="NLN190" s="12"/>
      <c r="NLW190" s="11"/>
      <c r="NLX190" s="12"/>
      <c r="NMG190" s="11"/>
      <c r="NMH190" s="12"/>
      <c r="NMQ190" s="11"/>
      <c r="NMR190" s="12"/>
      <c r="NNA190" s="11"/>
      <c r="NNB190" s="12"/>
      <c r="NNK190" s="11"/>
      <c r="NNL190" s="12"/>
      <c r="NNU190" s="11"/>
      <c r="NNV190" s="12"/>
      <c r="NOE190" s="11"/>
      <c r="NOF190" s="12"/>
      <c r="NOO190" s="11"/>
      <c r="NOP190" s="12"/>
      <c r="NOY190" s="11"/>
      <c r="NOZ190" s="12"/>
      <c r="NPI190" s="11"/>
      <c r="NPJ190" s="12"/>
      <c r="NPS190" s="11"/>
      <c r="NPT190" s="12"/>
      <c r="NQC190" s="11"/>
      <c r="NQD190" s="12"/>
      <c r="NQM190" s="11"/>
      <c r="NQN190" s="12"/>
      <c r="NQW190" s="11"/>
      <c r="NQX190" s="12"/>
      <c r="NRG190" s="11"/>
      <c r="NRH190" s="12"/>
      <c r="NRQ190" s="11"/>
      <c r="NRR190" s="12"/>
      <c r="NSA190" s="11"/>
      <c r="NSB190" s="12"/>
      <c r="NSK190" s="11"/>
      <c r="NSL190" s="12"/>
      <c r="NSU190" s="11"/>
      <c r="NSV190" s="12"/>
      <c r="NTE190" s="11"/>
      <c r="NTF190" s="12"/>
      <c r="NTO190" s="11"/>
      <c r="NTP190" s="12"/>
      <c r="NTY190" s="11"/>
      <c r="NTZ190" s="12"/>
      <c r="NUI190" s="11"/>
      <c r="NUJ190" s="12"/>
      <c r="NUS190" s="11"/>
      <c r="NUT190" s="12"/>
      <c r="NVC190" s="11"/>
      <c r="NVD190" s="12"/>
      <c r="NVM190" s="11"/>
      <c r="NVN190" s="12"/>
      <c r="NVW190" s="11"/>
      <c r="NVX190" s="12"/>
      <c r="NWG190" s="11"/>
      <c r="NWH190" s="12"/>
      <c r="NWQ190" s="11"/>
      <c r="NWR190" s="12"/>
      <c r="NXA190" s="11"/>
      <c r="NXB190" s="12"/>
      <c r="NXK190" s="11"/>
      <c r="NXL190" s="12"/>
      <c r="NXU190" s="11"/>
      <c r="NXV190" s="12"/>
      <c r="NYE190" s="11"/>
      <c r="NYF190" s="12"/>
      <c r="NYO190" s="11"/>
      <c r="NYP190" s="12"/>
      <c r="NYY190" s="11"/>
      <c r="NYZ190" s="12"/>
      <c r="NZI190" s="11"/>
      <c r="NZJ190" s="12"/>
      <c r="NZS190" s="11"/>
      <c r="NZT190" s="12"/>
      <c r="OAC190" s="11"/>
      <c r="OAD190" s="12"/>
      <c r="OAM190" s="11"/>
      <c r="OAN190" s="12"/>
      <c r="OAW190" s="11"/>
      <c r="OAX190" s="12"/>
      <c r="OBG190" s="11"/>
      <c r="OBH190" s="12"/>
      <c r="OBQ190" s="11"/>
      <c r="OBR190" s="12"/>
      <c r="OCA190" s="11"/>
      <c r="OCB190" s="12"/>
      <c r="OCK190" s="11"/>
      <c r="OCL190" s="12"/>
      <c r="OCU190" s="11"/>
      <c r="OCV190" s="12"/>
      <c r="ODE190" s="11"/>
      <c r="ODF190" s="12"/>
      <c r="ODO190" s="11"/>
      <c r="ODP190" s="12"/>
      <c r="ODY190" s="11"/>
      <c r="ODZ190" s="12"/>
      <c r="OEI190" s="11"/>
      <c r="OEJ190" s="12"/>
      <c r="OES190" s="11"/>
      <c r="OET190" s="12"/>
      <c r="OFC190" s="11"/>
      <c r="OFD190" s="12"/>
      <c r="OFM190" s="11"/>
      <c r="OFN190" s="12"/>
      <c r="OFW190" s="11"/>
      <c r="OFX190" s="12"/>
      <c r="OGG190" s="11"/>
      <c r="OGH190" s="12"/>
      <c r="OGQ190" s="11"/>
      <c r="OGR190" s="12"/>
      <c r="OHA190" s="11"/>
      <c r="OHB190" s="12"/>
      <c r="OHK190" s="11"/>
      <c r="OHL190" s="12"/>
      <c r="OHU190" s="11"/>
      <c r="OHV190" s="12"/>
      <c r="OIE190" s="11"/>
      <c r="OIF190" s="12"/>
      <c r="OIO190" s="11"/>
      <c r="OIP190" s="12"/>
      <c r="OIY190" s="11"/>
      <c r="OIZ190" s="12"/>
      <c r="OJI190" s="11"/>
      <c r="OJJ190" s="12"/>
      <c r="OJS190" s="11"/>
      <c r="OJT190" s="12"/>
      <c r="OKC190" s="11"/>
      <c r="OKD190" s="12"/>
      <c r="OKM190" s="11"/>
      <c r="OKN190" s="12"/>
      <c r="OKW190" s="11"/>
      <c r="OKX190" s="12"/>
      <c r="OLG190" s="11"/>
      <c r="OLH190" s="12"/>
      <c r="OLQ190" s="11"/>
      <c r="OLR190" s="12"/>
      <c r="OMA190" s="11"/>
      <c r="OMB190" s="12"/>
      <c r="OMK190" s="11"/>
      <c r="OML190" s="12"/>
      <c r="OMU190" s="11"/>
      <c r="OMV190" s="12"/>
      <c r="ONE190" s="11"/>
      <c r="ONF190" s="12"/>
      <c r="ONO190" s="11"/>
      <c r="ONP190" s="12"/>
      <c r="ONY190" s="11"/>
      <c r="ONZ190" s="12"/>
      <c r="OOI190" s="11"/>
      <c r="OOJ190" s="12"/>
      <c r="OOS190" s="11"/>
      <c r="OOT190" s="12"/>
      <c r="OPC190" s="11"/>
      <c r="OPD190" s="12"/>
      <c r="OPM190" s="11"/>
      <c r="OPN190" s="12"/>
      <c r="OPW190" s="11"/>
      <c r="OPX190" s="12"/>
      <c r="OQG190" s="11"/>
      <c r="OQH190" s="12"/>
      <c r="OQQ190" s="11"/>
      <c r="OQR190" s="12"/>
      <c r="ORA190" s="11"/>
      <c r="ORB190" s="12"/>
      <c r="ORK190" s="11"/>
      <c r="ORL190" s="12"/>
      <c r="ORU190" s="11"/>
      <c r="ORV190" s="12"/>
      <c r="OSE190" s="11"/>
      <c r="OSF190" s="12"/>
      <c r="OSO190" s="11"/>
      <c r="OSP190" s="12"/>
      <c r="OSY190" s="11"/>
      <c r="OSZ190" s="12"/>
      <c r="OTI190" s="11"/>
      <c r="OTJ190" s="12"/>
      <c r="OTS190" s="11"/>
      <c r="OTT190" s="12"/>
      <c r="OUC190" s="11"/>
      <c r="OUD190" s="12"/>
      <c r="OUM190" s="11"/>
      <c r="OUN190" s="12"/>
      <c r="OUW190" s="11"/>
      <c r="OUX190" s="12"/>
      <c r="OVG190" s="11"/>
      <c r="OVH190" s="12"/>
      <c r="OVQ190" s="11"/>
      <c r="OVR190" s="12"/>
      <c r="OWA190" s="11"/>
      <c r="OWB190" s="12"/>
      <c r="OWK190" s="11"/>
      <c r="OWL190" s="12"/>
      <c r="OWU190" s="11"/>
      <c r="OWV190" s="12"/>
      <c r="OXE190" s="11"/>
      <c r="OXF190" s="12"/>
      <c r="OXO190" s="11"/>
      <c r="OXP190" s="12"/>
      <c r="OXY190" s="11"/>
      <c r="OXZ190" s="12"/>
      <c r="OYI190" s="11"/>
      <c r="OYJ190" s="12"/>
      <c r="OYS190" s="11"/>
      <c r="OYT190" s="12"/>
      <c r="OZC190" s="11"/>
      <c r="OZD190" s="12"/>
      <c r="OZM190" s="11"/>
      <c r="OZN190" s="12"/>
      <c r="OZW190" s="11"/>
      <c r="OZX190" s="12"/>
      <c r="PAG190" s="11"/>
      <c r="PAH190" s="12"/>
      <c r="PAQ190" s="11"/>
      <c r="PAR190" s="12"/>
      <c r="PBA190" s="11"/>
      <c r="PBB190" s="12"/>
      <c r="PBK190" s="11"/>
      <c r="PBL190" s="12"/>
      <c r="PBU190" s="11"/>
      <c r="PBV190" s="12"/>
      <c r="PCE190" s="11"/>
      <c r="PCF190" s="12"/>
      <c r="PCO190" s="11"/>
      <c r="PCP190" s="12"/>
      <c r="PCY190" s="11"/>
      <c r="PCZ190" s="12"/>
      <c r="PDI190" s="11"/>
      <c r="PDJ190" s="12"/>
      <c r="PDS190" s="11"/>
      <c r="PDT190" s="12"/>
      <c r="PEC190" s="11"/>
      <c r="PED190" s="12"/>
      <c r="PEM190" s="11"/>
      <c r="PEN190" s="12"/>
      <c r="PEW190" s="11"/>
      <c r="PEX190" s="12"/>
      <c r="PFG190" s="11"/>
      <c r="PFH190" s="12"/>
      <c r="PFQ190" s="11"/>
      <c r="PFR190" s="12"/>
      <c r="PGA190" s="11"/>
      <c r="PGB190" s="12"/>
      <c r="PGK190" s="11"/>
      <c r="PGL190" s="12"/>
      <c r="PGU190" s="11"/>
      <c r="PGV190" s="12"/>
      <c r="PHE190" s="11"/>
      <c r="PHF190" s="12"/>
      <c r="PHO190" s="11"/>
      <c r="PHP190" s="12"/>
      <c r="PHY190" s="11"/>
      <c r="PHZ190" s="12"/>
      <c r="PII190" s="11"/>
      <c r="PIJ190" s="12"/>
      <c r="PIS190" s="11"/>
      <c r="PIT190" s="12"/>
      <c r="PJC190" s="11"/>
      <c r="PJD190" s="12"/>
      <c r="PJM190" s="11"/>
      <c r="PJN190" s="12"/>
      <c r="PJW190" s="11"/>
      <c r="PJX190" s="12"/>
      <c r="PKG190" s="11"/>
      <c r="PKH190" s="12"/>
      <c r="PKQ190" s="11"/>
      <c r="PKR190" s="12"/>
      <c r="PLA190" s="11"/>
      <c r="PLB190" s="12"/>
      <c r="PLK190" s="11"/>
      <c r="PLL190" s="12"/>
      <c r="PLU190" s="11"/>
      <c r="PLV190" s="12"/>
      <c r="PME190" s="11"/>
      <c r="PMF190" s="12"/>
      <c r="PMO190" s="11"/>
      <c r="PMP190" s="12"/>
      <c r="PMY190" s="11"/>
      <c r="PMZ190" s="12"/>
      <c r="PNI190" s="11"/>
      <c r="PNJ190" s="12"/>
      <c r="PNS190" s="11"/>
      <c r="PNT190" s="12"/>
      <c r="POC190" s="11"/>
      <c r="POD190" s="12"/>
      <c r="POM190" s="11"/>
      <c r="PON190" s="12"/>
      <c r="POW190" s="11"/>
      <c r="POX190" s="12"/>
      <c r="PPG190" s="11"/>
      <c r="PPH190" s="12"/>
      <c r="PPQ190" s="11"/>
      <c r="PPR190" s="12"/>
      <c r="PQA190" s="11"/>
      <c r="PQB190" s="12"/>
      <c r="PQK190" s="11"/>
      <c r="PQL190" s="12"/>
      <c r="PQU190" s="11"/>
      <c r="PQV190" s="12"/>
      <c r="PRE190" s="11"/>
      <c r="PRF190" s="12"/>
      <c r="PRO190" s="11"/>
      <c r="PRP190" s="12"/>
      <c r="PRY190" s="11"/>
      <c r="PRZ190" s="12"/>
      <c r="PSI190" s="11"/>
      <c r="PSJ190" s="12"/>
      <c r="PSS190" s="11"/>
      <c r="PST190" s="12"/>
      <c r="PTC190" s="11"/>
      <c r="PTD190" s="12"/>
      <c r="PTM190" s="11"/>
      <c r="PTN190" s="12"/>
      <c r="PTW190" s="11"/>
      <c r="PTX190" s="12"/>
      <c r="PUG190" s="11"/>
      <c r="PUH190" s="12"/>
      <c r="PUQ190" s="11"/>
      <c r="PUR190" s="12"/>
      <c r="PVA190" s="11"/>
      <c r="PVB190" s="12"/>
      <c r="PVK190" s="11"/>
      <c r="PVL190" s="12"/>
      <c r="PVU190" s="11"/>
      <c r="PVV190" s="12"/>
      <c r="PWE190" s="11"/>
      <c r="PWF190" s="12"/>
      <c r="PWO190" s="11"/>
      <c r="PWP190" s="12"/>
      <c r="PWY190" s="11"/>
      <c r="PWZ190" s="12"/>
      <c r="PXI190" s="11"/>
      <c r="PXJ190" s="12"/>
      <c r="PXS190" s="11"/>
      <c r="PXT190" s="12"/>
      <c r="PYC190" s="11"/>
      <c r="PYD190" s="12"/>
      <c r="PYM190" s="11"/>
      <c r="PYN190" s="12"/>
      <c r="PYW190" s="11"/>
      <c r="PYX190" s="12"/>
      <c r="PZG190" s="11"/>
      <c r="PZH190" s="12"/>
      <c r="PZQ190" s="11"/>
      <c r="PZR190" s="12"/>
      <c r="QAA190" s="11"/>
      <c r="QAB190" s="12"/>
      <c r="QAK190" s="11"/>
      <c r="QAL190" s="12"/>
      <c r="QAU190" s="11"/>
      <c r="QAV190" s="12"/>
      <c r="QBE190" s="11"/>
      <c r="QBF190" s="12"/>
      <c r="QBO190" s="11"/>
      <c r="QBP190" s="12"/>
      <c r="QBY190" s="11"/>
      <c r="QBZ190" s="12"/>
      <c r="QCI190" s="11"/>
      <c r="QCJ190" s="12"/>
      <c r="QCS190" s="11"/>
      <c r="QCT190" s="12"/>
      <c r="QDC190" s="11"/>
      <c r="QDD190" s="12"/>
      <c r="QDM190" s="11"/>
      <c r="QDN190" s="12"/>
      <c r="QDW190" s="11"/>
      <c r="QDX190" s="12"/>
      <c r="QEG190" s="11"/>
      <c r="QEH190" s="12"/>
      <c r="QEQ190" s="11"/>
      <c r="QER190" s="12"/>
      <c r="QFA190" s="11"/>
      <c r="QFB190" s="12"/>
      <c r="QFK190" s="11"/>
      <c r="QFL190" s="12"/>
      <c r="QFU190" s="11"/>
      <c r="QFV190" s="12"/>
      <c r="QGE190" s="11"/>
      <c r="QGF190" s="12"/>
      <c r="QGO190" s="11"/>
      <c r="QGP190" s="12"/>
      <c r="QGY190" s="11"/>
      <c r="QGZ190" s="12"/>
      <c r="QHI190" s="11"/>
      <c r="QHJ190" s="12"/>
      <c r="QHS190" s="11"/>
      <c r="QHT190" s="12"/>
      <c r="QIC190" s="11"/>
      <c r="QID190" s="12"/>
      <c r="QIM190" s="11"/>
      <c r="QIN190" s="12"/>
      <c r="QIW190" s="11"/>
      <c r="QIX190" s="12"/>
      <c r="QJG190" s="11"/>
      <c r="QJH190" s="12"/>
      <c r="QJQ190" s="11"/>
      <c r="QJR190" s="12"/>
      <c r="QKA190" s="11"/>
      <c r="QKB190" s="12"/>
      <c r="QKK190" s="11"/>
      <c r="QKL190" s="12"/>
      <c r="QKU190" s="11"/>
      <c r="QKV190" s="12"/>
      <c r="QLE190" s="11"/>
      <c r="QLF190" s="12"/>
      <c r="QLO190" s="11"/>
      <c r="QLP190" s="12"/>
      <c r="QLY190" s="11"/>
      <c r="QLZ190" s="12"/>
      <c r="QMI190" s="11"/>
      <c r="QMJ190" s="12"/>
      <c r="QMS190" s="11"/>
      <c r="QMT190" s="12"/>
      <c r="QNC190" s="11"/>
      <c r="QND190" s="12"/>
      <c r="QNM190" s="11"/>
      <c r="QNN190" s="12"/>
      <c r="QNW190" s="11"/>
      <c r="QNX190" s="12"/>
      <c r="QOG190" s="11"/>
      <c r="QOH190" s="12"/>
      <c r="QOQ190" s="11"/>
      <c r="QOR190" s="12"/>
      <c r="QPA190" s="11"/>
      <c r="QPB190" s="12"/>
      <c r="QPK190" s="11"/>
      <c r="QPL190" s="12"/>
      <c r="QPU190" s="11"/>
      <c r="QPV190" s="12"/>
      <c r="QQE190" s="11"/>
      <c r="QQF190" s="12"/>
      <c r="QQO190" s="11"/>
      <c r="QQP190" s="12"/>
      <c r="QQY190" s="11"/>
      <c r="QQZ190" s="12"/>
      <c r="QRI190" s="11"/>
      <c r="QRJ190" s="12"/>
      <c r="QRS190" s="11"/>
      <c r="QRT190" s="12"/>
      <c r="QSC190" s="11"/>
      <c r="QSD190" s="12"/>
      <c r="QSM190" s="11"/>
      <c r="QSN190" s="12"/>
      <c r="QSW190" s="11"/>
      <c r="QSX190" s="12"/>
      <c r="QTG190" s="11"/>
      <c r="QTH190" s="12"/>
      <c r="QTQ190" s="11"/>
      <c r="QTR190" s="12"/>
      <c r="QUA190" s="11"/>
      <c r="QUB190" s="12"/>
      <c r="QUK190" s="11"/>
      <c r="QUL190" s="12"/>
      <c r="QUU190" s="11"/>
      <c r="QUV190" s="12"/>
      <c r="QVE190" s="11"/>
      <c r="QVF190" s="12"/>
      <c r="QVO190" s="11"/>
      <c r="QVP190" s="12"/>
      <c r="QVY190" s="11"/>
      <c r="QVZ190" s="12"/>
      <c r="QWI190" s="11"/>
      <c r="QWJ190" s="12"/>
      <c r="QWS190" s="11"/>
      <c r="QWT190" s="12"/>
      <c r="QXC190" s="11"/>
      <c r="QXD190" s="12"/>
      <c r="QXM190" s="11"/>
      <c r="QXN190" s="12"/>
      <c r="QXW190" s="11"/>
      <c r="QXX190" s="12"/>
      <c r="QYG190" s="11"/>
      <c r="QYH190" s="12"/>
      <c r="QYQ190" s="11"/>
      <c r="QYR190" s="12"/>
      <c r="QZA190" s="11"/>
      <c r="QZB190" s="12"/>
      <c r="QZK190" s="11"/>
      <c r="QZL190" s="12"/>
      <c r="QZU190" s="11"/>
      <c r="QZV190" s="12"/>
      <c r="RAE190" s="11"/>
      <c r="RAF190" s="12"/>
      <c r="RAO190" s="11"/>
      <c r="RAP190" s="12"/>
      <c r="RAY190" s="11"/>
      <c r="RAZ190" s="12"/>
      <c r="RBI190" s="11"/>
      <c r="RBJ190" s="12"/>
      <c r="RBS190" s="11"/>
      <c r="RBT190" s="12"/>
      <c r="RCC190" s="11"/>
      <c r="RCD190" s="12"/>
      <c r="RCM190" s="11"/>
      <c r="RCN190" s="12"/>
      <c r="RCW190" s="11"/>
      <c r="RCX190" s="12"/>
      <c r="RDG190" s="11"/>
      <c r="RDH190" s="12"/>
      <c r="RDQ190" s="11"/>
      <c r="RDR190" s="12"/>
      <c r="REA190" s="11"/>
      <c r="REB190" s="12"/>
      <c r="REK190" s="11"/>
      <c r="REL190" s="12"/>
      <c r="REU190" s="11"/>
      <c r="REV190" s="12"/>
      <c r="RFE190" s="11"/>
      <c r="RFF190" s="12"/>
      <c r="RFO190" s="11"/>
      <c r="RFP190" s="12"/>
      <c r="RFY190" s="11"/>
      <c r="RFZ190" s="12"/>
      <c r="RGI190" s="11"/>
      <c r="RGJ190" s="12"/>
      <c r="RGS190" s="11"/>
      <c r="RGT190" s="12"/>
      <c r="RHC190" s="11"/>
      <c r="RHD190" s="12"/>
      <c r="RHM190" s="11"/>
      <c r="RHN190" s="12"/>
      <c r="RHW190" s="11"/>
      <c r="RHX190" s="12"/>
      <c r="RIG190" s="11"/>
      <c r="RIH190" s="12"/>
      <c r="RIQ190" s="11"/>
      <c r="RIR190" s="12"/>
      <c r="RJA190" s="11"/>
      <c r="RJB190" s="12"/>
      <c r="RJK190" s="11"/>
      <c r="RJL190" s="12"/>
      <c r="RJU190" s="11"/>
      <c r="RJV190" s="12"/>
      <c r="RKE190" s="11"/>
      <c r="RKF190" s="12"/>
      <c r="RKO190" s="11"/>
      <c r="RKP190" s="12"/>
      <c r="RKY190" s="11"/>
      <c r="RKZ190" s="12"/>
      <c r="RLI190" s="11"/>
      <c r="RLJ190" s="12"/>
      <c r="RLS190" s="11"/>
      <c r="RLT190" s="12"/>
      <c r="RMC190" s="11"/>
      <c r="RMD190" s="12"/>
      <c r="RMM190" s="11"/>
      <c r="RMN190" s="12"/>
      <c r="RMW190" s="11"/>
      <c r="RMX190" s="12"/>
      <c r="RNG190" s="11"/>
      <c r="RNH190" s="12"/>
      <c r="RNQ190" s="11"/>
      <c r="RNR190" s="12"/>
      <c r="ROA190" s="11"/>
      <c r="ROB190" s="12"/>
      <c r="ROK190" s="11"/>
      <c r="ROL190" s="12"/>
      <c r="ROU190" s="11"/>
      <c r="ROV190" s="12"/>
      <c r="RPE190" s="11"/>
      <c r="RPF190" s="12"/>
      <c r="RPO190" s="11"/>
      <c r="RPP190" s="12"/>
      <c r="RPY190" s="11"/>
      <c r="RPZ190" s="12"/>
      <c r="RQI190" s="11"/>
      <c r="RQJ190" s="12"/>
      <c r="RQS190" s="11"/>
      <c r="RQT190" s="12"/>
      <c r="RRC190" s="11"/>
      <c r="RRD190" s="12"/>
      <c r="RRM190" s="11"/>
      <c r="RRN190" s="12"/>
      <c r="RRW190" s="11"/>
      <c r="RRX190" s="12"/>
      <c r="RSG190" s="11"/>
      <c r="RSH190" s="12"/>
      <c r="RSQ190" s="11"/>
      <c r="RSR190" s="12"/>
      <c r="RTA190" s="11"/>
      <c r="RTB190" s="12"/>
      <c r="RTK190" s="11"/>
      <c r="RTL190" s="12"/>
      <c r="RTU190" s="11"/>
      <c r="RTV190" s="12"/>
      <c r="RUE190" s="11"/>
      <c r="RUF190" s="12"/>
      <c r="RUO190" s="11"/>
      <c r="RUP190" s="12"/>
      <c r="RUY190" s="11"/>
      <c r="RUZ190" s="12"/>
      <c r="RVI190" s="11"/>
      <c r="RVJ190" s="12"/>
      <c r="RVS190" s="11"/>
      <c r="RVT190" s="12"/>
      <c r="RWC190" s="11"/>
      <c r="RWD190" s="12"/>
      <c r="RWM190" s="11"/>
      <c r="RWN190" s="12"/>
      <c r="RWW190" s="11"/>
      <c r="RWX190" s="12"/>
      <c r="RXG190" s="11"/>
      <c r="RXH190" s="12"/>
      <c r="RXQ190" s="11"/>
      <c r="RXR190" s="12"/>
      <c r="RYA190" s="11"/>
      <c r="RYB190" s="12"/>
      <c r="RYK190" s="11"/>
      <c r="RYL190" s="12"/>
      <c r="RYU190" s="11"/>
      <c r="RYV190" s="12"/>
      <c r="RZE190" s="11"/>
      <c r="RZF190" s="12"/>
      <c r="RZO190" s="11"/>
      <c r="RZP190" s="12"/>
      <c r="RZY190" s="11"/>
      <c r="RZZ190" s="12"/>
      <c r="SAI190" s="11"/>
      <c r="SAJ190" s="12"/>
      <c r="SAS190" s="11"/>
      <c r="SAT190" s="12"/>
      <c r="SBC190" s="11"/>
      <c r="SBD190" s="12"/>
      <c r="SBM190" s="11"/>
      <c r="SBN190" s="12"/>
      <c r="SBW190" s="11"/>
      <c r="SBX190" s="12"/>
      <c r="SCG190" s="11"/>
      <c r="SCH190" s="12"/>
      <c r="SCQ190" s="11"/>
      <c r="SCR190" s="12"/>
      <c r="SDA190" s="11"/>
      <c r="SDB190" s="12"/>
      <c r="SDK190" s="11"/>
      <c r="SDL190" s="12"/>
      <c r="SDU190" s="11"/>
      <c r="SDV190" s="12"/>
      <c r="SEE190" s="11"/>
      <c r="SEF190" s="12"/>
      <c r="SEO190" s="11"/>
      <c r="SEP190" s="12"/>
      <c r="SEY190" s="11"/>
      <c r="SEZ190" s="12"/>
      <c r="SFI190" s="11"/>
      <c r="SFJ190" s="12"/>
      <c r="SFS190" s="11"/>
      <c r="SFT190" s="12"/>
      <c r="SGC190" s="11"/>
      <c r="SGD190" s="12"/>
      <c r="SGM190" s="11"/>
      <c r="SGN190" s="12"/>
      <c r="SGW190" s="11"/>
      <c r="SGX190" s="12"/>
      <c r="SHG190" s="11"/>
      <c r="SHH190" s="12"/>
      <c r="SHQ190" s="11"/>
      <c r="SHR190" s="12"/>
      <c r="SIA190" s="11"/>
      <c r="SIB190" s="12"/>
      <c r="SIK190" s="11"/>
      <c r="SIL190" s="12"/>
      <c r="SIU190" s="11"/>
      <c r="SIV190" s="12"/>
      <c r="SJE190" s="11"/>
      <c r="SJF190" s="12"/>
      <c r="SJO190" s="11"/>
      <c r="SJP190" s="12"/>
      <c r="SJY190" s="11"/>
      <c r="SJZ190" s="12"/>
      <c r="SKI190" s="11"/>
      <c r="SKJ190" s="12"/>
      <c r="SKS190" s="11"/>
      <c r="SKT190" s="12"/>
      <c r="SLC190" s="11"/>
      <c r="SLD190" s="12"/>
      <c r="SLM190" s="11"/>
      <c r="SLN190" s="12"/>
      <c r="SLW190" s="11"/>
      <c r="SLX190" s="12"/>
      <c r="SMG190" s="11"/>
      <c r="SMH190" s="12"/>
      <c r="SMQ190" s="11"/>
      <c r="SMR190" s="12"/>
      <c r="SNA190" s="11"/>
      <c r="SNB190" s="12"/>
      <c r="SNK190" s="11"/>
      <c r="SNL190" s="12"/>
      <c r="SNU190" s="11"/>
      <c r="SNV190" s="12"/>
      <c r="SOE190" s="11"/>
      <c r="SOF190" s="12"/>
      <c r="SOO190" s="11"/>
      <c r="SOP190" s="12"/>
      <c r="SOY190" s="11"/>
      <c r="SOZ190" s="12"/>
      <c r="SPI190" s="11"/>
      <c r="SPJ190" s="12"/>
      <c r="SPS190" s="11"/>
      <c r="SPT190" s="12"/>
      <c r="SQC190" s="11"/>
      <c r="SQD190" s="12"/>
      <c r="SQM190" s="11"/>
      <c r="SQN190" s="12"/>
      <c r="SQW190" s="11"/>
      <c r="SQX190" s="12"/>
      <c r="SRG190" s="11"/>
      <c r="SRH190" s="12"/>
      <c r="SRQ190" s="11"/>
      <c r="SRR190" s="12"/>
      <c r="SSA190" s="11"/>
      <c r="SSB190" s="12"/>
      <c r="SSK190" s="11"/>
      <c r="SSL190" s="12"/>
      <c r="SSU190" s="11"/>
      <c r="SSV190" s="12"/>
      <c r="STE190" s="11"/>
      <c r="STF190" s="12"/>
      <c r="STO190" s="11"/>
      <c r="STP190" s="12"/>
      <c r="STY190" s="11"/>
      <c r="STZ190" s="12"/>
      <c r="SUI190" s="11"/>
      <c r="SUJ190" s="12"/>
      <c r="SUS190" s="11"/>
      <c r="SUT190" s="12"/>
      <c r="SVC190" s="11"/>
      <c r="SVD190" s="12"/>
      <c r="SVM190" s="11"/>
      <c r="SVN190" s="12"/>
      <c r="SVW190" s="11"/>
      <c r="SVX190" s="12"/>
      <c r="SWG190" s="11"/>
      <c r="SWH190" s="12"/>
      <c r="SWQ190" s="11"/>
      <c r="SWR190" s="12"/>
      <c r="SXA190" s="11"/>
      <c r="SXB190" s="12"/>
      <c r="SXK190" s="11"/>
      <c r="SXL190" s="12"/>
      <c r="SXU190" s="11"/>
      <c r="SXV190" s="12"/>
      <c r="SYE190" s="11"/>
      <c r="SYF190" s="12"/>
      <c r="SYO190" s="11"/>
      <c r="SYP190" s="12"/>
      <c r="SYY190" s="11"/>
      <c r="SYZ190" s="12"/>
      <c r="SZI190" s="11"/>
      <c r="SZJ190" s="12"/>
      <c r="SZS190" s="11"/>
      <c r="SZT190" s="12"/>
      <c r="TAC190" s="11"/>
      <c r="TAD190" s="12"/>
      <c r="TAM190" s="11"/>
      <c r="TAN190" s="12"/>
      <c r="TAW190" s="11"/>
      <c r="TAX190" s="12"/>
      <c r="TBG190" s="11"/>
      <c r="TBH190" s="12"/>
      <c r="TBQ190" s="11"/>
      <c r="TBR190" s="12"/>
      <c r="TCA190" s="11"/>
      <c r="TCB190" s="12"/>
      <c r="TCK190" s="11"/>
      <c r="TCL190" s="12"/>
      <c r="TCU190" s="11"/>
      <c r="TCV190" s="12"/>
      <c r="TDE190" s="11"/>
      <c r="TDF190" s="12"/>
      <c r="TDO190" s="11"/>
      <c r="TDP190" s="12"/>
      <c r="TDY190" s="11"/>
      <c r="TDZ190" s="12"/>
      <c r="TEI190" s="11"/>
      <c r="TEJ190" s="12"/>
      <c r="TES190" s="11"/>
      <c r="TET190" s="12"/>
      <c r="TFC190" s="11"/>
      <c r="TFD190" s="12"/>
      <c r="TFM190" s="11"/>
      <c r="TFN190" s="12"/>
      <c r="TFW190" s="11"/>
      <c r="TFX190" s="12"/>
      <c r="TGG190" s="11"/>
      <c r="TGH190" s="12"/>
      <c r="TGQ190" s="11"/>
      <c r="TGR190" s="12"/>
      <c r="THA190" s="11"/>
      <c r="THB190" s="12"/>
      <c r="THK190" s="11"/>
      <c r="THL190" s="12"/>
      <c r="THU190" s="11"/>
      <c r="THV190" s="12"/>
      <c r="TIE190" s="11"/>
      <c r="TIF190" s="12"/>
      <c r="TIO190" s="11"/>
      <c r="TIP190" s="12"/>
      <c r="TIY190" s="11"/>
      <c r="TIZ190" s="12"/>
      <c r="TJI190" s="11"/>
      <c r="TJJ190" s="12"/>
      <c r="TJS190" s="11"/>
      <c r="TJT190" s="12"/>
      <c r="TKC190" s="11"/>
      <c r="TKD190" s="12"/>
      <c r="TKM190" s="11"/>
      <c r="TKN190" s="12"/>
      <c r="TKW190" s="11"/>
      <c r="TKX190" s="12"/>
      <c r="TLG190" s="11"/>
      <c r="TLH190" s="12"/>
      <c r="TLQ190" s="11"/>
      <c r="TLR190" s="12"/>
      <c r="TMA190" s="11"/>
      <c r="TMB190" s="12"/>
      <c r="TMK190" s="11"/>
      <c r="TML190" s="12"/>
      <c r="TMU190" s="11"/>
      <c r="TMV190" s="12"/>
      <c r="TNE190" s="11"/>
      <c r="TNF190" s="12"/>
      <c r="TNO190" s="11"/>
      <c r="TNP190" s="12"/>
      <c r="TNY190" s="11"/>
      <c r="TNZ190" s="12"/>
      <c r="TOI190" s="11"/>
      <c r="TOJ190" s="12"/>
      <c r="TOS190" s="11"/>
      <c r="TOT190" s="12"/>
      <c r="TPC190" s="11"/>
      <c r="TPD190" s="12"/>
      <c r="TPM190" s="11"/>
      <c r="TPN190" s="12"/>
      <c r="TPW190" s="11"/>
      <c r="TPX190" s="12"/>
      <c r="TQG190" s="11"/>
      <c r="TQH190" s="12"/>
      <c r="TQQ190" s="11"/>
      <c r="TQR190" s="12"/>
      <c r="TRA190" s="11"/>
      <c r="TRB190" s="12"/>
      <c r="TRK190" s="11"/>
      <c r="TRL190" s="12"/>
      <c r="TRU190" s="11"/>
      <c r="TRV190" s="12"/>
      <c r="TSE190" s="11"/>
      <c r="TSF190" s="12"/>
      <c r="TSO190" s="11"/>
      <c r="TSP190" s="12"/>
      <c r="TSY190" s="11"/>
      <c r="TSZ190" s="12"/>
      <c r="TTI190" s="11"/>
      <c r="TTJ190" s="12"/>
      <c r="TTS190" s="11"/>
      <c r="TTT190" s="12"/>
      <c r="TUC190" s="11"/>
      <c r="TUD190" s="12"/>
      <c r="TUM190" s="11"/>
      <c r="TUN190" s="12"/>
      <c r="TUW190" s="11"/>
      <c r="TUX190" s="12"/>
      <c r="TVG190" s="11"/>
      <c r="TVH190" s="12"/>
      <c r="TVQ190" s="11"/>
      <c r="TVR190" s="12"/>
      <c r="TWA190" s="11"/>
      <c r="TWB190" s="12"/>
      <c r="TWK190" s="11"/>
      <c r="TWL190" s="12"/>
      <c r="TWU190" s="11"/>
      <c r="TWV190" s="12"/>
      <c r="TXE190" s="11"/>
      <c r="TXF190" s="12"/>
      <c r="TXO190" s="11"/>
      <c r="TXP190" s="12"/>
      <c r="TXY190" s="11"/>
      <c r="TXZ190" s="12"/>
      <c r="TYI190" s="11"/>
      <c r="TYJ190" s="12"/>
      <c r="TYS190" s="11"/>
      <c r="TYT190" s="12"/>
      <c r="TZC190" s="11"/>
      <c r="TZD190" s="12"/>
      <c r="TZM190" s="11"/>
      <c r="TZN190" s="12"/>
      <c r="TZW190" s="11"/>
      <c r="TZX190" s="12"/>
      <c r="UAG190" s="11"/>
      <c r="UAH190" s="12"/>
      <c r="UAQ190" s="11"/>
      <c r="UAR190" s="12"/>
      <c r="UBA190" s="11"/>
      <c r="UBB190" s="12"/>
      <c r="UBK190" s="11"/>
      <c r="UBL190" s="12"/>
      <c r="UBU190" s="11"/>
      <c r="UBV190" s="12"/>
      <c r="UCE190" s="11"/>
      <c r="UCF190" s="12"/>
      <c r="UCO190" s="11"/>
      <c r="UCP190" s="12"/>
      <c r="UCY190" s="11"/>
      <c r="UCZ190" s="12"/>
      <c r="UDI190" s="11"/>
      <c r="UDJ190" s="12"/>
      <c r="UDS190" s="11"/>
      <c r="UDT190" s="12"/>
      <c r="UEC190" s="11"/>
      <c r="UED190" s="12"/>
      <c r="UEM190" s="11"/>
      <c r="UEN190" s="12"/>
      <c r="UEW190" s="11"/>
      <c r="UEX190" s="12"/>
      <c r="UFG190" s="11"/>
      <c r="UFH190" s="12"/>
      <c r="UFQ190" s="11"/>
      <c r="UFR190" s="12"/>
      <c r="UGA190" s="11"/>
      <c r="UGB190" s="12"/>
      <c r="UGK190" s="11"/>
      <c r="UGL190" s="12"/>
      <c r="UGU190" s="11"/>
      <c r="UGV190" s="12"/>
      <c r="UHE190" s="11"/>
      <c r="UHF190" s="12"/>
      <c r="UHO190" s="11"/>
      <c r="UHP190" s="12"/>
      <c r="UHY190" s="11"/>
      <c r="UHZ190" s="12"/>
      <c r="UII190" s="11"/>
      <c r="UIJ190" s="12"/>
      <c r="UIS190" s="11"/>
      <c r="UIT190" s="12"/>
      <c r="UJC190" s="11"/>
      <c r="UJD190" s="12"/>
      <c r="UJM190" s="11"/>
      <c r="UJN190" s="12"/>
      <c r="UJW190" s="11"/>
      <c r="UJX190" s="12"/>
      <c r="UKG190" s="11"/>
      <c r="UKH190" s="12"/>
      <c r="UKQ190" s="11"/>
      <c r="UKR190" s="12"/>
      <c r="ULA190" s="11"/>
      <c r="ULB190" s="12"/>
      <c r="ULK190" s="11"/>
      <c r="ULL190" s="12"/>
      <c r="ULU190" s="11"/>
      <c r="ULV190" s="12"/>
      <c r="UME190" s="11"/>
      <c r="UMF190" s="12"/>
      <c r="UMO190" s="11"/>
      <c r="UMP190" s="12"/>
      <c r="UMY190" s="11"/>
      <c r="UMZ190" s="12"/>
      <c r="UNI190" s="11"/>
      <c r="UNJ190" s="12"/>
      <c r="UNS190" s="11"/>
      <c r="UNT190" s="12"/>
      <c r="UOC190" s="11"/>
      <c r="UOD190" s="12"/>
      <c r="UOM190" s="11"/>
      <c r="UON190" s="12"/>
      <c r="UOW190" s="11"/>
      <c r="UOX190" s="12"/>
      <c r="UPG190" s="11"/>
      <c r="UPH190" s="12"/>
      <c r="UPQ190" s="11"/>
      <c r="UPR190" s="12"/>
      <c r="UQA190" s="11"/>
      <c r="UQB190" s="12"/>
      <c r="UQK190" s="11"/>
      <c r="UQL190" s="12"/>
      <c r="UQU190" s="11"/>
      <c r="UQV190" s="12"/>
      <c r="URE190" s="11"/>
      <c r="URF190" s="12"/>
      <c r="URO190" s="11"/>
      <c r="URP190" s="12"/>
      <c r="URY190" s="11"/>
      <c r="URZ190" s="12"/>
      <c r="USI190" s="11"/>
      <c r="USJ190" s="12"/>
      <c r="USS190" s="11"/>
      <c r="UST190" s="12"/>
      <c r="UTC190" s="11"/>
      <c r="UTD190" s="12"/>
      <c r="UTM190" s="11"/>
      <c r="UTN190" s="12"/>
      <c r="UTW190" s="11"/>
      <c r="UTX190" s="12"/>
      <c r="UUG190" s="11"/>
      <c r="UUH190" s="12"/>
      <c r="UUQ190" s="11"/>
      <c r="UUR190" s="12"/>
      <c r="UVA190" s="11"/>
      <c r="UVB190" s="12"/>
      <c r="UVK190" s="11"/>
      <c r="UVL190" s="12"/>
      <c r="UVU190" s="11"/>
      <c r="UVV190" s="12"/>
      <c r="UWE190" s="11"/>
      <c r="UWF190" s="12"/>
      <c r="UWO190" s="11"/>
      <c r="UWP190" s="12"/>
      <c r="UWY190" s="11"/>
      <c r="UWZ190" s="12"/>
      <c r="UXI190" s="11"/>
      <c r="UXJ190" s="12"/>
      <c r="UXS190" s="11"/>
      <c r="UXT190" s="12"/>
      <c r="UYC190" s="11"/>
      <c r="UYD190" s="12"/>
      <c r="UYM190" s="11"/>
      <c r="UYN190" s="12"/>
      <c r="UYW190" s="11"/>
      <c r="UYX190" s="12"/>
      <c r="UZG190" s="11"/>
      <c r="UZH190" s="12"/>
      <c r="UZQ190" s="11"/>
      <c r="UZR190" s="12"/>
      <c r="VAA190" s="11"/>
      <c r="VAB190" s="12"/>
      <c r="VAK190" s="11"/>
      <c r="VAL190" s="12"/>
      <c r="VAU190" s="11"/>
      <c r="VAV190" s="12"/>
      <c r="VBE190" s="11"/>
      <c r="VBF190" s="12"/>
      <c r="VBO190" s="11"/>
      <c r="VBP190" s="12"/>
      <c r="VBY190" s="11"/>
      <c r="VBZ190" s="12"/>
      <c r="VCI190" s="11"/>
      <c r="VCJ190" s="12"/>
      <c r="VCS190" s="11"/>
      <c r="VCT190" s="12"/>
      <c r="VDC190" s="11"/>
      <c r="VDD190" s="12"/>
      <c r="VDM190" s="11"/>
      <c r="VDN190" s="12"/>
      <c r="VDW190" s="11"/>
      <c r="VDX190" s="12"/>
      <c r="VEG190" s="11"/>
      <c r="VEH190" s="12"/>
      <c r="VEQ190" s="11"/>
      <c r="VER190" s="12"/>
      <c r="VFA190" s="11"/>
      <c r="VFB190" s="12"/>
      <c r="VFK190" s="11"/>
      <c r="VFL190" s="12"/>
      <c r="VFU190" s="11"/>
      <c r="VFV190" s="12"/>
      <c r="VGE190" s="11"/>
      <c r="VGF190" s="12"/>
      <c r="VGO190" s="11"/>
      <c r="VGP190" s="12"/>
      <c r="VGY190" s="11"/>
      <c r="VGZ190" s="12"/>
      <c r="VHI190" s="11"/>
      <c r="VHJ190" s="12"/>
      <c r="VHS190" s="11"/>
      <c r="VHT190" s="12"/>
      <c r="VIC190" s="11"/>
      <c r="VID190" s="12"/>
      <c r="VIM190" s="11"/>
      <c r="VIN190" s="12"/>
      <c r="VIW190" s="11"/>
      <c r="VIX190" s="12"/>
      <c r="VJG190" s="11"/>
      <c r="VJH190" s="12"/>
      <c r="VJQ190" s="11"/>
      <c r="VJR190" s="12"/>
      <c r="VKA190" s="11"/>
      <c r="VKB190" s="12"/>
      <c r="VKK190" s="11"/>
      <c r="VKL190" s="12"/>
      <c r="VKU190" s="11"/>
      <c r="VKV190" s="12"/>
      <c r="VLE190" s="11"/>
      <c r="VLF190" s="12"/>
      <c r="VLO190" s="11"/>
      <c r="VLP190" s="12"/>
      <c r="VLY190" s="11"/>
      <c r="VLZ190" s="12"/>
      <c r="VMI190" s="11"/>
      <c r="VMJ190" s="12"/>
      <c r="VMS190" s="11"/>
      <c r="VMT190" s="12"/>
      <c r="VNC190" s="11"/>
      <c r="VND190" s="12"/>
      <c r="VNM190" s="11"/>
      <c r="VNN190" s="12"/>
      <c r="VNW190" s="11"/>
      <c r="VNX190" s="12"/>
      <c r="VOG190" s="11"/>
      <c r="VOH190" s="12"/>
      <c r="VOQ190" s="11"/>
      <c r="VOR190" s="12"/>
      <c r="VPA190" s="11"/>
      <c r="VPB190" s="12"/>
      <c r="VPK190" s="11"/>
      <c r="VPL190" s="12"/>
      <c r="VPU190" s="11"/>
      <c r="VPV190" s="12"/>
      <c r="VQE190" s="11"/>
      <c r="VQF190" s="12"/>
      <c r="VQO190" s="11"/>
      <c r="VQP190" s="12"/>
      <c r="VQY190" s="11"/>
      <c r="VQZ190" s="12"/>
      <c r="VRI190" s="11"/>
      <c r="VRJ190" s="12"/>
      <c r="VRS190" s="11"/>
      <c r="VRT190" s="12"/>
      <c r="VSC190" s="11"/>
      <c r="VSD190" s="12"/>
      <c r="VSM190" s="11"/>
      <c r="VSN190" s="12"/>
      <c r="VSW190" s="11"/>
      <c r="VSX190" s="12"/>
      <c r="VTG190" s="11"/>
      <c r="VTH190" s="12"/>
      <c r="VTQ190" s="11"/>
      <c r="VTR190" s="12"/>
      <c r="VUA190" s="11"/>
      <c r="VUB190" s="12"/>
      <c r="VUK190" s="11"/>
      <c r="VUL190" s="12"/>
      <c r="VUU190" s="11"/>
      <c r="VUV190" s="12"/>
      <c r="VVE190" s="11"/>
      <c r="VVF190" s="12"/>
      <c r="VVO190" s="11"/>
      <c r="VVP190" s="12"/>
      <c r="VVY190" s="11"/>
      <c r="VVZ190" s="12"/>
      <c r="VWI190" s="11"/>
      <c r="VWJ190" s="12"/>
      <c r="VWS190" s="11"/>
      <c r="VWT190" s="12"/>
      <c r="VXC190" s="11"/>
      <c r="VXD190" s="12"/>
      <c r="VXM190" s="11"/>
      <c r="VXN190" s="12"/>
      <c r="VXW190" s="11"/>
      <c r="VXX190" s="12"/>
      <c r="VYG190" s="11"/>
      <c r="VYH190" s="12"/>
      <c r="VYQ190" s="11"/>
      <c r="VYR190" s="12"/>
      <c r="VZA190" s="11"/>
      <c r="VZB190" s="12"/>
      <c r="VZK190" s="11"/>
      <c r="VZL190" s="12"/>
      <c r="VZU190" s="11"/>
      <c r="VZV190" s="12"/>
      <c r="WAE190" s="11"/>
      <c r="WAF190" s="12"/>
      <c r="WAO190" s="11"/>
      <c r="WAP190" s="12"/>
      <c r="WAY190" s="11"/>
      <c r="WAZ190" s="12"/>
      <c r="WBI190" s="11"/>
      <c r="WBJ190" s="12"/>
      <c r="WBS190" s="11"/>
      <c r="WBT190" s="12"/>
      <c r="WCC190" s="11"/>
      <c r="WCD190" s="12"/>
      <c r="WCM190" s="11"/>
      <c r="WCN190" s="12"/>
      <c r="WCW190" s="11"/>
      <c r="WCX190" s="12"/>
      <c r="WDG190" s="11"/>
      <c r="WDH190" s="12"/>
      <c r="WDQ190" s="11"/>
      <c r="WDR190" s="12"/>
      <c r="WEA190" s="11"/>
      <c r="WEB190" s="12"/>
      <c r="WEK190" s="11"/>
      <c r="WEL190" s="12"/>
      <c r="WEU190" s="11"/>
      <c r="WEV190" s="12"/>
      <c r="WFE190" s="11"/>
      <c r="WFF190" s="12"/>
      <c r="WFO190" s="11"/>
      <c r="WFP190" s="12"/>
      <c r="WFY190" s="11"/>
      <c r="WFZ190" s="12"/>
      <c r="WGI190" s="11"/>
      <c r="WGJ190" s="12"/>
      <c r="WGS190" s="11"/>
      <c r="WGT190" s="12"/>
      <c r="WHC190" s="11"/>
      <c r="WHD190" s="12"/>
      <c r="WHM190" s="11"/>
      <c r="WHN190" s="12"/>
      <c r="WHW190" s="11"/>
      <c r="WHX190" s="12"/>
      <c r="WIG190" s="11"/>
      <c r="WIH190" s="12"/>
      <c r="WIQ190" s="11"/>
      <c r="WIR190" s="12"/>
      <c r="WJA190" s="11"/>
      <c r="WJB190" s="12"/>
      <c r="WJK190" s="11"/>
      <c r="WJL190" s="12"/>
      <c r="WJU190" s="11"/>
      <c r="WJV190" s="12"/>
      <c r="WKE190" s="11"/>
      <c r="WKF190" s="12"/>
      <c r="WKO190" s="11"/>
      <c r="WKP190" s="12"/>
      <c r="WKY190" s="11"/>
      <c r="WKZ190" s="12"/>
      <c r="WLI190" s="11"/>
      <c r="WLJ190" s="12"/>
      <c r="WLS190" s="11"/>
      <c r="WLT190" s="12"/>
      <c r="WMC190" s="11"/>
      <c r="WMD190" s="12"/>
      <c r="WMM190" s="11"/>
      <c r="WMN190" s="12"/>
      <c r="WMW190" s="11"/>
      <c r="WMX190" s="12"/>
      <c r="WNG190" s="11"/>
      <c r="WNH190" s="12"/>
      <c r="WNQ190" s="11"/>
      <c r="WNR190" s="12"/>
      <c r="WOA190" s="11"/>
      <c r="WOB190" s="12"/>
      <c r="WOK190" s="11"/>
      <c r="WOL190" s="12"/>
      <c r="WOU190" s="11"/>
      <c r="WOV190" s="12"/>
      <c r="WPE190" s="11"/>
      <c r="WPF190" s="12"/>
      <c r="WPO190" s="11"/>
      <c r="WPP190" s="12"/>
      <c r="WPY190" s="11"/>
      <c r="WPZ190" s="12"/>
      <c r="WQI190" s="11"/>
      <c r="WQJ190" s="12"/>
      <c r="WQS190" s="11"/>
      <c r="WQT190" s="12"/>
      <c r="WRC190" s="11"/>
      <c r="WRD190" s="12"/>
      <c r="WRM190" s="11"/>
      <c r="WRN190" s="12"/>
      <c r="WRW190" s="11"/>
      <c r="WRX190" s="12"/>
      <c r="WSG190" s="11"/>
      <c r="WSH190" s="12"/>
      <c r="WSQ190" s="11"/>
      <c r="WSR190" s="12"/>
      <c r="WTA190" s="11"/>
      <c r="WTB190" s="12"/>
      <c r="WTK190" s="11"/>
      <c r="WTL190" s="12"/>
      <c r="WTU190" s="11"/>
      <c r="WTV190" s="12"/>
      <c r="WUE190" s="11"/>
      <c r="WUF190" s="12"/>
      <c r="WUO190" s="11"/>
      <c r="WUP190" s="12"/>
      <c r="WUY190" s="11"/>
      <c r="WUZ190" s="12"/>
      <c r="WVI190" s="11"/>
      <c r="WVJ190" s="12"/>
      <c r="WVS190" s="11"/>
      <c r="WVT190" s="12"/>
      <c r="WWC190" s="11"/>
      <c r="WWD190" s="12"/>
      <c r="WWM190" s="11"/>
      <c r="WWN190" s="12"/>
      <c r="WWW190" s="11"/>
      <c r="WWX190" s="12"/>
      <c r="WXG190" s="11"/>
      <c r="WXH190" s="12"/>
      <c r="WXQ190" s="11"/>
      <c r="WXR190" s="12"/>
      <c r="WYA190" s="11"/>
      <c r="WYB190" s="12"/>
      <c r="WYK190" s="11"/>
      <c r="WYL190" s="12"/>
      <c r="WYU190" s="11"/>
      <c r="WYV190" s="12"/>
      <c r="WZE190" s="11"/>
      <c r="WZF190" s="12"/>
      <c r="WZO190" s="11"/>
      <c r="WZP190" s="12"/>
      <c r="WZY190" s="11"/>
      <c r="WZZ190" s="12"/>
      <c r="XAI190" s="11"/>
      <c r="XAJ190" s="12"/>
      <c r="XAS190" s="11"/>
      <c r="XAT190" s="12"/>
      <c r="XBC190" s="11"/>
      <c r="XBD190" s="12"/>
      <c r="XBM190" s="11"/>
      <c r="XBN190" s="12"/>
      <c r="XBW190" s="11"/>
      <c r="XBX190" s="12"/>
      <c r="XCG190" s="11"/>
      <c r="XCH190" s="12"/>
      <c r="XCQ190" s="11"/>
      <c r="XCR190" s="12"/>
      <c r="XDA190" s="11"/>
      <c r="XDB190" s="12"/>
      <c r="XDK190" s="11"/>
      <c r="XDL190" s="12"/>
      <c r="XDU190" s="11"/>
      <c r="XDV190" s="12"/>
      <c r="XEE190" s="11"/>
      <c r="XEF190" s="12"/>
      <c r="XEO190" s="11"/>
      <c r="XEP190" s="12"/>
      <c r="XEY190" s="11"/>
      <c r="XEZ190" s="12"/>
    </row>
    <row r="191" spans="1:1020 1029:2040 2049:3070 3079:4090 4099:5120 5129:6140 6149:7160 7169:8190 8199:9210 9219:10240 10249:11260 11269:12280 12289:13310 13319:14330 14339:15360 15369:16380" ht="33.6" customHeight="1" x14ac:dyDescent="0.3">
      <c r="H191" s="32" t="s">
        <v>9</v>
      </c>
      <c r="I191" s="33" t="s">
        <v>25</v>
      </c>
      <c r="J191" s="34" t="s">
        <v>29</v>
      </c>
      <c r="K191" s="35" t="s">
        <v>290</v>
      </c>
      <c r="L191" s="33" t="s">
        <v>277</v>
      </c>
      <c r="M191" s="33"/>
      <c r="N191" s="36"/>
      <c r="O191" s="33">
        <v>3</v>
      </c>
      <c r="P191" s="33">
        <f>IF(Tabela1[[#This Row],[Status]]="✔️",Tabela1[[#This Row],[Peso]],IF(Tabela1[[#This Row],[Status]]="✔️✔️",Tabela1[[#This Row],[Peso]]/2,0))</f>
        <v>0</v>
      </c>
      <c r="Q19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1" s="33" t="s">
        <v>264</v>
      </c>
      <c r="S191" s="37" t="s">
        <v>263</v>
      </c>
    </row>
    <row r="192" spans="1:1020 1029:2040 2049:3070 3079:4090 4099:5120 5129:6140 6149:7160 7169:8190 8199:9210 9219:10240 10249:11260 11269:12280 12289:13310 13319:14330 14339:15360 15369:16380" ht="39.6" customHeight="1" x14ac:dyDescent="0.3">
      <c r="H192" s="32" t="s">
        <v>9</v>
      </c>
      <c r="I192" s="33" t="s">
        <v>31</v>
      </c>
      <c r="J192" s="34" t="s">
        <v>32</v>
      </c>
      <c r="K192" s="35" t="s">
        <v>290</v>
      </c>
      <c r="L192" s="33" t="s">
        <v>278</v>
      </c>
      <c r="M192" s="33"/>
      <c r="N192" s="36"/>
      <c r="O192" s="33">
        <v>3</v>
      </c>
      <c r="P192" s="33">
        <f>IF(Tabela1[[#This Row],[Status]]="✔️",Tabela1[[#This Row],[Peso]],IF(Tabela1[[#This Row],[Status]]="✔️✔️",Tabela1[[#This Row],[Peso]]/2,0))</f>
        <v>0</v>
      </c>
      <c r="Q19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2" s="33" t="s">
        <v>264</v>
      </c>
      <c r="S192" s="37" t="s">
        <v>263</v>
      </c>
    </row>
    <row r="193" spans="8:19" ht="39.6" customHeight="1" x14ac:dyDescent="0.3">
      <c r="H193" s="32" t="s">
        <v>9</v>
      </c>
      <c r="I193" s="33" t="s">
        <v>33</v>
      </c>
      <c r="J193" s="34" t="s">
        <v>131</v>
      </c>
      <c r="K193" s="35" t="s">
        <v>0</v>
      </c>
      <c r="L193" s="33"/>
      <c r="M193" s="33"/>
      <c r="N193" s="36"/>
      <c r="O193" s="33">
        <v>3</v>
      </c>
      <c r="P193" s="33">
        <f>IF(Tabela1[[#This Row],[Status]]="✔️",Tabela1[[#This Row],[Peso]],IF(Tabela1[[#This Row],[Status]]="✔️✔️",Tabela1[[#This Row],[Peso]]/2,0))</f>
        <v>3</v>
      </c>
      <c r="Q19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3" s="33" t="s">
        <v>264</v>
      </c>
      <c r="S193" s="37" t="s">
        <v>263</v>
      </c>
    </row>
    <row r="194" spans="8:19" ht="40.799999999999997" customHeight="1" x14ac:dyDescent="0.3">
      <c r="H194" s="32" t="s">
        <v>9</v>
      </c>
      <c r="I194" s="33" t="s">
        <v>33</v>
      </c>
      <c r="J194" s="34" t="s">
        <v>35</v>
      </c>
      <c r="K194" s="35" t="s">
        <v>0</v>
      </c>
      <c r="L194" s="33"/>
      <c r="M194" s="33"/>
      <c r="N194" s="36"/>
      <c r="O194" s="33">
        <v>3</v>
      </c>
      <c r="P194" s="33">
        <f>IF(Tabela1[[#This Row],[Status]]="✔️",Tabela1[[#This Row],[Peso]],IF(Tabela1[[#This Row],[Status]]="✔️✔️",Tabela1[[#This Row],[Peso]]/2,0))</f>
        <v>3</v>
      </c>
      <c r="Q19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4" s="33" t="s">
        <v>264</v>
      </c>
      <c r="S194" s="37" t="s">
        <v>263</v>
      </c>
    </row>
    <row r="195" spans="8:19" ht="27.6" x14ac:dyDescent="0.3">
      <c r="H195" s="32" t="s">
        <v>9</v>
      </c>
      <c r="I195" s="33" t="s">
        <v>33</v>
      </c>
      <c r="J195" s="34" t="s">
        <v>446</v>
      </c>
      <c r="K195" s="35" t="s">
        <v>0</v>
      </c>
      <c r="L195" s="33"/>
      <c r="M195" s="33"/>
      <c r="N195" s="36"/>
      <c r="O195" s="33">
        <v>3</v>
      </c>
      <c r="P195" s="33">
        <f>IF(Tabela1[[#This Row],[Status]]="✔️",Tabela1[[#This Row],[Peso]],IF(Tabela1[[#This Row],[Status]]="✔️✔️",Tabela1[[#This Row],[Peso]]/2,0))</f>
        <v>3</v>
      </c>
      <c r="Q19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5" s="33" t="s">
        <v>264</v>
      </c>
      <c r="S195" s="37" t="s">
        <v>263</v>
      </c>
    </row>
    <row r="196" spans="8:19" ht="82.8" x14ac:dyDescent="0.3">
      <c r="H196" s="32" t="s">
        <v>9</v>
      </c>
      <c r="I196" s="33" t="s">
        <v>33</v>
      </c>
      <c r="J196" s="34" t="s">
        <v>36</v>
      </c>
      <c r="K196" s="35" t="s">
        <v>290</v>
      </c>
      <c r="L196" s="33" t="s">
        <v>279</v>
      </c>
      <c r="M196" s="33"/>
      <c r="N196" s="36"/>
      <c r="O196" s="33">
        <v>3</v>
      </c>
      <c r="P196" s="33">
        <f>IF(Tabela1[[#This Row],[Status]]="✔️",Tabela1[[#This Row],[Peso]],IF(Tabela1[[#This Row],[Status]]="✔️✔️",Tabela1[[#This Row],[Peso]]/2,0))</f>
        <v>0</v>
      </c>
      <c r="Q19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6" s="33" t="s">
        <v>264</v>
      </c>
      <c r="S196" s="37" t="s">
        <v>263</v>
      </c>
    </row>
    <row r="197" spans="8:19" ht="27.6" x14ac:dyDescent="0.3">
      <c r="H197" s="32" t="s">
        <v>9</v>
      </c>
      <c r="I197" s="33" t="s">
        <v>33</v>
      </c>
      <c r="J197" s="34" t="s">
        <v>37</v>
      </c>
      <c r="K197" s="35" t="s">
        <v>0</v>
      </c>
      <c r="L197" s="33"/>
      <c r="M197" s="33"/>
      <c r="N197" s="36"/>
      <c r="O197" s="33">
        <v>3</v>
      </c>
      <c r="P197" s="33">
        <f>IF(Tabela1[[#This Row],[Status]]="✔️",Tabela1[[#This Row],[Peso]],IF(Tabela1[[#This Row],[Status]]="✔️✔️",Tabela1[[#This Row],[Peso]]/2,0))</f>
        <v>3</v>
      </c>
      <c r="Q19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7" s="33" t="s">
        <v>264</v>
      </c>
      <c r="S197" s="37" t="s">
        <v>263</v>
      </c>
    </row>
    <row r="198" spans="8:19" ht="27.6" x14ac:dyDescent="0.3">
      <c r="H198" s="32" t="s">
        <v>9</v>
      </c>
      <c r="I198" s="33" t="s">
        <v>38</v>
      </c>
      <c r="J198" s="34" t="s">
        <v>39</v>
      </c>
      <c r="K198" s="35" t="s">
        <v>0</v>
      </c>
      <c r="L198" s="33"/>
      <c r="M198" s="33"/>
      <c r="N198" s="36"/>
      <c r="O198" s="33">
        <v>3</v>
      </c>
      <c r="P198" s="33">
        <f>IF(Tabela1[[#This Row],[Status]]="✔️",Tabela1[[#This Row],[Peso]],IF(Tabela1[[#This Row],[Status]]="✔️✔️",Tabela1[[#This Row],[Peso]]/2,0))</f>
        <v>3</v>
      </c>
      <c r="Q19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8" s="33" t="s">
        <v>264</v>
      </c>
      <c r="S198" s="37" t="s">
        <v>263</v>
      </c>
    </row>
    <row r="199" spans="8:19" ht="69" x14ac:dyDescent="0.3">
      <c r="H199" s="32" t="s">
        <v>9</v>
      </c>
      <c r="I199" s="33" t="s">
        <v>38</v>
      </c>
      <c r="J199" s="34" t="s">
        <v>40</v>
      </c>
      <c r="K199" s="35" t="s">
        <v>290</v>
      </c>
      <c r="L199" s="33" t="s">
        <v>280</v>
      </c>
      <c r="M199" s="33"/>
      <c r="N199" s="36"/>
      <c r="O199" s="33">
        <v>3</v>
      </c>
      <c r="P199" s="33">
        <f>IF(Tabela1[[#This Row],[Status]]="✔️",Tabela1[[#This Row],[Peso]],IF(Tabela1[[#This Row],[Status]]="✔️✔️",Tabela1[[#This Row],[Peso]]/2,0))</f>
        <v>0</v>
      </c>
      <c r="Q19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9" s="33" t="s">
        <v>264</v>
      </c>
      <c r="S199" s="37" t="s">
        <v>263</v>
      </c>
    </row>
    <row r="200" spans="8:19" ht="41.4" x14ac:dyDescent="0.3">
      <c r="H200" s="32" t="s">
        <v>9</v>
      </c>
      <c r="I200" s="33" t="s">
        <v>41</v>
      </c>
      <c r="J200" s="34" t="s">
        <v>442</v>
      </c>
      <c r="K200" s="35" t="s">
        <v>290</v>
      </c>
      <c r="L200" s="33" t="s">
        <v>47</v>
      </c>
      <c r="M200" s="33"/>
      <c r="N200" s="36"/>
      <c r="O200" s="33">
        <v>3</v>
      </c>
      <c r="P200" s="33">
        <f>IF(Tabela1[[#This Row],[Status]]="✔️",Tabela1[[#This Row],[Peso]],IF(Tabela1[[#This Row],[Status]]="✔️✔️",Tabela1[[#This Row],[Peso]]/2,0))</f>
        <v>0</v>
      </c>
      <c r="Q20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00" s="33" t="s">
        <v>264</v>
      </c>
      <c r="S200" s="37" t="s">
        <v>263</v>
      </c>
    </row>
    <row r="201" spans="8:19" ht="41.4" x14ac:dyDescent="0.3">
      <c r="H201" s="32" t="s">
        <v>9</v>
      </c>
      <c r="I201" s="33" t="s">
        <v>41</v>
      </c>
      <c r="J201" s="34" t="s">
        <v>443</v>
      </c>
      <c r="K201" s="35" t="s">
        <v>290</v>
      </c>
      <c r="L201" s="33" t="s">
        <v>47</v>
      </c>
      <c r="M201" s="33"/>
      <c r="N201" s="36"/>
      <c r="O201" s="33">
        <v>2</v>
      </c>
      <c r="P201" s="33">
        <f>IF(Tabela1[[#This Row],[Status]]="✔️",Tabela1[[#This Row],[Peso]],IF(Tabela1[[#This Row],[Status]]="✔️✔️",Tabela1[[#This Row],[Peso]]/2,0))</f>
        <v>0</v>
      </c>
      <c r="Q20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201" s="33" t="s">
        <v>264</v>
      </c>
      <c r="S201" s="37" t="s">
        <v>263</v>
      </c>
    </row>
    <row r="202" spans="8:19" ht="27.6" x14ac:dyDescent="0.3">
      <c r="H202" s="32" t="s">
        <v>9</v>
      </c>
      <c r="I202" s="33" t="s">
        <v>10</v>
      </c>
      <c r="J202" s="34" t="s">
        <v>444</v>
      </c>
      <c r="K202" s="35" t="s">
        <v>0</v>
      </c>
      <c r="L202" s="33"/>
      <c r="M202" s="33"/>
      <c r="N202" s="36"/>
      <c r="O202" s="33">
        <v>3</v>
      </c>
      <c r="P202" s="33">
        <f>IF(Tabela1[[#This Row],[Status]]="✔️",Tabela1[[#This Row],[Peso]],IF(Tabela1[[#This Row],[Status]]="✔️✔️",Tabela1[[#This Row],[Peso]]/2,0))</f>
        <v>3</v>
      </c>
      <c r="Q20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02" s="33" t="s">
        <v>264</v>
      </c>
      <c r="S202" s="37" t="s">
        <v>263</v>
      </c>
    </row>
    <row r="203" spans="8:19" ht="27.6" x14ac:dyDescent="0.3">
      <c r="H203" s="32" t="s">
        <v>9</v>
      </c>
      <c r="I203" s="33" t="s">
        <v>30</v>
      </c>
      <c r="J203" s="34" t="s">
        <v>438</v>
      </c>
      <c r="K203" s="35" t="s">
        <v>0</v>
      </c>
      <c r="L203" s="33"/>
      <c r="M203" s="33"/>
      <c r="N203" s="36"/>
      <c r="O203" s="33">
        <v>3</v>
      </c>
      <c r="P203" s="33">
        <f>IF(Tabela1[[#This Row],[Status]]="✔️",Tabela1[[#This Row],[Peso]],IF(Tabela1[[#This Row],[Status]]="✔️✔️",Tabela1[[#This Row],[Peso]]/2,0))</f>
        <v>3</v>
      </c>
      <c r="Q20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03" s="33" t="s">
        <v>130</v>
      </c>
      <c r="S203" s="37" t="s">
        <v>132</v>
      </c>
    </row>
    <row r="204" spans="8:19" ht="27.6" x14ac:dyDescent="0.3">
      <c r="H204" s="45" t="s">
        <v>9</v>
      </c>
      <c r="I204" s="46" t="s">
        <v>10</v>
      </c>
      <c r="J204" s="47" t="s">
        <v>11</v>
      </c>
      <c r="K204" s="35" t="s">
        <v>0</v>
      </c>
      <c r="L204" s="46"/>
      <c r="M204" s="46"/>
      <c r="N204" s="48"/>
      <c r="O204" s="46">
        <v>3</v>
      </c>
      <c r="P204" s="33">
        <f>IF(Tabela1[[#This Row],[Status]]="✔️",Tabela1[[#This Row],[Peso]],IF(Tabela1[[#This Row],[Status]]="✔️✔️",Tabela1[[#This Row],[Peso]]/2,0))</f>
        <v>3</v>
      </c>
      <c r="Q20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04" s="46" t="s">
        <v>130</v>
      </c>
      <c r="S204" s="49" t="s">
        <v>132</v>
      </c>
    </row>
    <row r="205" spans="8:19" ht="27.6" x14ac:dyDescent="0.3">
      <c r="H205" s="32" t="s">
        <v>9</v>
      </c>
      <c r="I205" s="33" t="s">
        <v>10</v>
      </c>
      <c r="J205" s="34" t="s">
        <v>439</v>
      </c>
      <c r="K205" s="35" t="s">
        <v>0</v>
      </c>
      <c r="L205" s="33"/>
      <c r="M205" s="33"/>
      <c r="N205" s="36"/>
      <c r="O205" s="33">
        <v>3</v>
      </c>
      <c r="P205" s="33">
        <f>IF(Tabela1[[#This Row],[Status]]="✔️",Tabela1[[#This Row],[Peso]],IF(Tabela1[[#This Row],[Status]]="✔️✔️",Tabela1[[#This Row],[Peso]]/2,0))</f>
        <v>3</v>
      </c>
      <c r="Q20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05" s="33" t="s">
        <v>130</v>
      </c>
      <c r="S205" s="37" t="s">
        <v>132</v>
      </c>
    </row>
    <row r="206" spans="8:19" ht="27.6" x14ac:dyDescent="0.3">
      <c r="H206" s="32" t="s">
        <v>9</v>
      </c>
      <c r="I206" s="33" t="s">
        <v>10</v>
      </c>
      <c r="J206" s="34" t="s">
        <v>440</v>
      </c>
      <c r="K206" s="35" t="s">
        <v>0</v>
      </c>
      <c r="L206" s="33"/>
      <c r="M206" s="33"/>
      <c r="N206" s="36"/>
      <c r="O206" s="33">
        <v>3</v>
      </c>
      <c r="P206" s="33">
        <f>IF(Tabela1[[#This Row],[Status]]="✔️",Tabela1[[#This Row],[Peso]],IF(Tabela1[[#This Row],[Status]]="✔️✔️",Tabela1[[#This Row],[Peso]]/2,0))</f>
        <v>3</v>
      </c>
      <c r="Q20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06" s="33" t="s">
        <v>130</v>
      </c>
      <c r="S206" s="37" t="s">
        <v>132</v>
      </c>
    </row>
    <row r="207" spans="8:19" ht="27.6" x14ac:dyDescent="0.3">
      <c r="H207" s="32" t="s">
        <v>9</v>
      </c>
      <c r="I207" s="33" t="s">
        <v>12</v>
      </c>
      <c r="J207" s="34" t="s">
        <v>13</v>
      </c>
      <c r="K207" s="35" t="s">
        <v>0</v>
      </c>
      <c r="L207" s="33"/>
      <c r="M207" s="33"/>
      <c r="N207" s="36"/>
      <c r="O207" s="33">
        <v>2</v>
      </c>
      <c r="P207" s="33">
        <f>IF(Tabela1[[#This Row],[Status]]="✔️",Tabela1[[#This Row],[Peso]],IF(Tabela1[[#This Row],[Status]]="✔️✔️",Tabela1[[#This Row],[Peso]]/2,0))</f>
        <v>2</v>
      </c>
      <c r="Q20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207" s="33" t="s">
        <v>130</v>
      </c>
      <c r="S207" s="37" t="s">
        <v>132</v>
      </c>
    </row>
    <row r="208" spans="8:19" ht="27.6" x14ac:dyDescent="0.3">
      <c r="H208" s="32" t="s">
        <v>9</v>
      </c>
      <c r="I208" s="33" t="s">
        <v>14</v>
      </c>
      <c r="J208" s="34" t="s">
        <v>15</v>
      </c>
      <c r="K208" s="35" t="s">
        <v>0</v>
      </c>
      <c r="L208" s="33"/>
      <c r="M208" s="33"/>
      <c r="N208" s="36"/>
      <c r="O208" s="33">
        <v>3</v>
      </c>
      <c r="P208" s="33">
        <f>IF(Tabela1[[#This Row],[Status]]="✔️",Tabela1[[#This Row],[Peso]],IF(Tabela1[[#This Row],[Status]]="✔️✔️",Tabela1[[#This Row],[Peso]]/2,0))</f>
        <v>3</v>
      </c>
      <c r="Q20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08" s="33" t="s">
        <v>130</v>
      </c>
      <c r="S208" s="37" t="s">
        <v>132</v>
      </c>
    </row>
    <row r="209" spans="8:19" ht="27.6" x14ac:dyDescent="0.3">
      <c r="H209" s="32" t="s">
        <v>9</v>
      </c>
      <c r="I209" s="33" t="s">
        <v>14</v>
      </c>
      <c r="J209" s="34" t="s">
        <v>16</v>
      </c>
      <c r="K209" s="35" t="s">
        <v>290</v>
      </c>
      <c r="L209" s="33" t="s">
        <v>135</v>
      </c>
      <c r="M209" s="33">
        <v>2059</v>
      </c>
      <c r="N209" s="36"/>
      <c r="O209" s="33">
        <v>1</v>
      </c>
      <c r="P209" s="33">
        <f>IF(Tabela1[[#This Row],[Status]]="✔️",Tabela1[[#This Row],[Peso]],IF(Tabela1[[#This Row],[Status]]="✔️✔️",Tabela1[[#This Row],[Peso]]/2,0))</f>
        <v>0</v>
      </c>
      <c r="Q20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209" s="33" t="s">
        <v>130</v>
      </c>
      <c r="S209" s="37" t="s">
        <v>132</v>
      </c>
    </row>
    <row r="210" spans="8:19" ht="27.6" x14ac:dyDescent="0.3">
      <c r="H210" s="32" t="s">
        <v>9</v>
      </c>
      <c r="I210" s="33" t="s">
        <v>17</v>
      </c>
      <c r="J210" s="34" t="s">
        <v>18</v>
      </c>
      <c r="K210" s="35" t="s">
        <v>0</v>
      </c>
      <c r="L210" s="33"/>
      <c r="M210" s="33"/>
      <c r="N210" s="36"/>
      <c r="O210" s="33">
        <v>3</v>
      </c>
      <c r="P210" s="33">
        <f>IF(Tabela1[[#This Row],[Status]]="✔️",Tabela1[[#This Row],[Peso]],IF(Tabela1[[#This Row],[Status]]="✔️✔️",Tabela1[[#This Row],[Peso]]/2,0))</f>
        <v>3</v>
      </c>
      <c r="Q21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10" s="33" t="s">
        <v>130</v>
      </c>
      <c r="S210" s="37" t="s">
        <v>132</v>
      </c>
    </row>
    <row r="211" spans="8:19" ht="27.6" x14ac:dyDescent="0.3">
      <c r="H211" s="32" t="s">
        <v>9</v>
      </c>
      <c r="I211" s="33" t="s">
        <v>17</v>
      </c>
      <c r="J211" s="34" t="s">
        <v>19</v>
      </c>
      <c r="K211" s="35" t="s">
        <v>0</v>
      </c>
      <c r="L211" s="33"/>
      <c r="M211" s="33"/>
      <c r="N211" s="36"/>
      <c r="O211" s="33">
        <v>3</v>
      </c>
      <c r="P211" s="33">
        <f>IF(Tabela1[[#This Row],[Status]]="✔️",Tabela1[[#This Row],[Peso]],IF(Tabela1[[#This Row],[Status]]="✔️✔️",Tabela1[[#This Row],[Peso]]/2,0))</f>
        <v>3</v>
      </c>
      <c r="Q21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11" s="33" t="s">
        <v>130</v>
      </c>
      <c r="S211" s="37" t="s">
        <v>132</v>
      </c>
    </row>
    <row r="212" spans="8:19" ht="41.4" x14ac:dyDescent="0.3">
      <c r="H212" s="32" t="s">
        <v>9</v>
      </c>
      <c r="I212" s="33" t="s">
        <v>20</v>
      </c>
      <c r="J212" s="34" t="s">
        <v>21</v>
      </c>
      <c r="K212" s="35" t="s">
        <v>290</v>
      </c>
      <c r="L212" s="33" t="s">
        <v>137</v>
      </c>
      <c r="M212" s="33">
        <v>5185</v>
      </c>
      <c r="N212" s="36"/>
      <c r="O212" s="33">
        <v>3</v>
      </c>
      <c r="P212" s="33">
        <f>IF(Tabela1[[#This Row],[Status]]="✔️",Tabela1[[#This Row],[Peso]],IF(Tabela1[[#This Row],[Status]]="✔️✔️",Tabela1[[#This Row],[Peso]]/2,0))</f>
        <v>0</v>
      </c>
      <c r="Q21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12" s="33" t="s">
        <v>130</v>
      </c>
      <c r="S212" s="37" t="s">
        <v>132</v>
      </c>
    </row>
    <row r="213" spans="8:19" ht="27.6" x14ac:dyDescent="0.3">
      <c r="H213" s="32" t="s">
        <v>9</v>
      </c>
      <c r="I213" s="33" t="s">
        <v>20</v>
      </c>
      <c r="J213" s="34" t="s">
        <v>441</v>
      </c>
      <c r="K213" s="35" t="s">
        <v>290</v>
      </c>
      <c r="L213" s="33" t="s">
        <v>138</v>
      </c>
      <c r="M213" s="33">
        <v>5185</v>
      </c>
      <c r="N213" s="36"/>
      <c r="O213" s="33">
        <v>1</v>
      </c>
      <c r="P213" s="33">
        <f>IF(Tabela1[[#This Row],[Status]]="✔️",Tabela1[[#This Row],[Peso]],IF(Tabela1[[#This Row],[Status]]="✔️✔️",Tabela1[[#This Row],[Peso]]/2,0))</f>
        <v>0</v>
      </c>
      <c r="Q21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213" s="33" t="s">
        <v>130</v>
      </c>
      <c r="S213" s="37" t="s">
        <v>132</v>
      </c>
    </row>
    <row r="214" spans="8:19" ht="27.6" x14ac:dyDescent="0.3">
      <c r="H214" s="32" t="s">
        <v>9</v>
      </c>
      <c r="I214" s="33" t="s">
        <v>22</v>
      </c>
      <c r="J214" s="34" t="s">
        <v>23</v>
      </c>
      <c r="K214" s="35" t="s">
        <v>0</v>
      </c>
      <c r="L214" s="33"/>
      <c r="M214" s="33"/>
      <c r="N214" s="36"/>
      <c r="O214" s="33">
        <v>1</v>
      </c>
      <c r="P214" s="33">
        <f>IF(Tabela1[[#This Row],[Status]]="✔️",Tabela1[[#This Row],[Peso]],IF(Tabela1[[#This Row],[Status]]="✔️✔️",Tabela1[[#This Row],[Peso]]/2,0))</f>
        <v>1</v>
      </c>
      <c r="Q21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214" s="33" t="s">
        <v>130</v>
      </c>
      <c r="S214" s="37" t="s">
        <v>132</v>
      </c>
    </row>
    <row r="215" spans="8:19" ht="27.6" x14ac:dyDescent="0.3">
      <c r="H215" s="32" t="s">
        <v>9</v>
      </c>
      <c r="I215" s="33" t="s">
        <v>25</v>
      </c>
      <c r="J215" s="34" t="s">
        <v>28</v>
      </c>
      <c r="K215" s="35" t="s">
        <v>0</v>
      </c>
      <c r="L215" s="33"/>
      <c r="M215" s="33"/>
      <c r="N215" s="36"/>
      <c r="O215" s="33">
        <v>3</v>
      </c>
      <c r="P215" s="33">
        <f>IF(Tabela1[[#This Row],[Status]]="✔️",Tabela1[[#This Row],[Peso]],IF(Tabela1[[#This Row],[Status]]="✔️✔️",Tabela1[[#This Row],[Peso]]/2,0))</f>
        <v>3</v>
      </c>
      <c r="Q21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15" s="33" t="s">
        <v>130</v>
      </c>
      <c r="S215" s="37" t="s">
        <v>132</v>
      </c>
    </row>
    <row r="216" spans="8:19" ht="27.6" x14ac:dyDescent="0.3">
      <c r="H216" s="32" t="s">
        <v>9</v>
      </c>
      <c r="I216" s="33" t="s">
        <v>25</v>
      </c>
      <c r="J216" s="34" t="s">
        <v>29</v>
      </c>
      <c r="K216" s="35" t="s">
        <v>0</v>
      </c>
      <c r="L216" s="33"/>
      <c r="M216" s="33"/>
      <c r="N216" s="36"/>
      <c r="O216" s="33">
        <v>3</v>
      </c>
      <c r="P216" s="33">
        <f>IF(Tabela1[[#This Row],[Status]]="✔️",Tabela1[[#This Row],[Peso]],IF(Tabela1[[#This Row],[Status]]="✔️✔️",Tabela1[[#This Row],[Peso]]/2,0))</f>
        <v>3</v>
      </c>
      <c r="Q21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16" s="33" t="s">
        <v>130</v>
      </c>
      <c r="S216" s="37" t="s">
        <v>132</v>
      </c>
    </row>
    <row r="217" spans="8:19" ht="55.2" x14ac:dyDescent="0.3">
      <c r="H217" s="32" t="s">
        <v>9</v>
      </c>
      <c r="I217" s="33" t="s">
        <v>31</v>
      </c>
      <c r="J217" s="34" t="s">
        <v>32</v>
      </c>
      <c r="K217" s="35" t="s">
        <v>290</v>
      </c>
      <c r="L217" s="33" t="s">
        <v>139</v>
      </c>
      <c r="M217" s="33">
        <v>6698</v>
      </c>
      <c r="N217" s="36"/>
      <c r="O217" s="33">
        <v>3</v>
      </c>
      <c r="P217" s="33">
        <f>IF(Tabela1[[#This Row],[Status]]="✔️",Tabela1[[#This Row],[Peso]],IF(Tabela1[[#This Row],[Status]]="✔️✔️",Tabela1[[#This Row],[Peso]]/2,0))</f>
        <v>0</v>
      </c>
      <c r="Q21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17" s="33" t="s">
        <v>130</v>
      </c>
      <c r="S217" s="37" t="s">
        <v>132</v>
      </c>
    </row>
    <row r="218" spans="8:19" ht="27.6" x14ac:dyDescent="0.3">
      <c r="H218" s="32" t="s">
        <v>9</v>
      </c>
      <c r="I218" s="33" t="s">
        <v>33</v>
      </c>
      <c r="J218" s="34" t="s">
        <v>131</v>
      </c>
      <c r="K218" s="35" t="s">
        <v>0</v>
      </c>
      <c r="L218" s="33"/>
      <c r="M218" s="33"/>
      <c r="N218" s="36"/>
      <c r="O218" s="33">
        <v>3</v>
      </c>
      <c r="P218" s="33">
        <f>IF(Tabela1[[#This Row],[Status]]="✔️",Tabela1[[#This Row],[Peso]],IF(Tabela1[[#This Row],[Status]]="✔️✔️",Tabela1[[#This Row],[Peso]]/2,0))</f>
        <v>3</v>
      </c>
      <c r="Q21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18" s="33" t="s">
        <v>130</v>
      </c>
      <c r="S218" s="37" t="s">
        <v>132</v>
      </c>
    </row>
    <row r="219" spans="8:19" ht="27.6" x14ac:dyDescent="0.3">
      <c r="H219" s="32" t="s">
        <v>9</v>
      </c>
      <c r="I219" s="33" t="s">
        <v>33</v>
      </c>
      <c r="J219" s="34" t="s">
        <v>35</v>
      </c>
      <c r="K219" s="35" t="s">
        <v>0</v>
      </c>
      <c r="L219" s="33"/>
      <c r="M219" s="33"/>
      <c r="N219" s="36"/>
      <c r="O219" s="33">
        <v>3</v>
      </c>
      <c r="P219" s="33">
        <f>IF(Tabela1[[#This Row],[Status]]="✔️",Tabela1[[#This Row],[Peso]],IF(Tabela1[[#This Row],[Status]]="✔️✔️",Tabela1[[#This Row],[Peso]]/2,0))</f>
        <v>3</v>
      </c>
      <c r="Q21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19" s="33" t="s">
        <v>130</v>
      </c>
      <c r="S219" s="37" t="s">
        <v>132</v>
      </c>
    </row>
    <row r="220" spans="8:19" ht="69" x14ac:dyDescent="0.3">
      <c r="H220" s="32" t="s">
        <v>9</v>
      </c>
      <c r="I220" s="33" t="s">
        <v>33</v>
      </c>
      <c r="J220" s="34" t="s">
        <v>446</v>
      </c>
      <c r="K220" s="35" t="s">
        <v>290</v>
      </c>
      <c r="L220" s="33" t="s">
        <v>140</v>
      </c>
      <c r="M220" s="33">
        <v>5931</v>
      </c>
      <c r="N220" s="36"/>
      <c r="O220" s="33">
        <v>3</v>
      </c>
      <c r="P220" s="33">
        <f>IF(Tabela1[[#This Row],[Status]]="✔️",Tabela1[[#This Row],[Peso]],IF(Tabela1[[#This Row],[Status]]="✔️✔️",Tabela1[[#This Row],[Peso]]/2,0))</f>
        <v>0</v>
      </c>
      <c r="Q22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20" s="33" t="s">
        <v>130</v>
      </c>
      <c r="S220" s="37" t="s">
        <v>132</v>
      </c>
    </row>
    <row r="221" spans="8:19" ht="96.6" x14ac:dyDescent="0.3">
      <c r="H221" s="32" t="s">
        <v>9</v>
      </c>
      <c r="I221" s="33" t="s">
        <v>33</v>
      </c>
      <c r="J221" s="34" t="s">
        <v>36</v>
      </c>
      <c r="K221" s="35" t="s">
        <v>290</v>
      </c>
      <c r="L221" s="33" t="s">
        <v>141</v>
      </c>
      <c r="M221" s="33">
        <v>7906</v>
      </c>
      <c r="N221" s="36"/>
      <c r="O221" s="33">
        <v>3</v>
      </c>
      <c r="P221" s="33">
        <f>IF(Tabela1[[#This Row],[Status]]="✔️",Tabela1[[#This Row],[Peso]],IF(Tabela1[[#This Row],[Status]]="✔️✔️",Tabela1[[#This Row],[Peso]]/2,0))</f>
        <v>0</v>
      </c>
      <c r="Q22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21" s="33" t="s">
        <v>130</v>
      </c>
      <c r="S221" s="37" t="s">
        <v>132</v>
      </c>
    </row>
    <row r="222" spans="8:19" ht="27.6" x14ac:dyDescent="0.3">
      <c r="H222" s="32" t="s">
        <v>9</v>
      </c>
      <c r="I222" s="33" t="s">
        <v>33</v>
      </c>
      <c r="J222" s="34" t="s">
        <v>37</v>
      </c>
      <c r="K222" s="35" t="s">
        <v>290</v>
      </c>
      <c r="L222" s="33" t="s">
        <v>142</v>
      </c>
      <c r="M222" s="33" t="s">
        <v>306</v>
      </c>
      <c r="N222" s="36"/>
      <c r="O222" s="33">
        <v>3</v>
      </c>
      <c r="P222" s="33">
        <f>IF(Tabela1[[#This Row],[Status]]="✔️",Tabela1[[#This Row],[Peso]],IF(Tabela1[[#This Row],[Status]]="✔️✔️",Tabela1[[#This Row],[Peso]]/2,0))</f>
        <v>0</v>
      </c>
      <c r="Q22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22" s="33" t="s">
        <v>130</v>
      </c>
      <c r="S222" s="37" t="s">
        <v>132</v>
      </c>
    </row>
    <row r="223" spans="8:19" ht="27.6" x14ac:dyDescent="0.3">
      <c r="H223" s="32" t="s">
        <v>9</v>
      </c>
      <c r="I223" s="33" t="s">
        <v>33</v>
      </c>
      <c r="J223" s="34" t="s">
        <v>37</v>
      </c>
      <c r="K223" s="35" t="s">
        <v>290</v>
      </c>
      <c r="L223" s="33" t="s">
        <v>142</v>
      </c>
      <c r="M223" s="33">
        <v>9940</v>
      </c>
      <c r="N223" s="36"/>
      <c r="O223" s="33">
        <v>3</v>
      </c>
      <c r="P223" s="33">
        <f>IF(Tabela1[[#This Row],[Status]]="✔️",Tabela1[[#This Row],[Peso]],IF(Tabela1[[#This Row],[Status]]="✔️✔️",Tabela1[[#This Row],[Peso]]/2,0))</f>
        <v>0</v>
      </c>
      <c r="Q22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23" s="33" t="s">
        <v>130</v>
      </c>
      <c r="S223" s="37" t="s">
        <v>132</v>
      </c>
    </row>
    <row r="224" spans="8:19" ht="27.6" x14ac:dyDescent="0.3">
      <c r="H224" s="32" t="s">
        <v>9</v>
      </c>
      <c r="I224" s="33" t="s">
        <v>38</v>
      </c>
      <c r="J224" s="34" t="s">
        <v>39</v>
      </c>
      <c r="K224" s="35" t="s">
        <v>0</v>
      </c>
      <c r="L224" s="33"/>
      <c r="M224" s="33"/>
      <c r="N224" s="36"/>
      <c r="O224" s="33">
        <v>3</v>
      </c>
      <c r="P224" s="33">
        <f>IF(Tabela1[[#This Row],[Status]]="✔️",Tabela1[[#This Row],[Peso]],IF(Tabela1[[#This Row],[Status]]="✔️✔️",Tabela1[[#This Row],[Peso]]/2,0))</f>
        <v>3</v>
      </c>
      <c r="Q22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24" s="33" t="s">
        <v>130</v>
      </c>
      <c r="S224" s="37" t="s">
        <v>132</v>
      </c>
    </row>
    <row r="225" spans="8:19" ht="69" x14ac:dyDescent="0.3">
      <c r="H225" s="32" t="s">
        <v>9</v>
      </c>
      <c r="I225" s="33" t="s">
        <v>38</v>
      </c>
      <c r="J225" s="34" t="s">
        <v>40</v>
      </c>
      <c r="K225" s="35" t="s">
        <v>290</v>
      </c>
      <c r="L225" s="33" t="s">
        <v>143</v>
      </c>
      <c r="M225" s="33" t="s">
        <v>144</v>
      </c>
      <c r="N225" s="36"/>
      <c r="O225" s="33">
        <v>3</v>
      </c>
      <c r="P225" s="33">
        <f>IF(Tabela1[[#This Row],[Status]]="✔️",Tabela1[[#This Row],[Peso]],IF(Tabela1[[#This Row],[Status]]="✔️✔️",Tabela1[[#This Row],[Peso]]/2,0))</f>
        <v>0</v>
      </c>
      <c r="Q22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25" s="33" t="s">
        <v>130</v>
      </c>
      <c r="S225" s="37" t="s">
        <v>132</v>
      </c>
    </row>
    <row r="226" spans="8:19" ht="41.4" x14ac:dyDescent="0.3">
      <c r="H226" s="32" t="s">
        <v>9</v>
      </c>
      <c r="I226" s="33" t="s">
        <v>41</v>
      </c>
      <c r="J226" s="34" t="s">
        <v>442</v>
      </c>
      <c r="K226" s="35" t="s">
        <v>290</v>
      </c>
      <c r="L226" s="33" t="s">
        <v>47</v>
      </c>
      <c r="M226" s="33">
        <v>3184</v>
      </c>
      <c r="N226" s="36"/>
      <c r="O226" s="33">
        <v>3</v>
      </c>
      <c r="P226" s="33">
        <f>IF(Tabela1[[#This Row],[Status]]="✔️",Tabela1[[#This Row],[Peso]],IF(Tabela1[[#This Row],[Status]]="✔️✔️",Tabela1[[#This Row],[Peso]]/2,0))</f>
        <v>0</v>
      </c>
      <c r="Q22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26" s="33" t="s">
        <v>130</v>
      </c>
      <c r="S226" s="37" t="s">
        <v>132</v>
      </c>
    </row>
    <row r="227" spans="8:19" ht="41.4" x14ac:dyDescent="0.3">
      <c r="H227" s="32" t="s">
        <v>9</v>
      </c>
      <c r="I227" s="33" t="s">
        <v>41</v>
      </c>
      <c r="J227" s="34" t="s">
        <v>443</v>
      </c>
      <c r="K227" s="35" t="s">
        <v>290</v>
      </c>
      <c r="L227" s="33" t="s">
        <v>309</v>
      </c>
      <c r="M227" s="33">
        <v>3184</v>
      </c>
      <c r="N227" s="36"/>
      <c r="O227" s="33">
        <v>2</v>
      </c>
      <c r="P227" s="33">
        <f>IF(Tabela1[[#This Row],[Status]]="✔️",Tabela1[[#This Row],[Peso]],IF(Tabela1[[#This Row],[Status]]="✔️✔️",Tabela1[[#This Row],[Peso]]/2,0))</f>
        <v>0</v>
      </c>
      <c r="Q22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227" s="33" t="s">
        <v>130</v>
      </c>
      <c r="S227" s="37" t="s">
        <v>132</v>
      </c>
    </row>
    <row r="228" spans="8:19" ht="27.6" x14ac:dyDescent="0.3">
      <c r="H228" s="32" t="s">
        <v>9</v>
      </c>
      <c r="I228" s="33" t="s">
        <v>10</v>
      </c>
      <c r="J228" s="34" t="s">
        <v>11</v>
      </c>
      <c r="K228" s="35" t="s">
        <v>0</v>
      </c>
      <c r="L228" s="33"/>
      <c r="M228" s="33"/>
      <c r="N228" s="36"/>
      <c r="O228" s="33">
        <v>3</v>
      </c>
      <c r="P228" s="33">
        <f>IF(Tabela1[[#This Row],[Status]]="✔️",Tabela1[[#This Row],[Peso]],IF(Tabela1[[#This Row],[Status]]="✔️✔️",Tabela1[[#This Row],[Peso]]/2,0))</f>
        <v>3</v>
      </c>
      <c r="Q22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28" s="33" t="s">
        <v>130</v>
      </c>
      <c r="S228" s="37" t="s">
        <v>132</v>
      </c>
    </row>
    <row r="229" spans="8:19" ht="27.6" x14ac:dyDescent="0.3">
      <c r="H229" s="32" t="s">
        <v>9</v>
      </c>
      <c r="I229" s="33" t="s">
        <v>30</v>
      </c>
      <c r="J229" s="34" t="s">
        <v>438</v>
      </c>
      <c r="K229" s="35" t="s">
        <v>0</v>
      </c>
      <c r="L229" s="33"/>
      <c r="M229" s="33"/>
      <c r="N229" s="36"/>
      <c r="O229" s="33">
        <v>3</v>
      </c>
      <c r="P229" s="33">
        <f>IF(Tabela1[[#This Row],[Status]]="✔️",Tabela1[[#This Row],[Peso]],IF(Tabela1[[#This Row],[Status]]="✔️✔️",Tabela1[[#This Row],[Peso]]/2,0))</f>
        <v>3</v>
      </c>
      <c r="Q22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29" s="33" t="s">
        <v>130</v>
      </c>
      <c r="S229" s="37" t="s">
        <v>128</v>
      </c>
    </row>
    <row r="230" spans="8:19" ht="27.6" x14ac:dyDescent="0.3">
      <c r="H230" s="32" t="s">
        <v>9</v>
      </c>
      <c r="I230" s="33" t="s">
        <v>10</v>
      </c>
      <c r="J230" s="34" t="s">
        <v>444</v>
      </c>
      <c r="K230" s="35" t="s">
        <v>0</v>
      </c>
      <c r="L230" s="33"/>
      <c r="M230" s="33"/>
      <c r="N230" s="36"/>
      <c r="O230" s="33">
        <v>3</v>
      </c>
      <c r="P230" s="33">
        <f>IF(Tabela1[[#This Row],[Status]]="✔️",Tabela1[[#This Row],[Peso]],IF(Tabela1[[#This Row],[Status]]="✔️✔️",Tabela1[[#This Row],[Peso]]/2,0))</f>
        <v>3</v>
      </c>
      <c r="Q23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30" s="33" t="s">
        <v>130</v>
      </c>
      <c r="S230" s="37" t="s">
        <v>132</v>
      </c>
    </row>
    <row r="231" spans="8:19" ht="27.6" x14ac:dyDescent="0.3">
      <c r="H231" s="32" t="s">
        <v>9</v>
      </c>
      <c r="I231" s="33" t="s">
        <v>10</v>
      </c>
      <c r="J231" s="34" t="s">
        <v>11</v>
      </c>
      <c r="K231" s="35" t="s">
        <v>0</v>
      </c>
      <c r="L231" s="33"/>
      <c r="M231" s="33"/>
      <c r="N231" s="36"/>
      <c r="O231" s="33">
        <v>3</v>
      </c>
      <c r="P231" s="33">
        <f>IF(Tabela1[[#This Row],[Status]]="✔️",Tabela1[[#This Row],[Peso]],IF(Tabela1[[#This Row],[Status]]="✔️✔️",Tabela1[[#This Row],[Peso]]/2,0))</f>
        <v>3</v>
      </c>
      <c r="Q23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31" s="33" t="s">
        <v>130</v>
      </c>
      <c r="S231" s="37" t="s">
        <v>128</v>
      </c>
    </row>
    <row r="232" spans="8:19" ht="27.6" x14ac:dyDescent="0.3">
      <c r="H232" s="32" t="s">
        <v>9</v>
      </c>
      <c r="I232" s="33" t="s">
        <v>10</v>
      </c>
      <c r="J232" s="34" t="s">
        <v>439</v>
      </c>
      <c r="K232" s="35" t="s">
        <v>0</v>
      </c>
      <c r="L232" s="33"/>
      <c r="M232" s="33"/>
      <c r="N232" s="36"/>
      <c r="O232" s="33">
        <v>3</v>
      </c>
      <c r="P232" s="33">
        <f>IF(Tabela1[[#This Row],[Status]]="✔️",Tabela1[[#This Row],[Peso]],IF(Tabela1[[#This Row],[Status]]="✔️✔️",Tabela1[[#This Row],[Peso]]/2,0))</f>
        <v>3</v>
      </c>
      <c r="Q23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32" s="33" t="s">
        <v>130</v>
      </c>
      <c r="S232" s="37" t="s">
        <v>128</v>
      </c>
    </row>
    <row r="233" spans="8:19" ht="27.6" x14ac:dyDescent="0.3">
      <c r="H233" s="32" t="s">
        <v>9</v>
      </c>
      <c r="I233" s="33" t="s">
        <v>10</v>
      </c>
      <c r="J233" s="34" t="s">
        <v>440</v>
      </c>
      <c r="K233" s="35" t="s">
        <v>0</v>
      </c>
      <c r="L233" s="33"/>
      <c r="M233" s="33"/>
      <c r="N233" s="36"/>
      <c r="O233" s="33">
        <v>3</v>
      </c>
      <c r="P233" s="33">
        <f>IF(Tabela1[[#This Row],[Status]]="✔️",Tabela1[[#This Row],[Peso]],IF(Tabela1[[#This Row],[Status]]="✔️✔️",Tabela1[[#This Row],[Peso]]/2,0))</f>
        <v>3</v>
      </c>
      <c r="Q23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33" s="33" t="s">
        <v>130</v>
      </c>
      <c r="S233" s="37" t="s">
        <v>128</v>
      </c>
    </row>
    <row r="234" spans="8:19" ht="27.6" x14ac:dyDescent="0.3">
      <c r="H234" s="32" t="s">
        <v>9</v>
      </c>
      <c r="I234" s="33" t="s">
        <v>12</v>
      </c>
      <c r="J234" s="34" t="s">
        <v>13</v>
      </c>
      <c r="K234" s="35" t="s">
        <v>0</v>
      </c>
      <c r="L234" s="33"/>
      <c r="M234" s="33"/>
      <c r="N234" s="36"/>
      <c r="O234" s="33">
        <v>2</v>
      </c>
      <c r="P234" s="33">
        <f>IF(Tabela1[[#This Row],[Status]]="✔️",Tabela1[[#This Row],[Peso]],IF(Tabela1[[#This Row],[Status]]="✔️✔️",Tabela1[[#This Row],[Peso]]/2,0))</f>
        <v>2</v>
      </c>
      <c r="Q23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234" s="33" t="s">
        <v>130</v>
      </c>
      <c r="S234" s="37" t="s">
        <v>128</v>
      </c>
    </row>
    <row r="235" spans="8:19" ht="27.6" x14ac:dyDescent="0.3">
      <c r="H235" s="32" t="s">
        <v>9</v>
      </c>
      <c r="I235" s="33" t="s">
        <v>14</v>
      </c>
      <c r="J235" s="34" t="s">
        <v>15</v>
      </c>
      <c r="K235" s="35" t="s">
        <v>0</v>
      </c>
      <c r="L235" s="33"/>
      <c r="M235" s="33"/>
      <c r="N235" s="36"/>
      <c r="O235" s="33">
        <v>3</v>
      </c>
      <c r="P235" s="33">
        <f>IF(Tabela1[[#This Row],[Status]]="✔️",Tabela1[[#This Row],[Peso]],IF(Tabela1[[#This Row],[Status]]="✔️✔️",Tabela1[[#This Row],[Peso]]/2,0))</f>
        <v>3</v>
      </c>
      <c r="Q23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35" s="33" t="s">
        <v>130</v>
      </c>
      <c r="S235" s="37" t="s">
        <v>128</v>
      </c>
    </row>
    <row r="236" spans="8:19" ht="27.6" x14ac:dyDescent="0.3">
      <c r="H236" s="32" t="s">
        <v>9</v>
      </c>
      <c r="I236" s="33" t="s">
        <v>14</v>
      </c>
      <c r="J236" s="34" t="s">
        <v>16</v>
      </c>
      <c r="K236" s="35" t="s">
        <v>291</v>
      </c>
      <c r="L236" s="33" t="s">
        <v>248</v>
      </c>
      <c r="M236" s="33">
        <v>2059</v>
      </c>
      <c r="N236" s="36"/>
      <c r="O236" s="33">
        <v>1</v>
      </c>
      <c r="P236" s="33">
        <f>IF(Tabela1[[#This Row],[Status]]="✔️",Tabela1[[#This Row],[Peso]],IF(Tabela1[[#This Row],[Status]]="✔️✔️",Tabela1[[#This Row],[Peso]]/2,0))</f>
        <v>0.5</v>
      </c>
      <c r="Q236" s="50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236" s="33" t="s">
        <v>130</v>
      </c>
      <c r="S236" s="37" t="s">
        <v>128</v>
      </c>
    </row>
    <row r="237" spans="8:19" ht="27.6" x14ac:dyDescent="0.3">
      <c r="H237" s="32" t="s">
        <v>9</v>
      </c>
      <c r="I237" s="33" t="s">
        <v>17</v>
      </c>
      <c r="J237" s="34" t="s">
        <v>18</v>
      </c>
      <c r="K237" s="35" t="s">
        <v>0</v>
      </c>
      <c r="L237" s="33"/>
      <c r="M237" s="33"/>
      <c r="N237" s="36"/>
      <c r="O237" s="33">
        <v>3</v>
      </c>
      <c r="P237" s="33">
        <f>IF(Tabela1[[#This Row],[Status]]="✔️",Tabela1[[#This Row],[Peso]],IF(Tabela1[[#This Row],[Status]]="✔️✔️",Tabela1[[#This Row],[Peso]]/2,0))</f>
        <v>3</v>
      </c>
      <c r="Q23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37" s="33" t="s">
        <v>130</v>
      </c>
      <c r="S237" s="37" t="s">
        <v>128</v>
      </c>
    </row>
    <row r="238" spans="8:19" ht="27.6" x14ac:dyDescent="0.3">
      <c r="H238" s="32" t="s">
        <v>9</v>
      </c>
      <c r="I238" s="33" t="s">
        <v>17</v>
      </c>
      <c r="J238" s="34" t="s">
        <v>19</v>
      </c>
      <c r="K238" s="35" t="s">
        <v>0</v>
      </c>
      <c r="L238" s="33"/>
      <c r="M238" s="33"/>
      <c r="N238" s="36"/>
      <c r="O238" s="33">
        <v>3</v>
      </c>
      <c r="P238" s="33">
        <f>IF(Tabela1[[#This Row],[Status]]="✔️",Tabela1[[#This Row],[Peso]],IF(Tabela1[[#This Row],[Status]]="✔️✔️",Tabela1[[#This Row],[Peso]]/2,0))</f>
        <v>3</v>
      </c>
      <c r="Q23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38" s="33" t="s">
        <v>130</v>
      </c>
      <c r="S238" s="37" t="s">
        <v>128</v>
      </c>
    </row>
    <row r="239" spans="8:19" ht="41.4" x14ac:dyDescent="0.3">
      <c r="H239" s="32" t="s">
        <v>9</v>
      </c>
      <c r="I239" s="33" t="s">
        <v>20</v>
      </c>
      <c r="J239" s="34" t="s">
        <v>21</v>
      </c>
      <c r="K239" s="35" t="s">
        <v>290</v>
      </c>
      <c r="L239" s="33" t="s">
        <v>137</v>
      </c>
      <c r="M239" s="33">
        <v>5185</v>
      </c>
      <c r="N239" s="36"/>
      <c r="O239" s="33">
        <v>3</v>
      </c>
      <c r="P239" s="33">
        <f>IF(Tabela1[[#This Row],[Status]]="✔️",Tabela1[[#This Row],[Peso]],IF(Tabela1[[#This Row],[Status]]="✔️✔️",Tabela1[[#This Row],[Peso]]/2,0))</f>
        <v>0</v>
      </c>
      <c r="Q23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39" s="33" t="s">
        <v>130</v>
      </c>
      <c r="S239" s="37" t="s">
        <v>132</v>
      </c>
    </row>
    <row r="240" spans="8:19" ht="27.6" x14ac:dyDescent="0.3">
      <c r="H240" s="32" t="s">
        <v>9</v>
      </c>
      <c r="I240" s="33" t="s">
        <v>20</v>
      </c>
      <c r="J240" s="34" t="s">
        <v>21</v>
      </c>
      <c r="K240" s="35" t="s">
        <v>291</v>
      </c>
      <c r="L240" s="33"/>
      <c r="M240" s="33">
        <v>5185</v>
      </c>
      <c r="N240" s="36"/>
      <c r="O240" s="33">
        <v>3</v>
      </c>
      <c r="P240" s="33">
        <f>IF(Tabela1[[#This Row],[Status]]="✔️",Tabela1[[#This Row],[Peso]],IF(Tabela1[[#This Row],[Status]]="✔️✔️",Tabela1[[#This Row],[Peso]]/2,0))</f>
        <v>1.5</v>
      </c>
      <c r="Q240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240" s="33" t="s">
        <v>130</v>
      </c>
      <c r="S240" s="37" t="s">
        <v>128</v>
      </c>
    </row>
    <row r="241" spans="8:19" ht="27.6" x14ac:dyDescent="0.3">
      <c r="H241" s="32" t="s">
        <v>9</v>
      </c>
      <c r="I241" s="33" t="s">
        <v>20</v>
      </c>
      <c r="J241" s="34" t="s">
        <v>441</v>
      </c>
      <c r="K241" s="35" t="s">
        <v>0</v>
      </c>
      <c r="L241" s="33"/>
      <c r="M241" s="33"/>
      <c r="N241" s="36"/>
      <c r="O241" s="33">
        <v>1</v>
      </c>
      <c r="P241" s="33">
        <f>IF(Tabela1[[#This Row],[Status]]="✔️",Tabela1[[#This Row],[Peso]],IF(Tabela1[[#This Row],[Status]]="✔️✔️",Tabela1[[#This Row],[Peso]]/2,0))</f>
        <v>1</v>
      </c>
      <c r="Q24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241" s="33" t="s">
        <v>130</v>
      </c>
      <c r="S241" s="37" t="s">
        <v>128</v>
      </c>
    </row>
    <row r="242" spans="8:19" ht="27.6" x14ac:dyDescent="0.3">
      <c r="H242" s="32" t="s">
        <v>9</v>
      </c>
      <c r="I242" s="33" t="s">
        <v>22</v>
      </c>
      <c r="J242" s="34" t="s">
        <v>23</v>
      </c>
      <c r="K242" s="35" t="s">
        <v>0</v>
      </c>
      <c r="L242" s="33"/>
      <c r="M242" s="33"/>
      <c r="N242" s="36"/>
      <c r="O242" s="33">
        <v>1</v>
      </c>
      <c r="P242" s="33">
        <f>IF(Tabela1[[#This Row],[Status]]="✔️",Tabela1[[#This Row],[Peso]],IF(Tabela1[[#This Row],[Status]]="✔️✔️",Tabela1[[#This Row],[Peso]]/2,0))</f>
        <v>1</v>
      </c>
      <c r="Q24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242" s="33" t="s">
        <v>130</v>
      </c>
      <c r="S242" s="37" t="s">
        <v>128</v>
      </c>
    </row>
    <row r="243" spans="8:19" ht="27.6" x14ac:dyDescent="0.3">
      <c r="H243" s="32" t="s">
        <v>9</v>
      </c>
      <c r="I243" s="33" t="s">
        <v>25</v>
      </c>
      <c r="J243" s="34" t="s">
        <v>28</v>
      </c>
      <c r="K243" s="35" t="s">
        <v>0</v>
      </c>
      <c r="L243" s="33"/>
      <c r="M243" s="33"/>
      <c r="N243" s="36"/>
      <c r="O243" s="33">
        <v>3</v>
      </c>
      <c r="P243" s="33">
        <f>IF(Tabela1[[#This Row],[Status]]="✔️",Tabela1[[#This Row],[Peso]],IF(Tabela1[[#This Row],[Status]]="✔️✔️",Tabela1[[#This Row],[Peso]]/2,0))</f>
        <v>3</v>
      </c>
      <c r="Q24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43" s="33" t="s">
        <v>130</v>
      </c>
      <c r="S243" s="37" t="s">
        <v>128</v>
      </c>
    </row>
    <row r="244" spans="8:19" ht="27.6" x14ac:dyDescent="0.3">
      <c r="H244" s="32" t="s">
        <v>9</v>
      </c>
      <c r="I244" s="33" t="s">
        <v>25</v>
      </c>
      <c r="J244" s="34" t="s">
        <v>29</v>
      </c>
      <c r="K244" s="35" t="s">
        <v>0</v>
      </c>
      <c r="L244" s="33"/>
      <c r="M244" s="33"/>
      <c r="N244" s="36"/>
      <c r="O244" s="33">
        <v>3</v>
      </c>
      <c r="P244" s="33">
        <f>IF(Tabela1[[#This Row],[Status]]="✔️",Tabela1[[#This Row],[Peso]],IF(Tabela1[[#This Row],[Status]]="✔️✔️",Tabela1[[#This Row],[Peso]]/2,0))</f>
        <v>3</v>
      </c>
      <c r="Q24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44" s="33" t="s">
        <v>130</v>
      </c>
      <c r="S244" s="37" t="s">
        <v>128</v>
      </c>
    </row>
    <row r="245" spans="8:19" ht="55.2" x14ac:dyDescent="0.3">
      <c r="H245" s="32" t="s">
        <v>9</v>
      </c>
      <c r="I245" s="33" t="s">
        <v>31</v>
      </c>
      <c r="J245" s="34" t="s">
        <v>32</v>
      </c>
      <c r="K245" s="35" t="s">
        <v>291</v>
      </c>
      <c r="L245" s="33" t="s">
        <v>139</v>
      </c>
      <c r="M245" s="33">
        <v>6698</v>
      </c>
      <c r="N245" s="36"/>
      <c r="O245" s="33">
        <v>3</v>
      </c>
      <c r="P245" s="33">
        <f>IF(Tabela1[[#This Row],[Status]]="✔️",Tabela1[[#This Row],[Peso]],IF(Tabela1[[#This Row],[Status]]="✔️✔️",Tabela1[[#This Row],[Peso]]/2,0))</f>
        <v>1.5</v>
      </c>
      <c r="Q245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245" s="33" t="s">
        <v>130</v>
      </c>
      <c r="S245" s="37" t="s">
        <v>128</v>
      </c>
    </row>
    <row r="246" spans="8:19" ht="27.6" x14ac:dyDescent="0.3">
      <c r="H246" s="32" t="s">
        <v>9</v>
      </c>
      <c r="I246" s="33" t="s">
        <v>33</v>
      </c>
      <c r="J246" s="34" t="s">
        <v>131</v>
      </c>
      <c r="K246" s="35" t="s">
        <v>0</v>
      </c>
      <c r="L246" s="33"/>
      <c r="M246" s="33"/>
      <c r="N246" s="36"/>
      <c r="O246" s="33">
        <v>3</v>
      </c>
      <c r="P246" s="33">
        <f>IF(Tabela1[[#This Row],[Status]]="✔️",Tabela1[[#This Row],[Peso]],IF(Tabela1[[#This Row],[Status]]="✔️✔️",Tabela1[[#This Row],[Peso]]/2,0))</f>
        <v>3</v>
      </c>
      <c r="Q24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46" s="33" t="s">
        <v>130</v>
      </c>
      <c r="S246" s="37" t="s">
        <v>128</v>
      </c>
    </row>
    <row r="247" spans="8:19" ht="27.6" x14ac:dyDescent="0.3">
      <c r="H247" s="32" t="s">
        <v>9</v>
      </c>
      <c r="I247" s="33" t="s">
        <v>33</v>
      </c>
      <c r="J247" s="34" t="s">
        <v>35</v>
      </c>
      <c r="K247" s="35" t="s">
        <v>0</v>
      </c>
      <c r="L247" s="33"/>
      <c r="M247" s="33"/>
      <c r="N247" s="36"/>
      <c r="O247" s="33">
        <v>3</v>
      </c>
      <c r="P247" s="33">
        <f>IF(Tabela1[[#This Row],[Status]]="✔️",Tabela1[[#This Row],[Peso]],IF(Tabela1[[#This Row],[Status]]="✔️✔️",Tabela1[[#This Row],[Peso]]/2,0))</f>
        <v>3</v>
      </c>
      <c r="Q24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47" s="33" t="s">
        <v>130</v>
      </c>
      <c r="S247" s="37" t="s">
        <v>128</v>
      </c>
    </row>
    <row r="248" spans="8:19" ht="69" x14ac:dyDescent="0.3">
      <c r="H248" s="32" t="s">
        <v>9</v>
      </c>
      <c r="I248" s="33" t="s">
        <v>33</v>
      </c>
      <c r="J248" s="34" t="s">
        <v>446</v>
      </c>
      <c r="K248" s="35" t="s">
        <v>291</v>
      </c>
      <c r="L248" s="33" t="s">
        <v>140</v>
      </c>
      <c r="M248" s="33">
        <v>5931</v>
      </c>
      <c r="N248" s="36"/>
      <c r="O248" s="33">
        <v>3</v>
      </c>
      <c r="P248" s="33">
        <f>IF(Tabela1[[#This Row],[Status]]="✔️",Tabela1[[#This Row],[Peso]],IF(Tabela1[[#This Row],[Status]]="✔️✔️",Tabela1[[#This Row],[Peso]]/2,0))</f>
        <v>1.5</v>
      </c>
      <c r="Q248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248" s="33" t="s">
        <v>130</v>
      </c>
      <c r="S248" s="37" t="s">
        <v>128</v>
      </c>
    </row>
    <row r="249" spans="8:19" ht="179.4" x14ac:dyDescent="0.3">
      <c r="H249" s="32" t="s">
        <v>9</v>
      </c>
      <c r="I249" s="33" t="s">
        <v>33</v>
      </c>
      <c r="J249" s="34" t="s">
        <v>448</v>
      </c>
      <c r="K249" s="35" t="s">
        <v>290</v>
      </c>
      <c r="L249" s="33" t="s">
        <v>304</v>
      </c>
      <c r="M249" s="33">
        <v>7274</v>
      </c>
      <c r="N249" s="36"/>
      <c r="O249" s="33">
        <v>3</v>
      </c>
      <c r="P249" s="33">
        <f>IF(Tabela1[[#This Row],[Status]]="✔️",Tabela1[[#This Row],[Peso]],IF(Tabela1[[#This Row],[Status]]="✔️✔️",Tabela1[[#This Row],[Peso]]/2,0))</f>
        <v>0</v>
      </c>
      <c r="Q24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49" s="33" t="s">
        <v>130</v>
      </c>
      <c r="S249" s="37" t="s">
        <v>128</v>
      </c>
    </row>
    <row r="250" spans="8:19" ht="96.6" x14ac:dyDescent="0.3">
      <c r="H250" s="32" t="s">
        <v>9</v>
      </c>
      <c r="I250" s="33" t="s">
        <v>33</v>
      </c>
      <c r="J250" s="34" t="s">
        <v>36</v>
      </c>
      <c r="K250" s="35" t="s">
        <v>290</v>
      </c>
      <c r="L250" s="33" t="s">
        <v>141</v>
      </c>
      <c r="M250" s="33" t="s">
        <v>305</v>
      </c>
      <c r="N250" s="36"/>
      <c r="O250" s="33">
        <v>3</v>
      </c>
      <c r="P250" s="33">
        <f>IF(Tabela1[[#This Row],[Status]]="✔️",Tabela1[[#This Row],[Peso]],IF(Tabela1[[#This Row],[Status]]="✔️✔️",Tabela1[[#This Row],[Peso]]/2,0))</f>
        <v>0</v>
      </c>
      <c r="Q25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50" s="33" t="s">
        <v>130</v>
      </c>
      <c r="S250" s="37" t="s">
        <v>128</v>
      </c>
    </row>
    <row r="251" spans="8:19" ht="27.6" x14ac:dyDescent="0.3">
      <c r="H251" s="32" t="s">
        <v>9</v>
      </c>
      <c r="I251" s="33" t="s">
        <v>33</v>
      </c>
      <c r="J251" s="34" t="s">
        <v>37</v>
      </c>
      <c r="K251" s="35" t="s">
        <v>290</v>
      </c>
      <c r="L251" s="33" t="s">
        <v>142</v>
      </c>
      <c r="M251" s="33" t="s">
        <v>306</v>
      </c>
      <c r="N251" s="36"/>
      <c r="O251" s="33">
        <v>3</v>
      </c>
      <c r="P251" s="33">
        <f>IF(Tabela1[[#This Row],[Status]]="✔️",Tabela1[[#This Row],[Peso]],IF(Tabela1[[#This Row],[Status]]="✔️✔️",Tabela1[[#This Row],[Peso]]/2,0))</f>
        <v>0</v>
      </c>
      <c r="Q25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51" s="33" t="s">
        <v>130</v>
      </c>
      <c r="S251" s="37" t="s">
        <v>128</v>
      </c>
    </row>
    <row r="252" spans="8:19" ht="27.6" x14ac:dyDescent="0.3">
      <c r="H252" s="32" t="s">
        <v>9</v>
      </c>
      <c r="I252" s="33" t="s">
        <v>33</v>
      </c>
      <c r="J252" s="34" t="s">
        <v>37</v>
      </c>
      <c r="K252" s="35" t="s">
        <v>291</v>
      </c>
      <c r="L252" s="33" t="s">
        <v>142</v>
      </c>
      <c r="M252" s="33">
        <v>9940</v>
      </c>
      <c r="N252" s="36"/>
      <c r="O252" s="33">
        <v>3</v>
      </c>
      <c r="P252" s="33">
        <f>IF(Tabela1[[#This Row],[Status]]="✔️",Tabela1[[#This Row],[Peso]],IF(Tabela1[[#This Row],[Status]]="✔️✔️",Tabela1[[#This Row],[Peso]]/2,0))</f>
        <v>1.5</v>
      </c>
      <c r="Q252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252" s="33" t="s">
        <v>130</v>
      </c>
      <c r="S252" s="37" t="s">
        <v>128</v>
      </c>
    </row>
    <row r="253" spans="8:19" ht="27.6" x14ac:dyDescent="0.3">
      <c r="H253" s="32" t="s">
        <v>9</v>
      </c>
      <c r="I253" s="33" t="s">
        <v>38</v>
      </c>
      <c r="J253" s="34" t="s">
        <v>39</v>
      </c>
      <c r="K253" s="35" t="s">
        <v>0</v>
      </c>
      <c r="L253" s="33"/>
      <c r="M253" s="33"/>
      <c r="N253" s="36"/>
      <c r="O253" s="33">
        <v>3</v>
      </c>
      <c r="P253" s="33">
        <f>IF(Tabela1[[#This Row],[Status]]="✔️",Tabela1[[#This Row],[Peso]],IF(Tabela1[[#This Row],[Status]]="✔️✔️",Tabela1[[#This Row],[Peso]]/2,0))</f>
        <v>3</v>
      </c>
      <c r="Q25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53" s="33" t="s">
        <v>130</v>
      </c>
      <c r="S253" s="37" t="s">
        <v>128</v>
      </c>
    </row>
    <row r="254" spans="8:19" ht="69" x14ac:dyDescent="0.3">
      <c r="H254" s="32" t="s">
        <v>9</v>
      </c>
      <c r="I254" s="33" t="s">
        <v>38</v>
      </c>
      <c r="J254" s="34" t="s">
        <v>40</v>
      </c>
      <c r="K254" s="35" t="s">
        <v>0</v>
      </c>
      <c r="L254" s="33" t="s">
        <v>289</v>
      </c>
      <c r="M254" s="33">
        <v>9846</v>
      </c>
      <c r="N254" s="36"/>
      <c r="O254" s="33">
        <v>3</v>
      </c>
      <c r="P254" s="33">
        <f>IF(Tabela1[[#This Row],[Status]]="✔️",Tabela1[[#This Row],[Peso]],IF(Tabela1[[#This Row],[Status]]="✔️✔️",Tabela1[[#This Row],[Peso]]/2,0))</f>
        <v>3</v>
      </c>
      <c r="Q25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54" s="33" t="s">
        <v>130</v>
      </c>
      <c r="S254" s="37" t="s">
        <v>128</v>
      </c>
    </row>
    <row r="255" spans="8:19" ht="41.4" x14ac:dyDescent="0.3">
      <c r="H255" s="32" t="s">
        <v>9</v>
      </c>
      <c r="I255" s="33" t="s">
        <v>41</v>
      </c>
      <c r="J255" s="34" t="s">
        <v>442</v>
      </c>
      <c r="K255" s="35" t="s">
        <v>291</v>
      </c>
      <c r="L255" s="33" t="s">
        <v>47</v>
      </c>
      <c r="M255" s="33">
        <v>3184</v>
      </c>
      <c r="N255" s="36"/>
      <c r="O255" s="33">
        <v>3</v>
      </c>
      <c r="P255" s="33">
        <f>IF(Tabela1[[#This Row],[Status]]="✔️",Tabela1[[#This Row],[Peso]],IF(Tabela1[[#This Row],[Status]]="✔️✔️",Tabela1[[#This Row],[Peso]]/2,0))</f>
        <v>1.5</v>
      </c>
      <c r="Q255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255" s="33" t="s">
        <v>130</v>
      </c>
      <c r="S255" s="37" t="s">
        <v>128</v>
      </c>
    </row>
    <row r="256" spans="8:19" ht="41.4" x14ac:dyDescent="0.3">
      <c r="H256" s="32" t="s">
        <v>9</v>
      </c>
      <c r="I256" s="33" t="s">
        <v>41</v>
      </c>
      <c r="J256" s="34" t="s">
        <v>443</v>
      </c>
      <c r="K256" s="35" t="s">
        <v>290</v>
      </c>
      <c r="L256" s="33" t="s">
        <v>286</v>
      </c>
      <c r="M256" s="33">
        <v>3184</v>
      </c>
      <c r="N256" s="36"/>
      <c r="O256" s="33">
        <v>2</v>
      </c>
      <c r="P256" s="33">
        <f>IF(Tabela1[[#This Row],[Status]]="✔️",Tabela1[[#This Row],[Peso]],IF(Tabela1[[#This Row],[Status]]="✔️✔️",Tabela1[[#This Row],[Peso]]/2,0))</f>
        <v>0</v>
      </c>
      <c r="Q25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256" s="33" t="s">
        <v>130</v>
      </c>
      <c r="S256" s="37" t="s">
        <v>128</v>
      </c>
    </row>
    <row r="257" spans="8:19" ht="27.6" x14ac:dyDescent="0.3">
      <c r="H257" s="32" t="s">
        <v>9</v>
      </c>
      <c r="I257" s="33" t="s">
        <v>10</v>
      </c>
      <c r="J257" s="34" t="s">
        <v>444</v>
      </c>
      <c r="K257" s="35" t="s">
        <v>0</v>
      </c>
      <c r="L257" s="33"/>
      <c r="M257" s="33"/>
      <c r="N257" s="36"/>
      <c r="O257" s="33">
        <v>3</v>
      </c>
      <c r="P257" s="33">
        <f>IF(Tabela1[[#This Row],[Status]]="✔️",Tabela1[[#This Row],[Peso]],IF(Tabela1[[#This Row],[Status]]="✔️✔️",Tabela1[[#This Row],[Peso]]/2,0))</f>
        <v>3</v>
      </c>
      <c r="Q25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57" s="33" t="s">
        <v>130</v>
      </c>
      <c r="S257" s="37" t="s">
        <v>128</v>
      </c>
    </row>
    <row r="258" spans="8:19" ht="41.4" x14ac:dyDescent="0.3">
      <c r="H258" s="32" t="s">
        <v>9</v>
      </c>
      <c r="I258" s="33" t="s">
        <v>30</v>
      </c>
      <c r="J258" s="34" t="s">
        <v>438</v>
      </c>
      <c r="K258" s="35" t="s">
        <v>0</v>
      </c>
      <c r="L258" s="33"/>
      <c r="M258" s="33"/>
      <c r="N258" s="36"/>
      <c r="O258" s="33">
        <v>3</v>
      </c>
      <c r="P258" s="33">
        <f>IF(Tabela1[[#This Row],[Status]]="✔️",Tabela1[[#This Row],[Peso]],IF(Tabela1[[#This Row],[Status]]="✔️✔️",Tabela1[[#This Row],[Peso]]/2,0))</f>
        <v>3</v>
      </c>
      <c r="Q25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58" s="33" t="s">
        <v>187</v>
      </c>
      <c r="S258" s="37" t="s">
        <v>132</v>
      </c>
    </row>
    <row r="259" spans="8:19" ht="41.4" x14ac:dyDescent="0.3">
      <c r="H259" s="32" t="s">
        <v>9</v>
      </c>
      <c r="I259" s="33" t="s">
        <v>30</v>
      </c>
      <c r="J259" s="34" t="s">
        <v>438</v>
      </c>
      <c r="K259" s="35" t="s">
        <v>0</v>
      </c>
      <c r="L259" s="33"/>
      <c r="M259" s="33"/>
      <c r="N259" s="36"/>
      <c r="O259" s="33">
        <v>3</v>
      </c>
      <c r="P259" s="33">
        <f>IF(Tabela1[[#This Row],[Status]]="✔️",Tabela1[[#This Row],[Peso]],IF(Tabela1[[#This Row],[Status]]="✔️✔️",Tabela1[[#This Row],[Peso]]/2,0))</f>
        <v>3</v>
      </c>
      <c r="Q25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59" s="33" t="s">
        <v>187</v>
      </c>
      <c r="S259" s="37" t="s">
        <v>128</v>
      </c>
    </row>
    <row r="260" spans="8:19" ht="41.4" x14ac:dyDescent="0.3">
      <c r="H260" s="32" t="s">
        <v>9</v>
      </c>
      <c r="I260" s="33" t="s">
        <v>10</v>
      </c>
      <c r="J260" s="34" t="s">
        <v>439</v>
      </c>
      <c r="K260" s="35" t="s">
        <v>0</v>
      </c>
      <c r="L260" s="33"/>
      <c r="M260" s="33"/>
      <c r="N260" s="36"/>
      <c r="O260" s="33">
        <v>3</v>
      </c>
      <c r="P260" s="33">
        <f>IF(Tabela1[[#This Row],[Status]]="✔️",Tabela1[[#This Row],[Peso]],IF(Tabela1[[#This Row],[Status]]="✔️✔️",Tabela1[[#This Row],[Peso]]/2,0))</f>
        <v>3</v>
      </c>
      <c r="Q26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60" s="33" t="s">
        <v>187</v>
      </c>
      <c r="S260" s="37" t="s">
        <v>132</v>
      </c>
    </row>
    <row r="261" spans="8:19" ht="41.4" x14ac:dyDescent="0.3">
      <c r="H261" s="32" t="s">
        <v>9</v>
      </c>
      <c r="I261" s="33" t="s">
        <v>10</v>
      </c>
      <c r="J261" s="34" t="s">
        <v>440</v>
      </c>
      <c r="K261" s="35" t="s">
        <v>0</v>
      </c>
      <c r="L261" s="33"/>
      <c r="M261" s="33"/>
      <c r="N261" s="36"/>
      <c r="O261" s="33">
        <v>3</v>
      </c>
      <c r="P261" s="33">
        <f>IF(Tabela1[[#This Row],[Status]]="✔️",Tabela1[[#This Row],[Peso]],IF(Tabela1[[#This Row],[Status]]="✔️✔️",Tabela1[[#This Row],[Peso]]/2,0))</f>
        <v>3</v>
      </c>
      <c r="Q26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61" s="33" t="s">
        <v>187</v>
      </c>
      <c r="S261" s="37" t="s">
        <v>132</v>
      </c>
    </row>
    <row r="262" spans="8:19" ht="41.4" x14ac:dyDescent="0.3">
      <c r="H262" s="32" t="s">
        <v>9</v>
      </c>
      <c r="I262" s="33" t="s">
        <v>12</v>
      </c>
      <c r="J262" s="34" t="s">
        <v>13</v>
      </c>
      <c r="K262" s="35" t="s">
        <v>0</v>
      </c>
      <c r="L262" s="33"/>
      <c r="M262" s="33"/>
      <c r="N262" s="36"/>
      <c r="O262" s="33">
        <v>2</v>
      </c>
      <c r="P262" s="33">
        <f>IF(Tabela1[[#This Row],[Status]]="✔️",Tabela1[[#This Row],[Peso]],IF(Tabela1[[#This Row],[Status]]="✔️✔️",Tabela1[[#This Row],[Peso]]/2,0))</f>
        <v>2</v>
      </c>
      <c r="Q262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262" s="33" t="s">
        <v>187</v>
      </c>
      <c r="S262" s="37" t="s">
        <v>132</v>
      </c>
    </row>
    <row r="263" spans="8:19" ht="41.4" x14ac:dyDescent="0.3">
      <c r="H263" s="32" t="s">
        <v>9</v>
      </c>
      <c r="I263" s="33" t="s">
        <v>14</v>
      </c>
      <c r="J263" s="34" t="s">
        <v>15</v>
      </c>
      <c r="K263" s="35" t="s">
        <v>0</v>
      </c>
      <c r="L263" s="33"/>
      <c r="M263" s="33"/>
      <c r="N263" s="36"/>
      <c r="O263" s="33">
        <v>3</v>
      </c>
      <c r="P263" s="33">
        <f>IF(Tabela1[[#This Row],[Status]]="✔️",Tabela1[[#This Row],[Peso]],IF(Tabela1[[#This Row],[Status]]="✔️✔️",Tabela1[[#This Row],[Peso]]/2,0))</f>
        <v>3</v>
      </c>
      <c r="Q26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63" s="33" t="s">
        <v>187</v>
      </c>
      <c r="S263" s="37" t="s">
        <v>132</v>
      </c>
    </row>
    <row r="264" spans="8:19" ht="41.4" x14ac:dyDescent="0.3">
      <c r="H264" s="32" t="s">
        <v>9</v>
      </c>
      <c r="I264" s="33" t="s">
        <v>14</v>
      </c>
      <c r="J264" s="34" t="s">
        <v>16</v>
      </c>
      <c r="K264" s="35" t="s">
        <v>0</v>
      </c>
      <c r="L264" s="33"/>
      <c r="M264" s="33"/>
      <c r="N264" s="36"/>
      <c r="O264" s="33">
        <v>1</v>
      </c>
      <c r="P264" s="33">
        <f>IF(Tabela1[[#This Row],[Status]]="✔️",Tabela1[[#This Row],[Peso]],IF(Tabela1[[#This Row],[Status]]="✔️✔️",Tabela1[[#This Row],[Peso]]/2,0))</f>
        <v>1</v>
      </c>
      <c r="Q26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264" s="33" t="s">
        <v>187</v>
      </c>
      <c r="S264" s="37" t="s">
        <v>132</v>
      </c>
    </row>
    <row r="265" spans="8:19" ht="41.4" x14ac:dyDescent="0.3">
      <c r="H265" s="32" t="s">
        <v>9</v>
      </c>
      <c r="I265" s="33" t="s">
        <v>17</v>
      </c>
      <c r="J265" s="34" t="s">
        <v>18</v>
      </c>
      <c r="K265" s="35" t="s">
        <v>0</v>
      </c>
      <c r="L265" s="33"/>
      <c r="M265" s="33"/>
      <c r="N265" s="36"/>
      <c r="O265" s="33">
        <v>3</v>
      </c>
      <c r="P265" s="33">
        <f>IF(Tabela1[[#This Row],[Status]]="✔️",Tabela1[[#This Row],[Peso]],IF(Tabela1[[#This Row],[Status]]="✔️✔️",Tabela1[[#This Row],[Peso]]/2,0))</f>
        <v>3</v>
      </c>
      <c r="Q26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65" s="33" t="s">
        <v>187</v>
      </c>
      <c r="S265" s="37" t="s">
        <v>132</v>
      </c>
    </row>
    <row r="266" spans="8:19" ht="41.4" x14ac:dyDescent="0.3">
      <c r="H266" s="32" t="s">
        <v>9</v>
      </c>
      <c r="I266" s="33" t="s">
        <v>17</v>
      </c>
      <c r="J266" s="34" t="s">
        <v>19</v>
      </c>
      <c r="K266" s="35" t="s">
        <v>0</v>
      </c>
      <c r="L266" s="33"/>
      <c r="M266" s="33"/>
      <c r="N266" s="36"/>
      <c r="O266" s="33">
        <v>3</v>
      </c>
      <c r="P266" s="33">
        <f>IF(Tabela1[[#This Row],[Status]]="✔️",Tabela1[[#This Row],[Peso]],IF(Tabela1[[#This Row],[Status]]="✔️✔️",Tabela1[[#This Row],[Peso]]/2,0))</f>
        <v>3</v>
      </c>
      <c r="Q26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66" s="33" t="s">
        <v>187</v>
      </c>
      <c r="S266" s="37" t="s">
        <v>132</v>
      </c>
    </row>
    <row r="267" spans="8:19" ht="41.4" x14ac:dyDescent="0.3">
      <c r="H267" s="32" t="s">
        <v>9</v>
      </c>
      <c r="I267" s="33" t="s">
        <v>20</v>
      </c>
      <c r="J267" s="34" t="s">
        <v>21</v>
      </c>
      <c r="K267" s="35" t="s">
        <v>290</v>
      </c>
      <c r="L267" s="33" t="s">
        <v>188</v>
      </c>
      <c r="M267" s="33">
        <v>4129</v>
      </c>
      <c r="N267" s="36"/>
      <c r="O267" s="33">
        <v>3</v>
      </c>
      <c r="P267" s="33">
        <f>IF(Tabela1[[#This Row],[Status]]="✔️",Tabela1[[#This Row],[Peso]],IF(Tabela1[[#This Row],[Status]]="✔️✔️",Tabela1[[#This Row],[Peso]]/2,0))</f>
        <v>0</v>
      </c>
      <c r="Q26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67" s="33" t="s">
        <v>187</v>
      </c>
      <c r="S267" s="37" t="s">
        <v>132</v>
      </c>
    </row>
    <row r="268" spans="8:19" ht="41.4" x14ac:dyDescent="0.3">
      <c r="H268" s="32" t="s">
        <v>9</v>
      </c>
      <c r="I268" s="33" t="s">
        <v>20</v>
      </c>
      <c r="J268" s="34" t="s">
        <v>441</v>
      </c>
      <c r="K268" s="35" t="s">
        <v>290</v>
      </c>
      <c r="L268" s="33" t="s">
        <v>189</v>
      </c>
      <c r="M268" s="33">
        <v>2456</v>
      </c>
      <c r="N268" s="36"/>
      <c r="O268" s="33">
        <v>1</v>
      </c>
      <c r="P268" s="33">
        <f>IF(Tabela1[[#This Row],[Status]]="✔️",Tabela1[[#This Row],[Peso]],IF(Tabela1[[#This Row],[Status]]="✔️✔️",Tabela1[[#This Row],[Peso]]/2,0))</f>
        <v>0</v>
      </c>
      <c r="Q26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268" s="33" t="s">
        <v>187</v>
      </c>
      <c r="S268" s="37" t="s">
        <v>132</v>
      </c>
    </row>
    <row r="269" spans="8:19" ht="41.4" x14ac:dyDescent="0.3">
      <c r="H269" s="32" t="s">
        <v>9</v>
      </c>
      <c r="I269" s="33" t="s">
        <v>22</v>
      </c>
      <c r="J269" s="34" t="s">
        <v>23</v>
      </c>
      <c r="K269" s="35" t="s">
        <v>0</v>
      </c>
      <c r="L269" s="33"/>
      <c r="M269" s="33"/>
      <c r="N269" s="36"/>
      <c r="O269" s="33">
        <v>1</v>
      </c>
      <c r="P269" s="33">
        <f>IF(Tabela1[[#This Row],[Status]]="✔️",Tabela1[[#This Row],[Peso]],IF(Tabela1[[#This Row],[Status]]="✔️✔️",Tabela1[[#This Row],[Peso]]/2,0))</f>
        <v>1</v>
      </c>
      <c r="Q26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269" s="33" t="s">
        <v>187</v>
      </c>
      <c r="S269" s="37" t="s">
        <v>132</v>
      </c>
    </row>
    <row r="270" spans="8:19" ht="41.4" x14ac:dyDescent="0.3">
      <c r="H270" s="32" t="s">
        <v>9</v>
      </c>
      <c r="I270" s="33" t="s">
        <v>22</v>
      </c>
      <c r="J270" s="34" t="s">
        <v>24</v>
      </c>
      <c r="K270" s="35" t="s">
        <v>290</v>
      </c>
      <c r="L270" s="33" t="s">
        <v>190</v>
      </c>
      <c r="M270" s="33">
        <v>6126</v>
      </c>
      <c r="N270" s="36"/>
      <c r="O270" s="33">
        <v>1</v>
      </c>
      <c r="P270" s="33">
        <f>IF(Tabela1[[#This Row],[Status]]="✔️",Tabela1[[#This Row],[Peso]],IF(Tabela1[[#This Row],[Status]]="✔️✔️",Tabela1[[#This Row],[Peso]]/2,0))</f>
        <v>0</v>
      </c>
      <c r="Q27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270" s="33" t="s">
        <v>187</v>
      </c>
      <c r="S270" s="37" t="s">
        <v>132</v>
      </c>
    </row>
    <row r="271" spans="8:19" ht="41.4" x14ac:dyDescent="0.3">
      <c r="H271" s="32" t="s">
        <v>9</v>
      </c>
      <c r="I271" s="33" t="s">
        <v>25</v>
      </c>
      <c r="J271" s="34" t="s">
        <v>26</v>
      </c>
      <c r="K271" s="35" t="s">
        <v>290</v>
      </c>
      <c r="L271" s="33" t="s">
        <v>191</v>
      </c>
      <c r="M271" s="33">
        <v>5415</v>
      </c>
      <c r="N271" s="36"/>
      <c r="O271" s="33">
        <v>3</v>
      </c>
      <c r="P271" s="33">
        <f>IF(Tabela1[[#This Row],[Status]]="✔️",Tabela1[[#This Row],[Peso]],IF(Tabela1[[#This Row],[Status]]="✔️✔️",Tabela1[[#This Row],[Peso]]/2,0))</f>
        <v>0</v>
      </c>
      <c r="Q27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71" s="33" t="s">
        <v>187</v>
      </c>
      <c r="S271" s="37" t="s">
        <v>132</v>
      </c>
    </row>
    <row r="272" spans="8:19" ht="41.4" x14ac:dyDescent="0.3">
      <c r="H272" s="32" t="s">
        <v>9</v>
      </c>
      <c r="I272" s="33" t="s">
        <v>25</v>
      </c>
      <c r="J272" s="34" t="s">
        <v>27</v>
      </c>
      <c r="K272" s="35" t="s">
        <v>290</v>
      </c>
      <c r="L272" s="33"/>
      <c r="M272" s="33">
        <v>3565</v>
      </c>
      <c r="N272" s="36"/>
      <c r="O272" s="33">
        <v>3</v>
      </c>
      <c r="P272" s="33">
        <f>IF(Tabela1[[#This Row],[Status]]="✔️",Tabela1[[#This Row],[Peso]],IF(Tabela1[[#This Row],[Status]]="✔️✔️",Tabela1[[#This Row],[Peso]]/2,0))</f>
        <v>0</v>
      </c>
      <c r="Q27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72" s="33" t="s">
        <v>187</v>
      </c>
      <c r="S272" s="37" t="s">
        <v>132</v>
      </c>
    </row>
    <row r="273" spans="8:19" ht="41.4" x14ac:dyDescent="0.3">
      <c r="H273" s="32" t="s">
        <v>9</v>
      </c>
      <c r="I273" s="33" t="s">
        <v>25</v>
      </c>
      <c r="J273" s="34" t="s">
        <v>28</v>
      </c>
      <c r="K273" s="35" t="s">
        <v>290</v>
      </c>
      <c r="L273" s="33" t="s">
        <v>192</v>
      </c>
      <c r="M273" s="33">
        <v>7263</v>
      </c>
      <c r="N273" s="36"/>
      <c r="O273" s="33">
        <v>3</v>
      </c>
      <c r="P273" s="33">
        <f>IF(Tabela1[[#This Row],[Status]]="✔️",Tabela1[[#This Row],[Peso]],IF(Tabela1[[#This Row],[Status]]="✔️✔️",Tabela1[[#This Row],[Peso]]/2,0))</f>
        <v>0</v>
      </c>
      <c r="Q27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73" s="33" t="s">
        <v>187</v>
      </c>
      <c r="S273" s="37" t="s">
        <v>132</v>
      </c>
    </row>
    <row r="274" spans="8:19" ht="41.4" x14ac:dyDescent="0.3">
      <c r="H274" s="32" t="s">
        <v>9</v>
      </c>
      <c r="I274" s="33" t="s">
        <v>25</v>
      </c>
      <c r="J274" s="34" t="s">
        <v>29</v>
      </c>
      <c r="K274" s="35" t="s">
        <v>290</v>
      </c>
      <c r="L274" s="33" t="s">
        <v>193</v>
      </c>
      <c r="M274" s="33">
        <v>9003</v>
      </c>
      <c r="N274" s="36"/>
      <c r="O274" s="33">
        <v>3</v>
      </c>
      <c r="P274" s="33">
        <f>IF(Tabela1[[#This Row],[Status]]="✔️",Tabela1[[#This Row],[Peso]],IF(Tabela1[[#This Row],[Status]]="✔️✔️",Tabela1[[#This Row],[Peso]]/2,0))</f>
        <v>0</v>
      </c>
      <c r="Q27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74" s="33" t="s">
        <v>187</v>
      </c>
      <c r="S274" s="37" t="s">
        <v>132</v>
      </c>
    </row>
    <row r="275" spans="8:19" ht="41.4" x14ac:dyDescent="0.3">
      <c r="H275" s="32" t="s">
        <v>9</v>
      </c>
      <c r="I275" s="33" t="s">
        <v>31</v>
      </c>
      <c r="J275" s="34" t="s">
        <v>32</v>
      </c>
      <c r="K275" s="35" t="s">
        <v>290</v>
      </c>
      <c r="L275" s="33" t="s">
        <v>194</v>
      </c>
      <c r="M275" s="33">
        <v>5424</v>
      </c>
      <c r="N275" s="36"/>
      <c r="O275" s="33">
        <v>3</v>
      </c>
      <c r="P275" s="33">
        <f>IF(Tabela1[[#This Row],[Status]]="✔️",Tabela1[[#This Row],[Peso]],IF(Tabela1[[#This Row],[Status]]="✔️✔️",Tabela1[[#This Row],[Peso]]/2,0))</f>
        <v>0</v>
      </c>
      <c r="Q27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75" s="33" t="s">
        <v>187</v>
      </c>
      <c r="S275" s="37" t="s">
        <v>132</v>
      </c>
    </row>
    <row r="276" spans="8:19" ht="41.4" x14ac:dyDescent="0.3">
      <c r="H276" s="32" t="s">
        <v>9</v>
      </c>
      <c r="I276" s="33" t="s">
        <v>33</v>
      </c>
      <c r="J276" s="34" t="s">
        <v>34</v>
      </c>
      <c r="K276" s="35" t="s">
        <v>290</v>
      </c>
      <c r="L276" s="33" t="s">
        <v>195</v>
      </c>
      <c r="M276" s="33">
        <v>4595</v>
      </c>
      <c r="N276" s="36"/>
      <c r="O276" s="33">
        <v>3</v>
      </c>
      <c r="P276" s="33">
        <f>IF(Tabela1[[#This Row],[Status]]="✔️",Tabela1[[#This Row],[Peso]],IF(Tabela1[[#This Row],[Status]]="✔️✔️",Tabela1[[#This Row],[Peso]]/2,0))</f>
        <v>0</v>
      </c>
      <c r="Q27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76" s="33" t="s">
        <v>187</v>
      </c>
      <c r="S276" s="37" t="s">
        <v>132</v>
      </c>
    </row>
    <row r="277" spans="8:19" ht="41.4" x14ac:dyDescent="0.3">
      <c r="H277" s="32" t="s">
        <v>9</v>
      </c>
      <c r="I277" s="33" t="s">
        <v>33</v>
      </c>
      <c r="J277" s="34" t="s">
        <v>35</v>
      </c>
      <c r="K277" s="35" t="s">
        <v>0</v>
      </c>
      <c r="L277" s="33"/>
      <c r="M277" s="33"/>
      <c r="N277" s="36"/>
      <c r="O277" s="33">
        <v>3</v>
      </c>
      <c r="P277" s="33">
        <f>IF(Tabela1[[#This Row],[Status]]="✔️",Tabela1[[#This Row],[Peso]],IF(Tabela1[[#This Row],[Status]]="✔️✔️",Tabela1[[#This Row],[Peso]]/2,0))</f>
        <v>3</v>
      </c>
      <c r="Q27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77" s="33" t="s">
        <v>187</v>
      </c>
      <c r="S277" s="37" t="s">
        <v>132</v>
      </c>
    </row>
    <row r="278" spans="8:19" ht="41.4" x14ac:dyDescent="0.3">
      <c r="H278" s="32" t="s">
        <v>9</v>
      </c>
      <c r="I278" s="33" t="s">
        <v>33</v>
      </c>
      <c r="J278" s="34" t="s">
        <v>446</v>
      </c>
      <c r="K278" s="35" t="s">
        <v>290</v>
      </c>
      <c r="L278" s="33" t="s">
        <v>196</v>
      </c>
      <c r="M278" s="33">
        <v>2056</v>
      </c>
      <c r="N278" s="36"/>
      <c r="O278" s="33">
        <v>3</v>
      </c>
      <c r="P278" s="33">
        <f>IF(Tabela1[[#This Row],[Status]]="✔️",Tabela1[[#This Row],[Peso]],IF(Tabela1[[#This Row],[Status]]="✔️✔️",Tabela1[[#This Row],[Peso]]/2,0))</f>
        <v>0</v>
      </c>
      <c r="Q27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78" s="33" t="s">
        <v>187</v>
      </c>
      <c r="S278" s="37" t="s">
        <v>132</v>
      </c>
    </row>
    <row r="279" spans="8:19" ht="82.8" x14ac:dyDescent="0.3">
      <c r="H279" s="32" t="s">
        <v>9</v>
      </c>
      <c r="I279" s="33" t="s">
        <v>33</v>
      </c>
      <c r="J279" s="34" t="s">
        <v>36</v>
      </c>
      <c r="K279" s="35" t="s">
        <v>290</v>
      </c>
      <c r="L279" s="33" t="s">
        <v>197</v>
      </c>
      <c r="M279" s="33">
        <v>1463</v>
      </c>
      <c r="N279" s="36"/>
      <c r="O279" s="33">
        <v>3</v>
      </c>
      <c r="P279" s="33">
        <f>IF(Tabela1[[#This Row],[Status]]="✔️",Tabela1[[#This Row],[Peso]],IF(Tabela1[[#This Row],[Status]]="✔️✔️",Tabela1[[#This Row],[Peso]]/2,0))</f>
        <v>0</v>
      </c>
      <c r="Q27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79" s="33" t="s">
        <v>187</v>
      </c>
      <c r="S279" s="37" t="s">
        <v>132</v>
      </c>
    </row>
    <row r="280" spans="8:19" ht="41.4" x14ac:dyDescent="0.3">
      <c r="H280" s="32" t="s">
        <v>9</v>
      </c>
      <c r="I280" s="33" t="s">
        <v>33</v>
      </c>
      <c r="J280" s="34" t="s">
        <v>37</v>
      </c>
      <c r="K280" s="35" t="s">
        <v>290</v>
      </c>
      <c r="L280" s="33" t="s">
        <v>198</v>
      </c>
      <c r="M280" s="33">
        <v>6075</v>
      </c>
      <c r="N280" s="36"/>
      <c r="O280" s="33">
        <v>3</v>
      </c>
      <c r="P280" s="33">
        <f>IF(Tabela1[[#This Row],[Status]]="✔️",Tabela1[[#This Row],[Peso]],IF(Tabela1[[#This Row],[Status]]="✔️✔️",Tabela1[[#This Row],[Peso]]/2,0))</f>
        <v>0</v>
      </c>
      <c r="Q28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80" s="33" t="s">
        <v>187</v>
      </c>
      <c r="S280" s="37" t="s">
        <v>132</v>
      </c>
    </row>
    <row r="281" spans="8:19" ht="41.4" x14ac:dyDescent="0.3">
      <c r="H281" s="32" t="s">
        <v>9</v>
      </c>
      <c r="I281" s="33" t="s">
        <v>38</v>
      </c>
      <c r="J281" s="34" t="s">
        <v>39</v>
      </c>
      <c r="K281" s="35" t="s">
        <v>0</v>
      </c>
      <c r="L281" s="33"/>
      <c r="M281" s="33"/>
      <c r="N281" s="36"/>
      <c r="O281" s="33">
        <v>3</v>
      </c>
      <c r="P281" s="33">
        <f>IF(Tabela1[[#This Row],[Status]]="✔️",Tabela1[[#This Row],[Peso]],IF(Tabela1[[#This Row],[Status]]="✔️✔️",Tabela1[[#This Row],[Peso]]/2,0))</f>
        <v>3</v>
      </c>
      <c r="Q28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81" s="33" t="s">
        <v>187</v>
      </c>
      <c r="S281" s="37" t="s">
        <v>132</v>
      </c>
    </row>
    <row r="282" spans="8:19" ht="69" x14ac:dyDescent="0.3">
      <c r="H282" s="32" t="s">
        <v>9</v>
      </c>
      <c r="I282" s="33" t="s">
        <v>38</v>
      </c>
      <c r="J282" s="34" t="s">
        <v>40</v>
      </c>
      <c r="K282" s="35" t="s">
        <v>290</v>
      </c>
      <c r="L282" s="33" t="s">
        <v>199</v>
      </c>
      <c r="M282" s="33">
        <v>4064</v>
      </c>
      <c r="N282" s="36"/>
      <c r="O282" s="33">
        <v>3</v>
      </c>
      <c r="P282" s="33">
        <f>IF(Tabela1[[#This Row],[Status]]="✔️",Tabela1[[#This Row],[Peso]],IF(Tabela1[[#This Row],[Status]]="✔️✔️",Tabela1[[#This Row],[Peso]]/2,0))</f>
        <v>0</v>
      </c>
      <c r="Q28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82" s="33" t="s">
        <v>187</v>
      </c>
      <c r="S282" s="37" t="s">
        <v>132</v>
      </c>
    </row>
    <row r="283" spans="8:19" ht="41.4" x14ac:dyDescent="0.3">
      <c r="H283" s="32" t="s">
        <v>9</v>
      </c>
      <c r="I283" s="33" t="s">
        <v>41</v>
      </c>
      <c r="J283" s="34" t="s">
        <v>442</v>
      </c>
      <c r="K283" s="35" t="s">
        <v>290</v>
      </c>
      <c r="L283" s="33"/>
      <c r="M283" s="33">
        <v>9106</v>
      </c>
      <c r="N283" s="36"/>
      <c r="O283" s="33">
        <v>3</v>
      </c>
      <c r="P283" s="33">
        <f>IF(Tabela1[[#This Row],[Status]]="✔️",Tabela1[[#This Row],[Peso]],IF(Tabela1[[#This Row],[Status]]="✔️✔️",Tabela1[[#This Row],[Peso]]/2,0))</f>
        <v>0</v>
      </c>
      <c r="Q28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83" s="33" t="s">
        <v>187</v>
      </c>
      <c r="S283" s="37" t="s">
        <v>132</v>
      </c>
    </row>
    <row r="284" spans="8:19" ht="41.4" x14ac:dyDescent="0.3">
      <c r="H284" s="32" t="s">
        <v>9</v>
      </c>
      <c r="I284" s="33" t="s">
        <v>41</v>
      </c>
      <c r="J284" s="34" t="s">
        <v>443</v>
      </c>
      <c r="K284" s="35" t="s">
        <v>290</v>
      </c>
      <c r="L284" s="33"/>
      <c r="M284" s="33">
        <v>9106</v>
      </c>
      <c r="N284" s="36"/>
      <c r="O284" s="33">
        <v>2</v>
      </c>
      <c r="P284" s="33">
        <f>IF(Tabela1[[#This Row],[Status]]="✔️",Tabela1[[#This Row],[Peso]],IF(Tabela1[[#This Row],[Status]]="✔️✔️",Tabela1[[#This Row],[Peso]]/2,0))</f>
        <v>0</v>
      </c>
      <c r="Q28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284" s="33" t="s">
        <v>187</v>
      </c>
      <c r="S284" s="37" t="s">
        <v>132</v>
      </c>
    </row>
    <row r="285" spans="8:19" ht="41.4" x14ac:dyDescent="0.3">
      <c r="H285" s="32" t="s">
        <v>9</v>
      </c>
      <c r="I285" s="33" t="s">
        <v>10</v>
      </c>
      <c r="J285" s="34" t="s">
        <v>439</v>
      </c>
      <c r="K285" s="35" t="s">
        <v>0</v>
      </c>
      <c r="L285" s="33"/>
      <c r="M285" s="33"/>
      <c r="N285" s="36"/>
      <c r="O285" s="33">
        <v>3</v>
      </c>
      <c r="P285" s="33">
        <f>IF(Tabela1[[#This Row],[Status]]="✔️",Tabela1[[#This Row],[Peso]],IF(Tabela1[[#This Row],[Status]]="✔️✔️",Tabela1[[#This Row],[Peso]]/2,0))</f>
        <v>3</v>
      </c>
      <c r="Q28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85" s="33" t="s">
        <v>187</v>
      </c>
      <c r="S285" s="37" t="s">
        <v>128</v>
      </c>
    </row>
    <row r="286" spans="8:19" ht="41.4" x14ac:dyDescent="0.3">
      <c r="H286" s="32" t="s">
        <v>9</v>
      </c>
      <c r="I286" s="33" t="s">
        <v>10</v>
      </c>
      <c r="J286" s="34" t="s">
        <v>440</v>
      </c>
      <c r="K286" s="35" t="s">
        <v>0</v>
      </c>
      <c r="L286" s="33"/>
      <c r="M286" s="33"/>
      <c r="N286" s="36"/>
      <c r="O286" s="33">
        <v>3</v>
      </c>
      <c r="P286" s="33">
        <f>IF(Tabela1[[#This Row],[Status]]="✔️",Tabela1[[#This Row],[Peso]],IF(Tabela1[[#This Row],[Status]]="✔️✔️",Tabela1[[#This Row],[Peso]]/2,0))</f>
        <v>3</v>
      </c>
      <c r="Q28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86" s="33" t="s">
        <v>187</v>
      </c>
      <c r="S286" s="37" t="s">
        <v>128</v>
      </c>
    </row>
    <row r="287" spans="8:19" ht="41.4" x14ac:dyDescent="0.3">
      <c r="H287" s="32" t="s">
        <v>9</v>
      </c>
      <c r="I287" s="33" t="s">
        <v>12</v>
      </c>
      <c r="J287" s="34" t="s">
        <v>13</v>
      </c>
      <c r="K287" s="35" t="s">
        <v>0</v>
      </c>
      <c r="L287" s="33"/>
      <c r="M287" s="33"/>
      <c r="N287" s="36"/>
      <c r="O287" s="33">
        <v>2</v>
      </c>
      <c r="P287" s="33">
        <f>IF(Tabela1[[#This Row],[Status]]="✔️",Tabela1[[#This Row],[Peso]],IF(Tabela1[[#This Row],[Status]]="✔️✔️",Tabela1[[#This Row],[Peso]]/2,0))</f>
        <v>2</v>
      </c>
      <c r="Q28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287" s="33" t="s">
        <v>187</v>
      </c>
      <c r="S287" s="37" t="s">
        <v>128</v>
      </c>
    </row>
    <row r="288" spans="8:19" ht="41.4" x14ac:dyDescent="0.3">
      <c r="H288" s="32" t="s">
        <v>9</v>
      </c>
      <c r="I288" s="33" t="s">
        <v>14</v>
      </c>
      <c r="J288" s="34" t="s">
        <v>15</v>
      </c>
      <c r="K288" s="35" t="s">
        <v>0</v>
      </c>
      <c r="L288" s="33"/>
      <c r="M288" s="33"/>
      <c r="N288" s="36"/>
      <c r="O288" s="33">
        <v>3</v>
      </c>
      <c r="P288" s="33">
        <f>IF(Tabela1[[#This Row],[Status]]="✔️",Tabela1[[#This Row],[Peso]],IF(Tabela1[[#This Row],[Status]]="✔️✔️",Tabela1[[#This Row],[Peso]]/2,0))</f>
        <v>3</v>
      </c>
      <c r="Q28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88" s="33" t="s">
        <v>187</v>
      </c>
      <c r="S288" s="37" t="s">
        <v>128</v>
      </c>
    </row>
    <row r="289" spans="8:19" ht="41.4" x14ac:dyDescent="0.3">
      <c r="H289" s="32" t="s">
        <v>9</v>
      </c>
      <c r="I289" s="33" t="s">
        <v>14</v>
      </c>
      <c r="J289" s="34" t="s">
        <v>16</v>
      </c>
      <c r="K289" s="35" t="s">
        <v>0</v>
      </c>
      <c r="L289" s="33"/>
      <c r="M289" s="33"/>
      <c r="N289" s="36"/>
      <c r="O289" s="33">
        <v>1</v>
      </c>
      <c r="P289" s="33">
        <f>IF(Tabela1[[#This Row],[Status]]="✔️",Tabela1[[#This Row],[Peso]],IF(Tabela1[[#This Row],[Status]]="✔️✔️",Tabela1[[#This Row],[Peso]]/2,0))</f>
        <v>1</v>
      </c>
      <c r="Q28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289" s="33" t="s">
        <v>187</v>
      </c>
      <c r="S289" s="37" t="s">
        <v>128</v>
      </c>
    </row>
    <row r="290" spans="8:19" ht="41.4" x14ac:dyDescent="0.3">
      <c r="H290" s="32" t="s">
        <v>9</v>
      </c>
      <c r="I290" s="33" t="s">
        <v>17</v>
      </c>
      <c r="J290" s="34" t="s">
        <v>18</v>
      </c>
      <c r="K290" s="35" t="s">
        <v>0</v>
      </c>
      <c r="L290" s="33"/>
      <c r="M290" s="33"/>
      <c r="N290" s="36"/>
      <c r="O290" s="33">
        <v>3</v>
      </c>
      <c r="P290" s="33">
        <f>IF(Tabela1[[#This Row],[Status]]="✔️",Tabela1[[#This Row],[Peso]],IF(Tabela1[[#This Row],[Status]]="✔️✔️",Tabela1[[#This Row],[Peso]]/2,0))</f>
        <v>3</v>
      </c>
      <c r="Q29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90" s="33" t="s">
        <v>187</v>
      </c>
      <c r="S290" s="37" t="s">
        <v>128</v>
      </c>
    </row>
    <row r="291" spans="8:19" ht="41.4" x14ac:dyDescent="0.3">
      <c r="H291" s="32" t="s">
        <v>9</v>
      </c>
      <c r="I291" s="33" t="s">
        <v>17</v>
      </c>
      <c r="J291" s="34" t="s">
        <v>19</v>
      </c>
      <c r="K291" s="35" t="s">
        <v>0</v>
      </c>
      <c r="L291" s="33"/>
      <c r="M291" s="33"/>
      <c r="N291" s="36"/>
      <c r="O291" s="33">
        <v>3</v>
      </c>
      <c r="P291" s="33">
        <f>IF(Tabela1[[#This Row],[Status]]="✔️",Tabela1[[#This Row],[Peso]],IF(Tabela1[[#This Row],[Status]]="✔️✔️",Tabela1[[#This Row],[Peso]]/2,0))</f>
        <v>3</v>
      </c>
      <c r="Q29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91" s="33" t="s">
        <v>187</v>
      </c>
      <c r="S291" s="37" t="s">
        <v>128</v>
      </c>
    </row>
    <row r="292" spans="8:19" ht="41.4" x14ac:dyDescent="0.3">
      <c r="H292" s="32" t="s">
        <v>9</v>
      </c>
      <c r="I292" s="33" t="s">
        <v>20</v>
      </c>
      <c r="J292" s="34" t="s">
        <v>21</v>
      </c>
      <c r="K292" s="51" t="s">
        <v>290</v>
      </c>
      <c r="L292" s="33" t="s">
        <v>188</v>
      </c>
      <c r="M292" s="33">
        <v>4129</v>
      </c>
      <c r="N292" s="36"/>
      <c r="O292" s="33">
        <v>3</v>
      </c>
      <c r="P292" s="33">
        <f>IF(Tabela1[[#This Row],[Status]]="✔️",Tabela1[[#This Row],[Peso]],IF(Tabela1[[#This Row],[Status]]="✔️✔️",Tabela1[[#This Row],[Peso]]/2,0))</f>
        <v>0</v>
      </c>
      <c r="Q29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92" s="33" t="s">
        <v>187</v>
      </c>
      <c r="S292" s="37" t="s">
        <v>128</v>
      </c>
    </row>
    <row r="293" spans="8:19" ht="41.4" x14ac:dyDescent="0.3">
      <c r="H293" s="32" t="s">
        <v>9</v>
      </c>
      <c r="I293" s="33" t="s">
        <v>20</v>
      </c>
      <c r="J293" s="34" t="s">
        <v>441</v>
      </c>
      <c r="K293" s="51" t="s">
        <v>291</v>
      </c>
      <c r="L293" s="33" t="s">
        <v>189</v>
      </c>
      <c r="M293" s="33">
        <v>2456</v>
      </c>
      <c r="N293" s="36"/>
      <c r="O293" s="33">
        <v>1</v>
      </c>
      <c r="P293" s="33">
        <f>IF(Tabela1[[#This Row],[Status]]="✔️",Tabela1[[#This Row],[Peso]],IF(Tabela1[[#This Row],[Status]]="✔️✔️",Tabela1[[#This Row],[Peso]]/2,0))</f>
        <v>0.5</v>
      </c>
      <c r="Q293" s="33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293" s="33" t="s">
        <v>187</v>
      </c>
      <c r="S293" s="37" t="s">
        <v>128</v>
      </c>
    </row>
    <row r="294" spans="8:19" ht="41.4" x14ac:dyDescent="0.3">
      <c r="H294" s="32" t="s">
        <v>9</v>
      </c>
      <c r="I294" s="33" t="s">
        <v>22</v>
      </c>
      <c r="J294" s="34" t="s">
        <v>23</v>
      </c>
      <c r="K294" s="35" t="s">
        <v>0</v>
      </c>
      <c r="L294" s="33"/>
      <c r="M294" s="33"/>
      <c r="N294" s="36"/>
      <c r="O294" s="33">
        <v>1</v>
      </c>
      <c r="P294" s="33">
        <f>IF(Tabela1[[#This Row],[Status]]="✔️",Tabela1[[#This Row],[Peso]],IF(Tabela1[[#This Row],[Status]]="✔️✔️",Tabela1[[#This Row],[Peso]]/2,0))</f>
        <v>1</v>
      </c>
      <c r="Q29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294" s="33" t="s">
        <v>187</v>
      </c>
      <c r="S294" s="37" t="s">
        <v>128</v>
      </c>
    </row>
    <row r="295" spans="8:19" ht="41.4" x14ac:dyDescent="0.3">
      <c r="H295" s="32" t="s">
        <v>9</v>
      </c>
      <c r="I295" s="33" t="s">
        <v>22</v>
      </c>
      <c r="J295" s="34" t="s">
        <v>24</v>
      </c>
      <c r="K295" s="51" t="s">
        <v>290</v>
      </c>
      <c r="L295" s="33" t="s">
        <v>190</v>
      </c>
      <c r="M295" s="33">
        <v>6126</v>
      </c>
      <c r="N295" s="36"/>
      <c r="O295" s="33">
        <v>1</v>
      </c>
      <c r="P295" s="33">
        <f>IF(Tabela1[[#This Row],[Status]]="✔️",Tabela1[[#This Row],[Peso]],IF(Tabela1[[#This Row],[Status]]="✔️✔️",Tabela1[[#This Row],[Peso]]/2,0))</f>
        <v>0</v>
      </c>
      <c r="Q29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295" s="33" t="s">
        <v>187</v>
      </c>
      <c r="S295" s="37" t="s">
        <v>128</v>
      </c>
    </row>
    <row r="296" spans="8:19" ht="41.4" x14ac:dyDescent="0.3">
      <c r="H296" s="32" t="s">
        <v>9</v>
      </c>
      <c r="I296" s="33" t="s">
        <v>25</v>
      </c>
      <c r="J296" s="34" t="s">
        <v>26</v>
      </c>
      <c r="K296" s="51" t="s">
        <v>291</v>
      </c>
      <c r="L296" s="33" t="s">
        <v>191</v>
      </c>
      <c r="M296" s="33">
        <v>5415</v>
      </c>
      <c r="N296" s="36"/>
      <c r="O296" s="33">
        <v>3</v>
      </c>
      <c r="P296" s="33">
        <f>IF(Tabela1[[#This Row],[Status]]="✔️",Tabela1[[#This Row],[Peso]],IF(Tabela1[[#This Row],[Status]]="✔️✔️",Tabela1[[#This Row],[Peso]]/2,0))</f>
        <v>1.5</v>
      </c>
      <c r="Q296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296" s="33" t="s">
        <v>187</v>
      </c>
      <c r="S296" s="37" t="s">
        <v>128</v>
      </c>
    </row>
    <row r="297" spans="8:19" ht="41.4" x14ac:dyDescent="0.3">
      <c r="H297" s="32" t="s">
        <v>9</v>
      </c>
      <c r="I297" s="33" t="s">
        <v>25</v>
      </c>
      <c r="J297" s="34" t="s">
        <v>27</v>
      </c>
      <c r="K297" s="35" t="s">
        <v>291</v>
      </c>
      <c r="L297" s="33" t="s">
        <v>248</v>
      </c>
      <c r="M297" s="33">
        <v>3565</v>
      </c>
      <c r="N297" s="36"/>
      <c r="O297" s="33">
        <v>3</v>
      </c>
      <c r="P297" s="33">
        <f>IF(Tabela1[[#This Row],[Status]]="✔️",Tabela1[[#This Row],[Peso]],IF(Tabela1[[#This Row],[Status]]="✔️✔️",Tabela1[[#This Row],[Peso]]/2,0))</f>
        <v>1.5</v>
      </c>
      <c r="Q297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297" s="33" t="s">
        <v>187</v>
      </c>
      <c r="S297" s="37" t="s">
        <v>128</v>
      </c>
    </row>
    <row r="298" spans="8:19" ht="41.4" x14ac:dyDescent="0.3">
      <c r="H298" s="32" t="s">
        <v>9</v>
      </c>
      <c r="I298" s="33" t="s">
        <v>25</v>
      </c>
      <c r="J298" s="34" t="s">
        <v>28</v>
      </c>
      <c r="K298" s="35" t="s">
        <v>290</v>
      </c>
      <c r="L298" s="33" t="s">
        <v>192</v>
      </c>
      <c r="M298" s="33">
        <v>7263</v>
      </c>
      <c r="N298" s="36"/>
      <c r="O298" s="33">
        <v>3</v>
      </c>
      <c r="P298" s="33">
        <f>IF(Tabela1[[#This Row],[Status]]="✔️",Tabela1[[#This Row],[Peso]],IF(Tabela1[[#This Row],[Status]]="✔️✔️",Tabela1[[#This Row],[Peso]]/2,0))</f>
        <v>0</v>
      </c>
      <c r="Q29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98" s="33" t="s">
        <v>187</v>
      </c>
      <c r="S298" s="37" t="s">
        <v>128</v>
      </c>
    </row>
    <row r="299" spans="8:19" ht="41.4" x14ac:dyDescent="0.3">
      <c r="H299" s="32" t="s">
        <v>9</v>
      </c>
      <c r="I299" s="33" t="s">
        <v>25</v>
      </c>
      <c r="J299" s="34" t="s">
        <v>29</v>
      </c>
      <c r="K299" s="35" t="s">
        <v>291</v>
      </c>
      <c r="L299" s="33" t="s">
        <v>382</v>
      </c>
      <c r="M299" s="33">
        <v>9003</v>
      </c>
      <c r="N299" s="36"/>
      <c r="O299" s="33">
        <v>3</v>
      </c>
      <c r="P299" s="33">
        <f>IF(Tabela1[[#This Row],[Status]]="✔️",Tabela1[[#This Row],[Peso]],IF(Tabela1[[#This Row],[Status]]="✔️✔️",Tabela1[[#This Row],[Peso]]/2,0))</f>
        <v>1.5</v>
      </c>
      <c r="Q299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299" s="33" t="s">
        <v>187</v>
      </c>
      <c r="S299" s="37" t="s">
        <v>128</v>
      </c>
    </row>
    <row r="300" spans="8:19" ht="41.4" x14ac:dyDescent="0.3">
      <c r="H300" s="32" t="s">
        <v>9</v>
      </c>
      <c r="I300" s="33" t="s">
        <v>31</v>
      </c>
      <c r="J300" s="34" t="s">
        <v>32</v>
      </c>
      <c r="K300" s="35" t="s">
        <v>290</v>
      </c>
      <c r="L300" s="33" t="s">
        <v>194</v>
      </c>
      <c r="M300" s="33">
        <v>5424</v>
      </c>
      <c r="N300" s="36"/>
      <c r="O300" s="33">
        <v>3</v>
      </c>
      <c r="P300" s="33">
        <f>IF(Tabela1[[#This Row],[Status]]="✔️",Tabela1[[#This Row],[Peso]],IF(Tabela1[[#This Row],[Status]]="✔️✔️",Tabela1[[#This Row],[Peso]]/2,0))</f>
        <v>0</v>
      </c>
      <c r="Q30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00" s="33" t="s">
        <v>187</v>
      </c>
      <c r="S300" s="37" t="s">
        <v>128</v>
      </c>
    </row>
    <row r="301" spans="8:19" ht="41.4" x14ac:dyDescent="0.3">
      <c r="H301" s="32" t="s">
        <v>9</v>
      </c>
      <c r="I301" s="33" t="s">
        <v>33</v>
      </c>
      <c r="J301" s="34" t="s">
        <v>34</v>
      </c>
      <c r="K301" s="35" t="s">
        <v>290</v>
      </c>
      <c r="L301" s="33" t="s">
        <v>195</v>
      </c>
      <c r="M301" s="33">
        <v>4595</v>
      </c>
      <c r="N301" s="36"/>
      <c r="O301" s="33">
        <v>3</v>
      </c>
      <c r="P301" s="33">
        <f>IF(Tabela1[[#This Row],[Status]]="✔️",Tabela1[[#This Row],[Peso]],IF(Tabela1[[#This Row],[Status]]="✔️✔️",Tabela1[[#This Row],[Peso]]/2,0))</f>
        <v>0</v>
      </c>
      <c r="Q30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01" s="33" t="s">
        <v>187</v>
      </c>
      <c r="S301" s="37" t="s">
        <v>128</v>
      </c>
    </row>
    <row r="302" spans="8:19" ht="41.4" customHeight="1" x14ac:dyDescent="0.3">
      <c r="H302" s="32" t="s">
        <v>9</v>
      </c>
      <c r="I302" s="33" t="s">
        <v>33</v>
      </c>
      <c r="J302" s="34" t="s">
        <v>35</v>
      </c>
      <c r="K302" s="35" t="s">
        <v>290</v>
      </c>
      <c r="L302" s="38" t="s">
        <v>247</v>
      </c>
      <c r="M302" s="33">
        <v>1463</v>
      </c>
      <c r="N302" s="36"/>
      <c r="O302" s="33">
        <v>3</v>
      </c>
      <c r="P302" s="33">
        <f>IF(Tabela1[[#This Row],[Status]]="✔️",Tabela1[[#This Row],[Peso]],IF(Tabela1[[#This Row],[Status]]="✔️✔️",Tabela1[[#This Row],[Peso]]/2,0))</f>
        <v>0</v>
      </c>
      <c r="Q30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02" s="33" t="s">
        <v>187</v>
      </c>
      <c r="S302" s="37" t="s">
        <v>128</v>
      </c>
    </row>
    <row r="303" spans="8:19" ht="42" customHeight="1" x14ac:dyDescent="0.3">
      <c r="H303" s="32" t="s">
        <v>9</v>
      </c>
      <c r="I303" s="33" t="s">
        <v>33</v>
      </c>
      <c r="J303" s="34" t="s">
        <v>446</v>
      </c>
      <c r="K303" s="35" t="s">
        <v>290</v>
      </c>
      <c r="L303" s="33" t="s">
        <v>196</v>
      </c>
      <c r="M303" s="33">
        <v>2056</v>
      </c>
      <c r="N303" s="36"/>
      <c r="O303" s="33">
        <v>3</v>
      </c>
      <c r="P303" s="33">
        <f>IF(Tabela1[[#This Row],[Status]]="✔️",Tabela1[[#This Row],[Peso]],IF(Tabela1[[#This Row],[Status]]="✔️✔️",Tabela1[[#This Row],[Peso]]/2,0))</f>
        <v>0</v>
      </c>
      <c r="Q30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03" s="33" t="s">
        <v>187</v>
      </c>
      <c r="S303" s="37" t="s">
        <v>128</v>
      </c>
    </row>
    <row r="304" spans="8:19" ht="82.8" x14ac:dyDescent="0.3">
      <c r="H304" s="32" t="s">
        <v>9</v>
      </c>
      <c r="I304" s="33" t="s">
        <v>33</v>
      </c>
      <c r="J304" s="34" t="s">
        <v>36</v>
      </c>
      <c r="K304" s="35" t="s">
        <v>290</v>
      </c>
      <c r="L304" s="33" t="s">
        <v>197</v>
      </c>
      <c r="M304" s="33">
        <v>1463</v>
      </c>
      <c r="N304" s="36"/>
      <c r="O304" s="33">
        <v>3</v>
      </c>
      <c r="P304" s="33">
        <f>IF(Tabela1[[#This Row],[Status]]="✔️",Tabela1[[#This Row],[Peso]],IF(Tabela1[[#This Row],[Status]]="✔️✔️",Tabela1[[#This Row],[Peso]]/2,0))</f>
        <v>0</v>
      </c>
      <c r="Q30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04" s="33" t="s">
        <v>187</v>
      </c>
      <c r="S304" s="37" t="s">
        <v>128</v>
      </c>
    </row>
    <row r="305" spans="8:19" ht="41.4" x14ac:dyDescent="0.3">
      <c r="H305" s="32" t="s">
        <v>9</v>
      </c>
      <c r="I305" s="33" t="s">
        <v>33</v>
      </c>
      <c r="J305" s="34" t="s">
        <v>37</v>
      </c>
      <c r="K305" s="35" t="s">
        <v>290</v>
      </c>
      <c r="L305" s="33" t="s">
        <v>198</v>
      </c>
      <c r="M305" s="33">
        <v>6075</v>
      </c>
      <c r="N305" s="36"/>
      <c r="O305" s="33">
        <v>3</v>
      </c>
      <c r="P305" s="33">
        <f>IF(Tabela1[[#This Row],[Status]]="✔️",Tabela1[[#This Row],[Peso]],IF(Tabela1[[#This Row],[Status]]="✔️✔️",Tabela1[[#This Row],[Peso]]/2,0))</f>
        <v>0</v>
      </c>
      <c r="Q30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05" s="33" t="s">
        <v>187</v>
      </c>
      <c r="S305" s="37" t="s">
        <v>128</v>
      </c>
    </row>
    <row r="306" spans="8:19" ht="41.4" x14ac:dyDescent="0.3">
      <c r="H306" s="32" t="s">
        <v>9</v>
      </c>
      <c r="I306" s="33" t="s">
        <v>38</v>
      </c>
      <c r="J306" s="34" t="s">
        <v>39</v>
      </c>
      <c r="K306" s="35" t="s">
        <v>0</v>
      </c>
      <c r="L306" s="33"/>
      <c r="M306" s="33"/>
      <c r="N306" s="36"/>
      <c r="O306" s="33">
        <v>3</v>
      </c>
      <c r="P306" s="33">
        <f>IF(Tabela1[[#This Row],[Status]]="✔️",Tabela1[[#This Row],[Peso]],IF(Tabela1[[#This Row],[Status]]="✔️✔️",Tabela1[[#This Row],[Peso]]/2,0))</f>
        <v>3</v>
      </c>
      <c r="Q30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06" s="33" t="s">
        <v>187</v>
      </c>
      <c r="S306" s="37" t="s">
        <v>128</v>
      </c>
    </row>
    <row r="307" spans="8:19" ht="69" x14ac:dyDescent="0.3">
      <c r="H307" s="32" t="s">
        <v>9</v>
      </c>
      <c r="I307" s="33" t="s">
        <v>38</v>
      </c>
      <c r="J307" s="34" t="s">
        <v>40</v>
      </c>
      <c r="K307" s="35" t="s">
        <v>291</v>
      </c>
      <c r="L307" s="33" t="s">
        <v>248</v>
      </c>
      <c r="M307" s="33">
        <v>4064</v>
      </c>
      <c r="N307" s="36"/>
      <c r="O307" s="33">
        <v>3</v>
      </c>
      <c r="P307" s="33">
        <f>IF(Tabela1[[#This Row],[Status]]="✔️",Tabela1[[#This Row],[Peso]],IF(Tabela1[[#This Row],[Status]]="✔️✔️",Tabela1[[#This Row],[Peso]]/2,0))</f>
        <v>1.5</v>
      </c>
      <c r="Q307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307" s="33" t="s">
        <v>187</v>
      </c>
      <c r="S307" s="37" t="s">
        <v>128</v>
      </c>
    </row>
    <row r="308" spans="8:19" ht="41.4" x14ac:dyDescent="0.3">
      <c r="H308" s="32" t="s">
        <v>9</v>
      </c>
      <c r="I308" s="33" t="s">
        <v>41</v>
      </c>
      <c r="J308" s="34" t="s">
        <v>442</v>
      </c>
      <c r="K308" s="35" t="s">
        <v>290</v>
      </c>
      <c r="L308" s="33" t="s">
        <v>383</v>
      </c>
      <c r="M308" s="33">
        <v>9106</v>
      </c>
      <c r="N308" s="36"/>
      <c r="O308" s="33">
        <v>3</v>
      </c>
      <c r="P308" s="33">
        <f>IF(Tabela1[[#This Row],[Status]]="✔️",Tabela1[[#This Row],[Peso]],IF(Tabela1[[#This Row],[Status]]="✔️✔️",Tabela1[[#This Row],[Peso]]/2,0))</f>
        <v>0</v>
      </c>
      <c r="Q30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08" s="33" t="s">
        <v>187</v>
      </c>
      <c r="S308" s="37" t="s">
        <v>128</v>
      </c>
    </row>
    <row r="309" spans="8:19" ht="41.4" x14ac:dyDescent="0.3">
      <c r="H309" s="32" t="s">
        <v>9</v>
      </c>
      <c r="I309" s="33" t="s">
        <v>41</v>
      </c>
      <c r="J309" s="34" t="s">
        <v>443</v>
      </c>
      <c r="K309" s="35" t="s">
        <v>290</v>
      </c>
      <c r="L309" s="33" t="s">
        <v>309</v>
      </c>
      <c r="M309" s="33">
        <v>9106</v>
      </c>
      <c r="N309" s="36"/>
      <c r="O309" s="33">
        <v>2</v>
      </c>
      <c r="P309" s="33">
        <f>IF(Tabela1[[#This Row],[Status]]="✔️",Tabela1[[#This Row],[Peso]],IF(Tabela1[[#This Row],[Status]]="✔️✔️",Tabela1[[#This Row],[Peso]]/2,0))</f>
        <v>0</v>
      </c>
      <c r="Q30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309" s="33" t="s">
        <v>187</v>
      </c>
      <c r="S309" s="37" t="s">
        <v>128</v>
      </c>
    </row>
    <row r="310" spans="8:19" ht="41.4" x14ac:dyDescent="0.3">
      <c r="H310" s="32" t="s">
        <v>9</v>
      </c>
      <c r="I310" s="33" t="s">
        <v>10</v>
      </c>
      <c r="J310" s="34" t="s">
        <v>444</v>
      </c>
      <c r="K310" s="35" t="s">
        <v>0</v>
      </c>
      <c r="L310" s="33"/>
      <c r="M310" s="33"/>
      <c r="N310" s="36"/>
      <c r="O310" s="33">
        <v>3</v>
      </c>
      <c r="P310" s="33">
        <f>IF(Tabela1[[#This Row],[Status]]="✔️",Tabela1[[#This Row],[Peso]],IF(Tabela1[[#This Row],[Status]]="✔️✔️",Tabela1[[#This Row],[Peso]]/2,0))</f>
        <v>3</v>
      </c>
      <c r="Q31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10" s="33" t="s">
        <v>187</v>
      </c>
      <c r="S310" s="37" t="s">
        <v>128</v>
      </c>
    </row>
    <row r="311" spans="8:19" ht="27.6" x14ac:dyDescent="0.3">
      <c r="H311" s="32" t="s">
        <v>49</v>
      </c>
      <c r="I311" s="33" t="s">
        <v>30</v>
      </c>
      <c r="J311" s="34" t="s">
        <v>438</v>
      </c>
      <c r="K311" s="35" t="s">
        <v>0</v>
      </c>
      <c r="L311" s="33"/>
      <c r="M311" s="33"/>
      <c r="N311" s="36"/>
      <c r="O311" s="33">
        <v>3</v>
      </c>
      <c r="P311" s="33">
        <f>IF(Tabela1[[#This Row],[Status]]="✔️",Tabela1[[#This Row],[Peso]],IF(Tabela1[[#This Row],[Status]]="✔️✔️",Tabela1[[#This Row],[Peso]]/2,0))</f>
        <v>3</v>
      </c>
      <c r="Q31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11" s="33" t="s">
        <v>127</v>
      </c>
      <c r="S311" s="37" t="s">
        <v>128</v>
      </c>
    </row>
    <row r="312" spans="8:19" ht="27.6" x14ac:dyDescent="0.3">
      <c r="H312" s="32" t="s">
        <v>49</v>
      </c>
      <c r="I312" s="33" t="s">
        <v>10</v>
      </c>
      <c r="J312" s="34" t="s">
        <v>11</v>
      </c>
      <c r="K312" s="35" t="s">
        <v>0</v>
      </c>
      <c r="L312" s="33"/>
      <c r="M312" s="33"/>
      <c r="N312" s="36"/>
      <c r="O312" s="33">
        <v>3</v>
      </c>
      <c r="P312" s="33">
        <f>IF(Tabela1[[#This Row],[Status]]="✔️",Tabela1[[#This Row],[Peso]],IF(Tabela1[[#This Row],[Status]]="✔️✔️",Tabela1[[#This Row],[Peso]]/2,0))</f>
        <v>3</v>
      </c>
      <c r="Q31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12" s="33" t="s">
        <v>127</v>
      </c>
      <c r="S312" s="37" t="s">
        <v>128</v>
      </c>
    </row>
    <row r="313" spans="8:19" ht="27.6" x14ac:dyDescent="0.3">
      <c r="H313" s="32" t="s">
        <v>49</v>
      </c>
      <c r="I313" s="33" t="s">
        <v>10</v>
      </c>
      <c r="J313" s="34" t="s">
        <v>439</v>
      </c>
      <c r="K313" s="35" t="s">
        <v>0</v>
      </c>
      <c r="L313" s="33"/>
      <c r="M313" s="33"/>
      <c r="N313" s="36"/>
      <c r="O313" s="33">
        <v>3</v>
      </c>
      <c r="P313" s="33">
        <f>IF(Tabela1[[#This Row],[Status]]="✔️",Tabela1[[#This Row],[Peso]],IF(Tabela1[[#This Row],[Status]]="✔️✔️",Tabela1[[#This Row],[Peso]]/2,0))</f>
        <v>3</v>
      </c>
      <c r="Q31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13" s="33" t="s">
        <v>127</v>
      </c>
      <c r="S313" s="37" t="s">
        <v>128</v>
      </c>
    </row>
    <row r="314" spans="8:19" ht="27.6" x14ac:dyDescent="0.3">
      <c r="H314" s="32" t="s">
        <v>49</v>
      </c>
      <c r="I314" s="33" t="s">
        <v>10</v>
      </c>
      <c r="J314" s="34" t="s">
        <v>440</v>
      </c>
      <c r="K314" s="35" t="s">
        <v>0</v>
      </c>
      <c r="L314" s="33"/>
      <c r="M314" s="33"/>
      <c r="N314" s="36"/>
      <c r="O314" s="33">
        <v>3</v>
      </c>
      <c r="P314" s="33">
        <f>IF(Tabela1[[#This Row],[Status]]="✔️",Tabela1[[#This Row],[Peso]],IF(Tabela1[[#This Row],[Status]]="✔️✔️",Tabela1[[#This Row],[Peso]]/2,0))</f>
        <v>3</v>
      </c>
      <c r="Q31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14" s="33" t="s">
        <v>127</v>
      </c>
      <c r="S314" s="37" t="s">
        <v>128</v>
      </c>
    </row>
    <row r="315" spans="8:19" ht="27.6" x14ac:dyDescent="0.3">
      <c r="H315" s="32" t="s">
        <v>49</v>
      </c>
      <c r="I315" s="33" t="s">
        <v>12</v>
      </c>
      <c r="J315" s="34" t="s">
        <v>13</v>
      </c>
      <c r="K315" s="35" t="s">
        <v>290</v>
      </c>
      <c r="L315" s="33" t="s">
        <v>52</v>
      </c>
      <c r="M315" s="33">
        <v>2955</v>
      </c>
      <c r="N315" s="36"/>
      <c r="O315" s="33">
        <v>2</v>
      </c>
      <c r="P315" s="33">
        <f>IF(Tabela1[[#This Row],[Status]]="✔️",Tabela1[[#This Row],[Peso]],IF(Tabela1[[#This Row],[Status]]="✔️✔️",Tabela1[[#This Row],[Peso]]/2,0))</f>
        <v>0</v>
      </c>
      <c r="Q315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315" s="33" t="s">
        <v>127</v>
      </c>
      <c r="S315" s="37" t="s">
        <v>128</v>
      </c>
    </row>
    <row r="316" spans="8:19" ht="27.6" x14ac:dyDescent="0.3">
      <c r="H316" s="32" t="s">
        <v>49</v>
      </c>
      <c r="I316" s="33" t="s">
        <v>14</v>
      </c>
      <c r="J316" s="34" t="s">
        <v>15</v>
      </c>
      <c r="K316" s="35" t="s">
        <v>290</v>
      </c>
      <c r="L316" s="33" t="s">
        <v>57</v>
      </c>
      <c r="M316" s="33">
        <v>1774</v>
      </c>
      <c r="N316" s="36"/>
      <c r="O316" s="33">
        <v>3</v>
      </c>
      <c r="P316" s="33">
        <f>IF(Tabela1[[#This Row],[Status]]="✔️",Tabela1[[#This Row],[Peso]],IF(Tabela1[[#This Row],[Status]]="✔️✔️",Tabela1[[#This Row],[Peso]]/2,0))</f>
        <v>0</v>
      </c>
      <c r="Q31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16" s="33" t="s">
        <v>127</v>
      </c>
      <c r="S316" s="37" t="s">
        <v>128</v>
      </c>
    </row>
    <row r="317" spans="8:19" ht="27.6" x14ac:dyDescent="0.3">
      <c r="H317" s="32" t="s">
        <v>49</v>
      </c>
      <c r="I317" s="33" t="s">
        <v>14</v>
      </c>
      <c r="J317" s="34" t="s">
        <v>16</v>
      </c>
      <c r="K317" s="35" t="s">
        <v>0</v>
      </c>
      <c r="L317" s="33"/>
      <c r="M317" s="33"/>
      <c r="N317" s="36"/>
      <c r="O317" s="33">
        <v>1</v>
      </c>
      <c r="P317" s="33">
        <f>IF(Tabela1[[#This Row],[Status]]="✔️",Tabela1[[#This Row],[Peso]],IF(Tabela1[[#This Row],[Status]]="✔️✔️",Tabela1[[#This Row],[Peso]]/2,0))</f>
        <v>1</v>
      </c>
      <c r="Q31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317" s="33" t="s">
        <v>127</v>
      </c>
      <c r="S317" s="37" t="s">
        <v>128</v>
      </c>
    </row>
    <row r="318" spans="8:19" ht="27.6" x14ac:dyDescent="0.3">
      <c r="H318" s="32" t="s">
        <v>49</v>
      </c>
      <c r="I318" s="33" t="s">
        <v>17</v>
      </c>
      <c r="J318" s="34" t="s">
        <v>18</v>
      </c>
      <c r="K318" s="35" t="s">
        <v>0</v>
      </c>
      <c r="L318" s="33"/>
      <c r="M318" s="33"/>
      <c r="N318" s="36"/>
      <c r="O318" s="33">
        <v>3</v>
      </c>
      <c r="P318" s="33">
        <f>IF(Tabela1[[#This Row],[Status]]="✔️",Tabela1[[#This Row],[Peso]],IF(Tabela1[[#This Row],[Status]]="✔️✔️",Tabela1[[#This Row],[Peso]]/2,0))</f>
        <v>3</v>
      </c>
      <c r="Q31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18" s="33" t="s">
        <v>127</v>
      </c>
      <c r="S318" s="37" t="s">
        <v>128</v>
      </c>
    </row>
    <row r="319" spans="8:19" ht="27.6" x14ac:dyDescent="0.3">
      <c r="H319" s="32" t="s">
        <v>49</v>
      </c>
      <c r="I319" s="33" t="s">
        <v>17</v>
      </c>
      <c r="J319" s="34" t="s">
        <v>19</v>
      </c>
      <c r="K319" s="35" t="s">
        <v>290</v>
      </c>
      <c r="L319" s="33" t="s">
        <v>58</v>
      </c>
      <c r="M319" s="33">
        <v>8293</v>
      </c>
      <c r="N319" s="36"/>
      <c r="O319" s="33">
        <v>3</v>
      </c>
      <c r="P319" s="33">
        <f>IF(Tabela1[[#This Row],[Status]]="✔️",Tabela1[[#This Row],[Peso]],IF(Tabela1[[#This Row],[Status]]="✔️✔️",Tabela1[[#This Row],[Peso]]/2,0))</f>
        <v>0</v>
      </c>
      <c r="Q31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19" s="33" t="s">
        <v>127</v>
      </c>
      <c r="S319" s="37" t="s">
        <v>128</v>
      </c>
    </row>
    <row r="320" spans="8:19" ht="45.6" customHeight="1" x14ac:dyDescent="0.3">
      <c r="H320" s="32" t="s">
        <v>49</v>
      </c>
      <c r="I320" s="33" t="s">
        <v>20</v>
      </c>
      <c r="J320" s="34" t="s">
        <v>21</v>
      </c>
      <c r="K320" s="35" t="s">
        <v>290</v>
      </c>
      <c r="L320" s="33" t="s">
        <v>61</v>
      </c>
      <c r="M320" s="33">
        <v>3089</v>
      </c>
      <c r="N320" s="36"/>
      <c r="O320" s="33">
        <v>3</v>
      </c>
      <c r="P320" s="33">
        <f>IF(Tabela1[[#This Row],[Status]]="✔️",Tabela1[[#This Row],[Peso]],IF(Tabela1[[#This Row],[Status]]="✔️✔️",Tabela1[[#This Row],[Peso]]/2,0))</f>
        <v>0</v>
      </c>
      <c r="Q32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20" s="33" t="s">
        <v>127</v>
      </c>
      <c r="S320" s="37" t="s">
        <v>128</v>
      </c>
    </row>
    <row r="321" spans="8:19" ht="45.6" customHeight="1" x14ac:dyDescent="0.3">
      <c r="H321" s="32" t="s">
        <v>49</v>
      </c>
      <c r="I321" s="33" t="s">
        <v>20</v>
      </c>
      <c r="J321" s="34" t="s">
        <v>441</v>
      </c>
      <c r="K321" s="35" t="s">
        <v>290</v>
      </c>
      <c r="L321" s="33" t="s">
        <v>59</v>
      </c>
      <c r="M321" s="33">
        <v>9087</v>
      </c>
      <c r="N321" s="36"/>
      <c r="O321" s="33">
        <v>1</v>
      </c>
      <c r="P321" s="33">
        <f>IF(Tabela1[[#This Row],[Status]]="✔️",Tabela1[[#This Row],[Peso]],IF(Tabela1[[#This Row],[Status]]="✔️✔️",Tabela1[[#This Row],[Peso]]/2,0))</f>
        <v>0</v>
      </c>
      <c r="Q32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321" s="33" t="s">
        <v>127</v>
      </c>
      <c r="S321" s="37" t="s">
        <v>128</v>
      </c>
    </row>
    <row r="322" spans="8:19" ht="45.6" customHeight="1" x14ac:dyDescent="0.3">
      <c r="H322" s="32" t="s">
        <v>49</v>
      </c>
      <c r="I322" s="33" t="s">
        <v>25</v>
      </c>
      <c r="J322" s="34" t="s">
        <v>28</v>
      </c>
      <c r="K322" s="35" t="s">
        <v>0</v>
      </c>
      <c r="L322" s="33"/>
      <c r="M322" s="33"/>
      <c r="N322" s="36"/>
      <c r="O322" s="33">
        <v>3</v>
      </c>
      <c r="P322" s="33">
        <f>IF(Tabela1[[#This Row],[Status]]="✔️",Tabela1[[#This Row],[Peso]],IF(Tabela1[[#This Row],[Status]]="✔️✔️",Tabela1[[#This Row],[Peso]]/2,0))</f>
        <v>3</v>
      </c>
      <c r="Q32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22" s="33" t="s">
        <v>127</v>
      </c>
      <c r="S322" s="37" t="s">
        <v>128</v>
      </c>
    </row>
    <row r="323" spans="8:19" ht="45.6" customHeight="1" x14ac:dyDescent="0.3">
      <c r="H323" s="32" t="s">
        <v>49</v>
      </c>
      <c r="I323" s="33" t="s">
        <v>25</v>
      </c>
      <c r="J323" s="34" t="s">
        <v>29</v>
      </c>
      <c r="K323" s="35" t="s">
        <v>0</v>
      </c>
      <c r="L323" s="33"/>
      <c r="M323" s="33"/>
      <c r="N323" s="36"/>
      <c r="O323" s="33">
        <v>3</v>
      </c>
      <c r="P323" s="33">
        <f>IF(Tabela1[[#This Row],[Status]]="✔️",Tabela1[[#This Row],[Peso]],IF(Tabela1[[#This Row],[Status]]="✔️✔️",Tabela1[[#This Row],[Peso]]/2,0))</f>
        <v>3</v>
      </c>
      <c r="Q32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23" s="33" t="s">
        <v>127</v>
      </c>
      <c r="S323" s="37" t="s">
        <v>128</v>
      </c>
    </row>
    <row r="324" spans="8:19" ht="45.6" customHeight="1" x14ac:dyDescent="0.3">
      <c r="H324" s="32" t="s">
        <v>49</v>
      </c>
      <c r="I324" s="33" t="s">
        <v>25</v>
      </c>
      <c r="J324" s="34" t="s">
        <v>449</v>
      </c>
      <c r="K324" s="35" t="s">
        <v>0</v>
      </c>
      <c r="L324" s="33"/>
      <c r="M324" s="33"/>
      <c r="N324" s="36"/>
      <c r="O324" s="33">
        <v>3</v>
      </c>
      <c r="P324" s="33">
        <f>IF(Tabela1[[#This Row],[Status]]="✔️",Tabela1[[#This Row],[Peso]],IF(Tabela1[[#This Row],[Status]]="✔️✔️",Tabela1[[#This Row],[Peso]]/2,0))</f>
        <v>3</v>
      </c>
      <c r="Q32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24" s="33" t="s">
        <v>127</v>
      </c>
      <c r="S324" s="37" t="s">
        <v>128</v>
      </c>
    </row>
    <row r="325" spans="8:19" ht="45.6" customHeight="1" x14ac:dyDescent="0.3">
      <c r="H325" s="32" t="s">
        <v>49</v>
      </c>
      <c r="I325" s="33" t="s">
        <v>41</v>
      </c>
      <c r="J325" s="34" t="s">
        <v>442</v>
      </c>
      <c r="K325" s="35" t="s">
        <v>290</v>
      </c>
      <c r="L325" s="33" t="s">
        <v>47</v>
      </c>
      <c r="M325" s="33">
        <v>8115</v>
      </c>
      <c r="N325" s="36"/>
      <c r="O325" s="33">
        <v>3</v>
      </c>
      <c r="P325" s="33">
        <f>IF(Tabela1[[#This Row],[Status]]="✔️",Tabela1[[#This Row],[Peso]],IF(Tabela1[[#This Row],[Status]]="✔️✔️",Tabela1[[#This Row],[Peso]]/2,0))</f>
        <v>0</v>
      </c>
      <c r="Q32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25" s="33" t="s">
        <v>127</v>
      </c>
      <c r="S325" s="37" t="s">
        <v>128</v>
      </c>
    </row>
    <row r="326" spans="8:19" ht="45.6" customHeight="1" x14ac:dyDescent="0.3">
      <c r="H326" s="32" t="s">
        <v>49</v>
      </c>
      <c r="I326" s="33" t="s">
        <v>41</v>
      </c>
      <c r="J326" s="34" t="s">
        <v>443</v>
      </c>
      <c r="K326" s="35" t="s">
        <v>290</v>
      </c>
      <c r="L326" s="33" t="s">
        <v>47</v>
      </c>
      <c r="M326" s="33">
        <v>8115</v>
      </c>
      <c r="N326" s="36"/>
      <c r="O326" s="33">
        <v>2</v>
      </c>
      <c r="P326" s="33">
        <f>IF(Tabela1[[#This Row],[Status]]="✔️",Tabela1[[#This Row],[Peso]],IF(Tabela1[[#This Row],[Status]]="✔️✔️",Tabela1[[#This Row],[Peso]]/2,0))</f>
        <v>0</v>
      </c>
      <c r="Q32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326" s="33" t="s">
        <v>127</v>
      </c>
      <c r="S326" s="37" t="s">
        <v>128</v>
      </c>
    </row>
    <row r="327" spans="8:19" ht="45.6" customHeight="1" x14ac:dyDescent="0.3">
      <c r="H327" s="32" t="s">
        <v>49</v>
      </c>
      <c r="I327" s="33" t="s">
        <v>10</v>
      </c>
      <c r="J327" s="34" t="s">
        <v>444</v>
      </c>
      <c r="K327" s="35" t="s">
        <v>290</v>
      </c>
      <c r="L327" s="33" t="s">
        <v>60</v>
      </c>
      <c r="M327" s="33">
        <v>5214</v>
      </c>
      <c r="N327" s="36"/>
      <c r="O327" s="33">
        <v>3</v>
      </c>
      <c r="P327" s="33">
        <f>IF(Tabela1[[#This Row],[Status]]="✔️",Tabela1[[#This Row],[Peso]],IF(Tabela1[[#This Row],[Status]]="✔️✔️",Tabela1[[#This Row],[Peso]]/2,0))</f>
        <v>0</v>
      </c>
      <c r="Q32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27" s="33" t="s">
        <v>127</v>
      </c>
      <c r="S327" s="37" t="s">
        <v>128</v>
      </c>
    </row>
    <row r="328" spans="8:19" ht="45.6" customHeight="1" x14ac:dyDescent="0.3">
      <c r="H328" s="32" t="s">
        <v>49</v>
      </c>
      <c r="I328" s="33" t="s">
        <v>30</v>
      </c>
      <c r="J328" s="34" t="s">
        <v>438</v>
      </c>
      <c r="K328" s="35" t="s">
        <v>0</v>
      </c>
      <c r="L328" s="33"/>
      <c r="M328" s="33"/>
      <c r="N328" s="36"/>
      <c r="O328" s="33">
        <v>3</v>
      </c>
      <c r="P328" s="33">
        <f>IF(Tabela1[[#This Row],[Status]]="✔️",Tabela1[[#This Row],[Peso]],IF(Tabela1[[#This Row],[Status]]="✔️✔️",Tabela1[[#This Row],[Peso]]/2,0))</f>
        <v>3</v>
      </c>
      <c r="Q32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28" s="33" t="s">
        <v>130</v>
      </c>
      <c r="S328" s="37" t="s">
        <v>132</v>
      </c>
    </row>
    <row r="329" spans="8:19" ht="45.6" customHeight="1" x14ac:dyDescent="0.3">
      <c r="H329" s="32" t="s">
        <v>49</v>
      </c>
      <c r="I329" s="33" t="s">
        <v>10</v>
      </c>
      <c r="J329" s="34" t="s">
        <v>11</v>
      </c>
      <c r="K329" s="35" t="s">
        <v>290</v>
      </c>
      <c r="L329" s="33" t="s">
        <v>155</v>
      </c>
      <c r="M329" s="33">
        <v>3251</v>
      </c>
      <c r="N329" s="36"/>
      <c r="O329" s="33">
        <v>3</v>
      </c>
      <c r="P329" s="33">
        <f>IF(Tabela1[[#This Row],[Status]]="✔️",Tabela1[[#This Row],[Peso]],IF(Tabela1[[#This Row],[Status]]="✔️✔️",Tabela1[[#This Row],[Peso]]/2,0))</f>
        <v>0</v>
      </c>
      <c r="Q32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29" s="33" t="s">
        <v>130</v>
      </c>
      <c r="S329" s="37" t="s">
        <v>132</v>
      </c>
    </row>
    <row r="330" spans="8:19" ht="45.6" customHeight="1" x14ac:dyDescent="0.3">
      <c r="H330" s="32" t="s">
        <v>49</v>
      </c>
      <c r="I330" s="33" t="s">
        <v>10</v>
      </c>
      <c r="J330" s="34" t="s">
        <v>439</v>
      </c>
      <c r="K330" s="35" t="s">
        <v>0</v>
      </c>
      <c r="L330" s="33"/>
      <c r="M330" s="33"/>
      <c r="N330" s="36"/>
      <c r="O330" s="33">
        <v>3</v>
      </c>
      <c r="P330" s="33">
        <f>IF(Tabela1[[#This Row],[Status]]="✔️",Tabela1[[#This Row],[Peso]],IF(Tabela1[[#This Row],[Status]]="✔️✔️",Tabela1[[#This Row],[Peso]]/2,0))</f>
        <v>3</v>
      </c>
      <c r="Q33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30" s="33" t="s">
        <v>130</v>
      </c>
      <c r="S330" s="37" t="s">
        <v>132</v>
      </c>
    </row>
    <row r="331" spans="8:19" ht="45.6" customHeight="1" x14ac:dyDescent="0.3">
      <c r="H331" s="32" t="s">
        <v>49</v>
      </c>
      <c r="I331" s="33" t="s">
        <v>10</v>
      </c>
      <c r="J331" s="34" t="s">
        <v>440</v>
      </c>
      <c r="K331" s="35" t="s">
        <v>0</v>
      </c>
      <c r="L331" s="33"/>
      <c r="M331" s="33"/>
      <c r="N331" s="36"/>
      <c r="O331" s="33">
        <v>3</v>
      </c>
      <c r="P331" s="33">
        <f>IF(Tabela1[[#This Row],[Status]]="✔️",Tabela1[[#This Row],[Peso]],IF(Tabela1[[#This Row],[Status]]="✔️✔️",Tabela1[[#This Row],[Peso]]/2,0))</f>
        <v>3</v>
      </c>
      <c r="Q33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31" s="33" t="s">
        <v>130</v>
      </c>
      <c r="S331" s="37" t="s">
        <v>132</v>
      </c>
    </row>
    <row r="332" spans="8:19" ht="45.6" customHeight="1" x14ac:dyDescent="0.3">
      <c r="H332" s="32" t="s">
        <v>49</v>
      </c>
      <c r="I332" s="33" t="s">
        <v>12</v>
      </c>
      <c r="J332" s="34" t="s">
        <v>13</v>
      </c>
      <c r="K332" s="35" t="s">
        <v>290</v>
      </c>
      <c r="L332" s="33" t="s">
        <v>52</v>
      </c>
      <c r="M332" s="33">
        <v>6518</v>
      </c>
      <c r="N332" s="36"/>
      <c r="O332" s="33">
        <v>2</v>
      </c>
      <c r="P332" s="33">
        <f>IF(Tabela1[[#This Row],[Status]]="✔️",Tabela1[[#This Row],[Peso]],IF(Tabela1[[#This Row],[Status]]="✔️✔️",Tabela1[[#This Row],[Peso]]/2,0))</f>
        <v>0</v>
      </c>
      <c r="Q332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332" s="33" t="s">
        <v>130</v>
      </c>
      <c r="S332" s="37" t="s">
        <v>132</v>
      </c>
    </row>
    <row r="333" spans="8:19" ht="45.6" customHeight="1" x14ac:dyDescent="0.3">
      <c r="H333" s="32" t="s">
        <v>49</v>
      </c>
      <c r="I333" s="33" t="s">
        <v>14</v>
      </c>
      <c r="J333" s="34" t="s">
        <v>15</v>
      </c>
      <c r="K333" s="35" t="s">
        <v>0</v>
      </c>
      <c r="L333" s="33"/>
      <c r="M333" s="33"/>
      <c r="N333" s="36"/>
      <c r="O333" s="33">
        <v>3</v>
      </c>
      <c r="P333" s="33">
        <f>IF(Tabela1[[#This Row],[Status]]="✔️",Tabela1[[#This Row],[Peso]],IF(Tabela1[[#This Row],[Status]]="✔️✔️",Tabela1[[#This Row],[Peso]]/2,0))</f>
        <v>3</v>
      </c>
      <c r="Q33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33" s="33" t="s">
        <v>130</v>
      </c>
      <c r="S333" s="37" t="s">
        <v>132</v>
      </c>
    </row>
    <row r="334" spans="8:19" ht="45.6" customHeight="1" x14ac:dyDescent="0.3">
      <c r="H334" s="32" t="s">
        <v>49</v>
      </c>
      <c r="I334" s="33" t="s">
        <v>14</v>
      </c>
      <c r="J334" s="34" t="s">
        <v>16</v>
      </c>
      <c r="K334" s="35" t="s">
        <v>0</v>
      </c>
      <c r="L334" s="33"/>
      <c r="M334" s="33"/>
      <c r="N334" s="36"/>
      <c r="O334" s="33">
        <v>1</v>
      </c>
      <c r="P334" s="33">
        <f>IF(Tabela1[[#This Row],[Status]]="✔️",Tabela1[[#This Row],[Peso]],IF(Tabela1[[#This Row],[Status]]="✔️✔️",Tabela1[[#This Row],[Peso]]/2,0))</f>
        <v>1</v>
      </c>
      <c r="Q33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334" s="33" t="s">
        <v>130</v>
      </c>
      <c r="S334" s="37" t="s">
        <v>132</v>
      </c>
    </row>
    <row r="335" spans="8:19" ht="45.6" customHeight="1" x14ac:dyDescent="0.3">
      <c r="H335" s="32" t="s">
        <v>49</v>
      </c>
      <c r="I335" s="33" t="s">
        <v>17</v>
      </c>
      <c r="J335" s="34" t="s">
        <v>18</v>
      </c>
      <c r="K335" s="35" t="s">
        <v>0</v>
      </c>
      <c r="L335" s="33"/>
      <c r="M335" s="33"/>
      <c r="N335" s="36"/>
      <c r="O335" s="33">
        <v>3</v>
      </c>
      <c r="P335" s="33">
        <f>IF(Tabela1[[#This Row],[Status]]="✔️",Tabela1[[#This Row],[Peso]],IF(Tabela1[[#This Row],[Status]]="✔️✔️",Tabela1[[#This Row],[Peso]]/2,0))</f>
        <v>3</v>
      </c>
      <c r="Q33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35" s="33" t="s">
        <v>130</v>
      </c>
      <c r="S335" s="37" t="s">
        <v>132</v>
      </c>
    </row>
    <row r="336" spans="8:19" ht="45.6" customHeight="1" x14ac:dyDescent="0.3">
      <c r="H336" s="32" t="s">
        <v>49</v>
      </c>
      <c r="I336" s="33" t="s">
        <v>17</v>
      </c>
      <c r="J336" s="34" t="s">
        <v>19</v>
      </c>
      <c r="K336" s="35" t="s">
        <v>0</v>
      </c>
      <c r="L336" s="33"/>
      <c r="M336" s="33"/>
      <c r="N336" s="36"/>
      <c r="O336" s="33">
        <v>1</v>
      </c>
      <c r="P336" s="33">
        <f>IF(Tabela1[[#This Row],[Status]]="✔️",Tabela1[[#This Row],[Peso]],IF(Tabela1[[#This Row],[Status]]="✔️✔️",Tabela1[[#This Row],[Peso]]/2,0))</f>
        <v>1</v>
      </c>
      <c r="Q33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336" s="33" t="s">
        <v>130</v>
      </c>
      <c r="S336" s="37" t="s">
        <v>132</v>
      </c>
    </row>
    <row r="337" spans="8:19" ht="45.6" customHeight="1" x14ac:dyDescent="0.3">
      <c r="H337" s="32" t="s">
        <v>49</v>
      </c>
      <c r="I337" s="33" t="s">
        <v>20</v>
      </c>
      <c r="J337" s="34" t="s">
        <v>21</v>
      </c>
      <c r="K337" s="35" t="s">
        <v>0</v>
      </c>
      <c r="L337" s="33"/>
      <c r="M337" s="33"/>
      <c r="N337" s="36"/>
      <c r="O337" s="33">
        <v>3</v>
      </c>
      <c r="P337" s="33">
        <f>IF(Tabela1[[#This Row],[Status]]="✔️",Tabela1[[#This Row],[Peso]],IF(Tabela1[[#This Row],[Status]]="✔️✔️",Tabela1[[#This Row],[Peso]]/2,0))</f>
        <v>3</v>
      </c>
      <c r="Q33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37" s="33" t="s">
        <v>130</v>
      </c>
      <c r="S337" s="37" t="s">
        <v>132</v>
      </c>
    </row>
    <row r="338" spans="8:19" ht="45.6" customHeight="1" x14ac:dyDescent="0.3">
      <c r="H338" s="32" t="s">
        <v>49</v>
      </c>
      <c r="I338" s="33" t="s">
        <v>20</v>
      </c>
      <c r="J338" s="34" t="s">
        <v>441</v>
      </c>
      <c r="K338" s="35" t="s">
        <v>0</v>
      </c>
      <c r="L338" s="33"/>
      <c r="M338" s="33"/>
      <c r="N338" s="36"/>
      <c r="O338" s="33">
        <v>1</v>
      </c>
      <c r="P338" s="33">
        <f>IF(Tabela1[[#This Row],[Status]]="✔️",Tabela1[[#This Row],[Peso]],IF(Tabela1[[#This Row],[Status]]="✔️✔️",Tabela1[[#This Row],[Peso]]/2,0))</f>
        <v>1</v>
      </c>
      <c r="Q33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338" s="33" t="s">
        <v>130</v>
      </c>
      <c r="S338" s="37" t="s">
        <v>132</v>
      </c>
    </row>
    <row r="339" spans="8:19" ht="45.6" customHeight="1" x14ac:dyDescent="0.3">
      <c r="H339" s="32" t="s">
        <v>49</v>
      </c>
      <c r="I339" s="33" t="s">
        <v>25</v>
      </c>
      <c r="J339" s="34" t="s">
        <v>28</v>
      </c>
      <c r="K339" s="35" t="s">
        <v>290</v>
      </c>
      <c r="L339" s="33" t="s">
        <v>53</v>
      </c>
      <c r="M339" s="33">
        <v>9884</v>
      </c>
      <c r="N339" s="36"/>
      <c r="O339" s="33">
        <v>3</v>
      </c>
      <c r="P339" s="33">
        <f>IF(Tabela1[[#This Row],[Status]]="✔️",Tabela1[[#This Row],[Peso]],IF(Tabela1[[#This Row],[Status]]="✔️✔️",Tabela1[[#This Row],[Peso]]/2,0))</f>
        <v>0</v>
      </c>
      <c r="Q33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39" s="33" t="s">
        <v>130</v>
      </c>
      <c r="S339" s="37" t="s">
        <v>132</v>
      </c>
    </row>
    <row r="340" spans="8:19" ht="45.6" customHeight="1" x14ac:dyDescent="0.3">
      <c r="H340" s="32" t="s">
        <v>49</v>
      </c>
      <c r="I340" s="33" t="s">
        <v>25</v>
      </c>
      <c r="J340" s="34" t="s">
        <v>29</v>
      </c>
      <c r="K340" s="35" t="s">
        <v>0</v>
      </c>
      <c r="L340" s="33"/>
      <c r="M340" s="33"/>
      <c r="N340" s="36"/>
      <c r="O340" s="33">
        <v>3</v>
      </c>
      <c r="P340" s="33">
        <f>IF(Tabela1[[#This Row],[Status]]="✔️",Tabela1[[#This Row],[Peso]],IF(Tabela1[[#This Row],[Status]]="✔️✔️",Tabela1[[#This Row],[Peso]]/2,0))</f>
        <v>3</v>
      </c>
      <c r="Q34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40" s="33" t="s">
        <v>130</v>
      </c>
      <c r="S340" s="37" t="s">
        <v>132</v>
      </c>
    </row>
    <row r="341" spans="8:19" ht="45.6" customHeight="1" x14ac:dyDescent="0.3">
      <c r="H341" s="32" t="s">
        <v>49</v>
      </c>
      <c r="I341" s="33" t="s">
        <v>25</v>
      </c>
      <c r="J341" s="34" t="s">
        <v>449</v>
      </c>
      <c r="K341" s="35" t="s">
        <v>0</v>
      </c>
      <c r="L341" s="33"/>
      <c r="M341" s="33"/>
      <c r="N341" s="36"/>
      <c r="O341" s="33">
        <v>3</v>
      </c>
      <c r="P341" s="33">
        <f>IF(Tabela1[[#This Row],[Status]]="✔️",Tabela1[[#This Row],[Peso]],IF(Tabela1[[#This Row],[Status]]="✔️✔️",Tabela1[[#This Row],[Peso]]/2,0))</f>
        <v>3</v>
      </c>
      <c r="Q34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41" s="33" t="s">
        <v>130</v>
      </c>
      <c r="S341" s="37" t="s">
        <v>132</v>
      </c>
    </row>
    <row r="342" spans="8:19" ht="45.6" customHeight="1" x14ac:dyDescent="0.3">
      <c r="H342" s="32" t="s">
        <v>49</v>
      </c>
      <c r="I342" s="33" t="s">
        <v>41</v>
      </c>
      <c r="J342" s="34" t="s">
        <v>442</v>
      </c>
      <c r="K342" s="35" t="s">
        <v>290</v>
      </c>
      <c r="L342" s="33" t="s">
        <v>47</v>
      </c>
      <c r="M342" s="33">
        <v>3184</v>
      </c>
      <c r="N342" s="36"/>
      <c r="O342" s="33">
        <v>3</v>
      </c>
      <c r="P342" s="33">
        <f>IF(Tabela1[[#This Row],[Status]]="✔️",Tabela1[[#This Row],[Peso]],IF(Tabela1[[#This Row],[Status]]="✔️✔️",Tabela1[[#This Row],[Peso]]/2,0))</f>
        <v>0</v>
      </c>
      <c r="Q34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42" s="33" t="s">
        <v>130</v>
      </c>
      <c r="S342" s="37" t="s">
        <v>132</v>
      </c>
    </row>
    <row r="343" spans="8:19" ht="45.6" customHeight="1" x14ac:dyDescent="0.3">
      <c r="H343" s="32" t="s">
        <v>49</v>
      </c>
      <c r="I343" s="33" t="s">
        <v>41</v>
      </c>
      <c r="J343" s="34" t="s">
        <v>443</v>
      </c>
      <c r="K343" s="35" t="s">
        <v>290</v>
      </c>
      <c r="L343" s="33" t="s">
        <v>47</v>
      </c>
      <c r="M343" s="33">
        <v>3184</v>
      </c>
      <c r="N343" s="36"/>
      <c r="O343" s="33">
        <v>2</v>
      </c>
      <c r="P343" s="33">
        <f>IF(Tabela1[[#This Row],[Status]]="✔️",Tabela1[[#This Row],[Peso]],IF(Tabela1[[#This Row],[Status]]="✔️✔️",Tabela1[[#This Row],[Peso]]/2,0))</f>
        <v>0</v>
      </c>
      <c r="Q343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343" s="33" t="s">
        <v>130</v>
      </c>
      <c r="S343" s="37" t="s">
        <v>132</v>
      </c>
    </row>
    <row r="344" spans="8:19" ht="45.6" customHeight="1" x14ac:dyDescent="0.3">
      <c r="H344" s="32" t="s">
        <v>49</v>
      </c>
      <c r="I344" s="33" t="s">
        <v>30</v>
      </c>
      <c r="J344" s="34" t="s">
        <v>438</v>
      </c>
      <c r="K344" s="35" t="s">
        <v>0</v>
      </c>
      <c r="L344" s="33"/>
      <c r="M344" s="33"/>
      <c r="N344" s="36"/>
      <c r="O344" s="33">
        <v>3</v>
      </c>
      <c r="P344" s="33">
        <f>IF(Tabela1[[#This Row],[Status]]="✔️",Tabela1[[#This Row],[Peso]],IF(Tabela1[[#This Row],[Status]]="✔️✔️",Tabela1[[#This Row],[Peso]]/2,0))</f>
        <v>3</v>
      </c>
      <c r="Q34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44" s="33" t="s">
        <v>130</v>
      </c>
      <c r="S344" s="37" t="s">
        <v>128</v>
      </c>
    </row>
    <row r="345" spans="8:19" ht="45.6" customHeight="1" x14ac:dyDescent="0.3">
      <c r="H345" s="32" t="s">
        <v>49</v>
      </c>
      <c r="I345" s="33" t="s">
        <v>10</v>
      </c>
      <c r="J345" s="34" t="s">
        <v>444</v>
      </c>
      <c r="K345" s="35" t="s">
        <v>290</v>
      </c>
      <c r="L345" s="33" t="s">
        <v>156</v>
      </c>
      <c r="M345" s="33">
        <v>3251</v>
      </c>
      <c r="N345" s="36"/>
      <c r="O345" s="33">
        <v>3</v>
      </c>
      <c r="P345" s="33">
        <f>IF(Tabela1[[#This Row],[Status]]="✔️",Tabela1[[#This Row],[Peso]],IF(Tabela1[[#This Row],[Status]]="✔️✔️",Tabela1[[#This Row],[Peso]]/2,0))</f>
        <v>0</v>
      </c>
      <c r="Q34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45" s="33" t="s">
        <v>130</v>
      </c>
      <c r="S345" s="37" t="s">
        <v>132</v>
      </c>
    </row>
    <row r="346" spans="8:19" ht="45.6" customHeight="1" x14ac:dyDescent="0.3">
      <c r="H346" s="32" t="s">
        <v>49</v>
      </c>
      <c r="I346" s="33" t="s">
        <v>10</v>
      </c>
      <c r="J346" s="34" t="s">
        <v>11</v>
      </c>
      <c r="K346" s="35" t="s">
        <v>290</v>
      </c>
      <c r="L346" s="33" t="s">
        <v>155</v>
      </c>
      <c r="M346" s="33">
        <v>3251</v>
      </c>
      <c r="N346" s="36"/>
      <c r="O346" s="33">
        <v>3</v>
      </c>
      <c r="P346" s="33">
        <f>IF(Tabela1[[#This Row],[Status]]="✔️",Tabela1[[#This Row],[Peso]],IF(Tabela1[[#This Row],[Status]]="✔️✔️",Tabela1[[#This Row],[Peso]]/2,0))</f>
        <v>0</v>
      </c>
      <c r="Q34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46" s="33" t="s">
        <v>130</v>
      </c>
      <c r="S346" s="37" t="s">
        <v>128</v>
      </c>
    </row>
    <row r="347" spans="8:19" ht="45.6" customHeight="1" x14ac:dyDescent="0.3">
      <c r="H347" s="32" t="s">
        <v>49</v>
      </c>
      <c r="I347" s="33" t="s">
        <v>10</v>
      </c>
      <c r="J347" s="34" t="s">
        <v>439</v>
      </c>
      <c r="K347" s="35" t="s">
        <v>0</v>
      </c>
      <c r="L347" s="33"/>
      <c r="M347" s="33"/>
      <c r="N347" s="36"/>
      <c r="O347" s="33">
        <v>3</v>
      </c>
      <c r="P347" s="33">
        <f>IF(Tabela1[[#This Row],[Status]]="✔️",Tabela1[[#This Row],[Peso]],IF(Tabela1[[#This Row],[Status]]="✔️✔️",Tabela1[[#This Row],[Peso]]/2,0))</f>
        <v>3</v>
      </c>
      <c r="Q34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47" s="33" t="s">
        <v>130</v>
      </c>
      <c r="S347" s="37" t="s">
        <v>128</v>
      </c>
    </row>
    <row r="348" spans="8:19" ht="45.6" customHeight="1" x14ac:dyDescent="0.3">
      <c r="H348" s="32" t="s">
        <v>49</v>
      </c>
      <c r="I348" s="33" t="s">
        <v>10</v>
      </c>
      <c r="J348" s="34" t="s">
        <v>440</v>
      </c>
      <c r="K348" s="35" t="s">
        <v>0</v>
      </c>
      <c r="L348" s="33"/>
      <c r="M348" s="33"/>
      <c r="N348" s="36"/>
      <c r="O348" s="33">
        <v>3</v>
      </c>
      <c r="P348" s="33">
        <f>IF(Tabela1[[#This Row],[Status]]="✔️",Tabela1[[#This Row],[Peso]],IF(Tabela1[[#This Row],[Status]]="✔️✔️",Tabela1[[#This Row],[Peso]]/2,0))</f>
        <v>3</v>
      </c>
      <c r="Q34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48" s="33" t="s">
        <v>130</v>
      </c>
      <c r="S348" s="37" t="s">
        <v>128</v>
      </c>
    </row>
    <row r="349" spans="8:19" ht="45.6" customHeight="1" x14ac:dyDescent="0.3">
      <c r="H349" s="32" t="s">
        <v>49</v>
      </c>
      <c r="I349" s="33" t="s">
        <v>12</v>
      </c>
      <c r="J349" s="34" t="s">
        <v>13</v>
      </c>
      <c r="K349" s="35" t="s">
        <v>290</v>
      </c>
      <c r="L349" s="33" t="s">
        <v>52</v>
      </c>
      <c r="M349" s="33">
        <v>6518</v>
      </c>
      <c r="N349" s="36"/>
      <c r="O349" s="33">
        <v>2</v>
      </c>
      <c r="P349" s="33">
        <f>IF(Tabela1[[#This Row],[Status]]="✔️",Tabela1[[#This Row],[Peso]],IF(Tabela1[[#This Row],[Status]]="✔️✔️",Tabela1[[#This Row],[Peso]]/2,0))</f>
        <v>0</v>
      </c>
      <c r="Q34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349" s="33" t="s">
        <v>130</v>
      </c>
      <c r="S349" s="37" t="s">
        <v>128</v>
      </c>
    </row>
    <row r="350" spans="8:19" ht="45.6" customHeight="1" x14ac:dyDescent="0.3">
      <c r="H350" s="32" t="s">
        <v>49</v>
      </c>
      <c r="I350" s="33" t="s">
        <v>14</v>
      </c>
      <c r="J350" s="34" t="s">
        <v>15</v>
      </c>
      <c r="K350" s="35" t="s">
        <v>0</v>
      </c>
      <c r="L350" s="33"/>
      <c r="M350" s="33"/>
      <c r="N350" s="36"/>
      <c r="O350" s="33">
        <v>3</v>
      </c>
      <c r="P350" s="33">
        <f>IF(Tabela1[[#This Row],[Status]]="✔️",Tabela1[[#This Row],[Peso]],IF(Tabela1[[#This Row],[Status]]="✔️✔️",Tabela1[[#This Row],[Peso]]/2,0))</f>
        <v>3</v>
      </c>
      <c r="Q35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50" s="33" t="s">
        <v>130</v>
      </c>
      <c r="S350" s="37" t="s">
        <v>128</v>
      </c>
    </row>
    <row r="351" spans="8:19" ht="45.6" customHeight="1" x14ac:dyDescent="0.3">
      <c r="H351" s="32" t="s">
        <v>49</v>
      </c>
      <c r="I351" s="33" t="s">
        <v>14</v>
      </c>
      <c r="J351" s="34" t="s">
        <v>16</v>
      </c>
      <c r="K351" s="35" t="s">
        <v>0</v>
      </c>
      <c r="L351" s="33"/>
      <c r="M351" s="33"/>
      <c r="N351" s="36"/>
      <c r="O351" s="33">
        <v>1</v>
      </c>
      <c r="P351" s="33">
        <f>IF(Tabela1[[#This Row],[Status]]="✔️",Tabela1[[#This Row],[Peso]],IF(Tabela1[[#This Row],[Status]]="✔️✔️",Tabela1[[#This Row],[Peso]]/2,0))</f>
        <v>1</v>
      </c>
      <c r="Q35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351" s="33" t="s">
        <v>130</v>
      </c>
      <c r="S351" s="37" t="s">
        <v>128</v>
      </c>
    </row>
    <row r="352" spans="8:19" ht="45.6" customHeight="1" x14ac:dyDescent="0.3">
      <c r="H352" s="32" t="s">
        <v>49</v>
      </c>
      <c r="I352" s="33" t="s">
        <v>17</v>
      </c>
      <c r="J352" s="34" t="s">
        <v>18</v>
      </c>
      <c r="K352" s="35" t="s">
        <v>0</v>
      </c>
      <c r="L352" s="33"/>
      <c r="M352" s="33"/>
      <c r="N352" s="36"/>
      <c r="O352" s="33">
        <v>3</v>
      </c>
      <c r="P352" s="33">
        <f>IF(Tabela1[[#This Row],[Status]]="✔️",Tabela1[[#This Row],[Peso]],IF(Tabela1[[#This Row],[Status]]="✔️✔️",Tabela1[[#This Row],[Peso]]/2,0))</f>
        <v>3</v>
      </c>
      <c r="Q35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52" s="33" t="s">
        <v>130</v>
      </c>
      <c r="S352" s="37" t="s">
        <v>128</v>
      </c>
    </row>
    <row r="353" spans="8:19" ht="45.6" customHeight="1" x14ac:dyDescent="0.3">
      <c r="H353" s="32" t="s">
        <v>49</v>
      </c>
      <c r="I353" s="33" t="s">
        <v>17</v>
      </c>
      <c r="J353" s="34" t="s">
        <v>19</v>
      </c>
      <c r="K353" s="35" t="s">
        <v>0</v>
      </c>
      <c r="L353" s="33"/>
      <c r="M353" s="33"/>
      <c r="N353" s="36"/>
      <c r="O353" s="33">
        <v>1</v>
      </c>
      <c r="P353" s="33">
        <f>IF(Tabela1[[#This Row],[Status]]="✔️",Tabela1[[#This Row],[Peso]],IF(Tabela1[[#This Row],[Status]]="✔️✔️",Tabela1[[#This Row],[Peso]]/2,0))</f>
        <v>1</v>
      </c>
      <c r="Q35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353" s="33" t="s">
        <v>130</v>
      </c>
      <c r="S353" s="37" t="s">
        <v>128</v>
      </c>
    </row>
    <row r="354" spans="8:19" ht="45.6" customHeight="1" x14ac:dyDescent="0.3">
      <c r="H354" s="32" t="s">
        <v>49</v>
      </c>
      <c r="I354" s="33" t="s">
        <v>20</v>
      </c>
      <c r="J354" s="34" t="s">
        <v>21</v>
      </c>
      <c r="K354" s="35" t="s">
        <v>0</v>
      </c>
      <c r="L354" s="33"/>
      <c r="M354" s="33"/>
      <c r="N354" s="36"/>
      <c r="O354" s="33">
        <v>3</v>
      </c>
      <c r="P354" s="33">
        <f>IF(Tabela1[[#This Row],[Status]]="✔️",Tabela1[[#This Row],[Peso]],IF(Tabela1[[#This Row],[Status]]="✔️✔️",Tabela1[[#This Row],[Peso]]/2,0))</f>
        <v>3</v>
      </c>
      <c r="Q35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54" s="33" t="s">
        <v>130</v>
      </c>
      <c r="S354" s="37" t="s">
        <v>128</v>
      </c>
    </row>
    <row r="355" spans="8:19" ht="45.6" customHeight="1" x14ac:dyDescent="0.3">
      <c r="H355" s="32" t="s">
        <v>49</v>
      </c>
      <c r="I355" s="33" t="s">
        <v>20</v>
      </c>
      <c r="J355" s="34" t="s">
        <v>441</v>
      </c>
      <c r="K355" s="35" t="s">
        <v>0</v>
      </c>
      <c r="L355" s="33"/>
      <c r="M355" s="33"/>
      <c r="N355" s="36"/>
      <c r="O355" s="33">
        <v>1</v>
      </c>
      <c r="P355" s="33">
        <f>IF(Tabela1[[#This Row],[Status]]="✔️",Tabela1[[#This Row],[Peso]],IF(Tabela1[[#This Row],[Status]]="✔️✔️",Tabela1[[#This Row],[Peso]]/2,0))</f>
        <v>1</v>
      </c>
      <c r="Q35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355" s="33" t="s">
        <v>130</v>
      </c>
      <c r="S355" s="37" t="s">
        <v>128</v>
      </c>
    </row>
    <row r="356" spans="8:19" ht="45.6" customHeight="1" x14ac:dyDescent="0.3">
      <c r="H356" s="32" t="s">
        <v>49</v>
      </c>
      <c r="I356" s="33" t="s">
        <v>25</v>
      </c>
      <c r="J356" s="34" t="s">
        <v>28</v>
      </c>
      <c r="K356" s="35" t="s">
        <v>290</v>
      </c>
      <c r="L356" s="33" t="s">
        <v>53</v>
      </c>
      <c r="M356" s="33">
        <v>9884</v>
      </c>
      <c r="N356" s="36"/>
      <c r="O356" s="33">
        <v>3</v>
      </c>
      <c r="P356" s="33">
        <f>IF(Tabela1[[#This Row],[Status]]="✔️",Tabela1[[#This Row],[Peso]],IF(Tabela1[[#This Row],[Status]]="✔️✔️",Tabela1[[#This Row],[Peso]]/2,0))</f>
        <v>0</v>
      </c>
      <c r="Q35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56" s="33" t="s">
        <v>130</v>
      </c>
      <c r="S356" s="37" t="s">
        <v>128</v>
      </c>
    </row>
    <row r="357" spans="8:19" ht="45.6" customHeight="1" x14ac:dyDescent="0.3">
      <c r="H357" s="32" t="s">
        <v>49</v>
      </c>
      <c r="I357" s="33" t="s">
        <v>25</v>
      </c>
      <c r="J357" s="34" t="s">
        <v>29</v>
      </c>
      <c r="K357" s="35" t="s">
        <v>0</v>
      </c>
      <c r="L357" s="33"/>
      <c r="M357" s="33"/>
      <c r="N357" s="36"/>
      <c r="O357" s="33">
        <v>3</v>
      </c>
      <c r="P357" s="33">
        <f>IF(Tabela1[[#This Row],[Status]]="✔️",Tabela1[[#This Row],[Peso]],IF(Tabela1[[#This Row],[Status]]="✔️✔️",Tabela1[[#This Row],[Peso]]/2,0))</f>
        <v>3</v>
      </c>
      <c r="Q35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57" s="33" t="s">
        <v>130</v>
      </c>
      <c r="S357" s="37" t="s">
        <v>128</v>
      </c>
    </row>
    <row r="358" spans="8:19" ht="45.6" customHeight="1" x14ac:dyDescent="0.3">
      <c r="H358" s="32" t="s">
        <v>49</v>
      </c>
      <c r="I358" s="33" t="s">
        <v>25</v>
      </c>
      <c r="J358" s="34" t="s">
        <v>449</v>
      </c>
      <c r="K358" s="35" t="s">
        <v>0</v>
      </c>
      <c r="L358" s="33"/>
      <c r="M358" s="33"/>
      <c r="N358" s="36"/>
      <c r="O358" s="33">
        <v>3</v>
      </c>
      <c r="P358" s="33">
        <f>IF(Tabela1[[#This Row],[Status]]="✔️",Tabela1[[#This Row],[Peso]],IF(Tabela1[[#This Row],[Status]]="✔️✔️",Tabela1[[#This Row],[Peso]]/2,0))</f>
        <v>3</v>
      </c>
      <c r="Q35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58" s="33" t="s">
        <v>130</v>
      </c>
      <c r="S358" s="37" t="s">
        <v>128</v>
      </c>
    </row>
    <row r="359" spans="8:19" ht="45.6" customHeight="1" x14ac:dyDescent="0.3">
      <c r="H359" s="32" t="s">
        <v>49</v>
      </c>
      <c r="I359" s="33" t="s">
        <v>41</v>
      </c>
      <c r="J359" s="34" t="s">
        <v>442</v>
      </c>
      <c r="K359" s="35" t="s">
        <v>291</v>
      </c>
      <c r="L359" s="33" t="s">
        <v>292</v>
      </c>
      <c r="M359" s="33">
        <v>3184</v>
      </c>
      <c r="N359" s="36"/>
      <c r="O359" s="33">
        <v>3</v>
      </c>
      <c r="P359" s="33">
        <f>IF(Tabela1[[#This Row],[Status]]="✔️",Tabela1[[#This Row],[Peso]],IF(Tabela1[[#This Row],[Status]]="✔️✔️",Tabela1[[#This Row],[Peso]]/2,0))</f>
        <v>1.5</v>
      </c>
      <c r="Q359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359" s="33" t="s">
        <v>130</v>
      </c>
      <c r="S359" s="37" t="s">
        <v>128</v>
      </c>
    </row>
    <row r="360" spans="8:19" ht="45.6" customHeight="1" x14ac:dyDescent="0.3">
      <c r="H360" s="32" t="s">
        <v>49</v>
      </c>
      <c r="I360" s="33" t="s">
        <v>41</v>
      </c>
      <c r="J360" s="34" t="s">
        <v>443</v>
      </c>
      <c r="K360" s="35" t="s">
        <v>290</v>
      </c>
      <c r="L360" s="33" t="s">
        <v>292</v>
      </c>
      <c r="M360" s="33">
        <v>3184</v>
      </c>
      <c r="N360" s="36"/>
      <c r="O360" s="33">
        <v>2</v>
      </c>
      <c r="P360" s="33">
        <f>IF(Tabela1[[#This Row],[Status]]="✔️",Tabela1[[#This Row],[Peso]],IF(Tabela1[[#This Row],[Status]]="✔️✔️",Tabela1[[#This Row],[Peso]]/2,0))</f>
        <v>0</v>
      </c>
      <c r="Q360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360" s="33" t="s">
        <v>130</v>
      </c>
      <c r="S360" s="37" t="s">
        <v>128</v>
      </c>
    </row>
    <row r="361" spans="8:19" ht="45.6" customHeight="1" x14ac:dyDescent="0.3">
      <c r="H361" s="32" t="s">
        <v>49</v>
      </c>
      <c r="I361" s="33" t="s">
        <v>10</v>
      </c>
      <c r="J361" s="34" t="s">
        <v>444</v>
      </c>
      <c r="K361" s="35" t="s">
        <v>290</v>
      </c>
      <c r="L361" s="33" t="s">
        <v>156</v>
      </c>
      <c r="M361" s="33">
        <v>3251</v>
      </c>
      <c r="N361" s="36"/>
      <c r="O361" s="33">
        <v>3</v>
      </c>
      <c r="P361" s="33">
        <f>IF(Tabela1[[#This Row],[Status]]="✔️",Tabela1[[#This Row],[Peso]],IF(Tabela1[[#This Row],[Status]]="✔️✔️",Tabela1[[#This Row],[Peso]]/2,0))</f>
        <v>0</v>
      </c>
      <c r="Q36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61" s="33" t="s">
        <v>130</v>
      </c>
      <c r="S361" s="37" t="s">
        <v>128</v>
      </c>
    </row>
    <row r="362" spans="8:19" ht="45.6" customHeight="1" x14ac:dyDescent="0.3">
      <c r="H362" s="32" t="s">
        <v>49</v>
      </c>
      <c r="I362" s="33" t="s">
        <v>30</v>
      </c>
      <c r="J362" s="34" t="s">
        <v>438</v>
      </c>
      <c r="K362" s="35" t="s">
        <v>0</v>
      </c>
      <c r="L362" s="33"/>
      <c r="M362" s="33"/>
      <c r="N362" s="36"/>
      <c r="O362" s="33">
        <v>3</v>
      </c>
      <c r="P362" s="33">
        <f>IF(Tabela1[[#This Row],[Status]]="✔️",Tabela1[[#This Row],[Peso]],IF(Tabela1[[#This Row],[Status]]="✔️✔️",Tabela1[[#This Row],[Peso]]/2,0))</f>
        <v>3</v>
      </c>
      <c r="Q36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62" s="33" t="s">
        <v>187</v>
      </c>
      <c r="S362" s="37" t="s">
        <v>132</v>
      </c>
    </row>
    <row r="363" spans="8:19" ht="33.6" customHeight="1" x14ac:dyDescent="0.3">
      <c r="H363" s="32" t="s">
        <v>49</v>
      </c>
      <c r="I363" s="33" t="s">
        <v>10</v>
      </c>
      <c r="J363" s="34" t="s">
        <v>11</v>
      </c>
      <c r="K363" s="35" t="s">
        <v>0</v>
      </c>
      <c r="L363" s="33"/>
      <c r="M363" s="33"/>
      <c r="N363" s="36"/>
      <c r="O363" s="33">
        <v>3</v>
      </c>
      <c r="P363" s="33">
        <f>IF(Tabela1[[#This Row],[Status]]="✔️",Tabela1[[#This Row],[Peso]],IF(Tabela1[[#This Row],[Status]]="✔️✔️",Tabela1[[#This Row],[Peso]]/2,0))</f>
        <v>3</v>
      </c>
      <c r="Q36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63" s="33" t="s">
        <v>187</v>
      </c>
      <c r="S363" s="37" t="s">
        <v>132</v>
      </c>
    </row>
    <row r="364" spans="8:19" ht="28.2" customHeight="1" x14ac:dyDescent="0.3">
      <c r="H364" s="32" t="s">
        <v>49</v>
      </c>
      <c r="I364" s="33" t="s">
        <v>10</v>
      </c>
      <c r="J364" s="34" t="s">
        <v>439</v>
      </c>
      <c r="K364" s="35" t="s">
        <v>0</v>
      </c>
      <c r="L364" s="33"/>
      <c r="M364" s="33"/>
      <c r="N364" s="36"/>
      <c r="O364" s="33">
        <v>3</v>
      </c>
      <c r="P364" s="33">
        <f>IF(Tabela1[[#This Row],[Status]]="✔️",Tabela1[[#This Row],[Peso]],IF(Tabela1[[#This Row],[Status]]="✔️✔️",Tabela1[[#This Row],[Peso]]/2,0))</f>
        <v>3</v>
      </c>
      <c r="Q36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64" s="33" t="s">
        <v>187</v>
      </c>
      <c r="S364" s="37" t="s">
        <v>132</v>
      </c>
    </row>
    <row r="365" spans="8:19" ht="28.8" customHeight="1" x14ac:dyDescent="0.3">
      <c r="H365" s="32" t="s">
        <v>49</v>
      </c>
      <c r="I365" s="33" t="s">
        <v>10</v>
      </c>
      <c r="J365" s="34" t="s">
        <v>440</v>
      </c>
      <c r="K365" s="35" t="s">
        <v>0</v>
      </c>
      <c r="L365" s="33"/>
      <c r="M365" s="33"/>
      <c r="N365" s="36"/>
      <c r="O365" s="33">
        <v>3</v>
      </c>
      <c r="P365" s="33">
        <f>IF(Tabela1[[#This Row],[Status]]="✔️",Tabela1[[#This Row],[Peso]],IF(Tabela1[[#This Row],[Status]]="✔️✔️",Tabela1[[#This Row],[Peso]]/2,0))</f>
        <v>3</v>
      </c>
      <c r="Q36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65" s="33" t="s">
        <v>187</v>
      </c>
      <c r="S365" s="37" t="s">
        <v>132</v>
      </c>
    </row>
    <row r="366" spans="8:19" ht="27" customHeight="1" x14ac:dyDescent="0.3">
      <c r="H366" s="32" t="s">
        <v>49</v>
      </c>
      <c r="I366" s="33" t="s">
        <v>12</v>
      </c>
      <c r="J366" s="34" t="s">
        <v>13</v>
      </c>
      <c r="K366" s="35" t="s">
        <v>290</v>
      </c>
      <c r="L366" s="33" t="s">
        <v>52</v>
      </c>
      <c r="M366" s="33">
        <v>5178</v>
      </c>
      <c r="N366" s="36"/>
      <c r="O366" s="33">
        <v>2</v>
      </c>
      <c r="P366" s="33">
        <f>IF(Tabela1[[#This Row],[Status]]="✔️",Tabela1[[#This Row],[Peso]],IF(Tabela1[[#This Row],[Status]]="✔️✔️",Tabela1[[#This Row],[Peso]]/2,0))</f>
        <v>0</v>
      </c>
      <c r="Q36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366" s="33" t="s">
        <v>187</v>
      </c>
      <c r="S366" s="37" t="s">
        <v>132</v>
      </c>
    </row>
    <row r="367" spans="8:19" ht="26.4" customHeight="1" x14ac:dyDescent="0.3">
      <c r="H367" s="32" t="s">
        <v>49</v>
      </c>
      <c r="I367" s="33" t="s">
        <v>14</v>
      </c>
      <c r="J367" s="34" t="s">
        <v>15</v>
      </c>
      <c r="K367" s="35" t="s">
        <v>290</v>
      </c>
      <c r="L367" s="33" t="s">
        <v>213</v>
      </c>
      <c r="M367" s="33">
        <v>2886</v>
      </c>
      <c r="N367" s="36"/>
      <c r="O367" s="33">
        <v>3</v>
      </c>
      <c r="P367" s="33">
        <f>IF(Tabela1[[#This Row],[Status]]="✔️",Tabela1[[#This Row],[Peso]],IF(Tabela1[[#This Row],[Status]]="✔️✔️",Tabela1[[#This Row],[Peso]]/2,0))</f>
        <v>0</v>
      </c>
      <c r="Q36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67" s="33" t="s">
        <v>187</v>
      </c>
      <c r="S367" s="37" t="s">
        <v>132</v>
      </c>
    </row>
    <row r="368" spans="8:19" ht="37.799999999999997" customHeight="1" x14ac:dyDescent="0.3">
      <c r="H368" s="32" t="s">
        <v>49</v>
      </c>
      <c r="I368" s="33" t="s">
        <v>14</v>
      </c>
      <c r="J368" s="34" t="s">
        <v>16</v>
      </c>
      <c r="K368" s="35" t="s">
        <v>0</v>
      </c>
      <c r="L368" s="33"/>
      <c r="M368" s="33"/>
      <c r="N368" s="36"/>
      <c r="O368" s="33">
        <v>1</v>
      </c>
      <c r="P368" s="33">
        <f>IF(Tabela1[[#This Row],[Status]]="✔️",Tabela1[[#This Row],[Peso]],IF(Tabela1[[#This Row],[Status]]="✔️✔️",Tabela1[[#This Row],[Peso]]/2,0))</f>
        <v>1</v>
      </c>
      <c r="Q36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368" s="33" t="s">
        <v>187</v>
      </c>
      <c r="S368" s="37" t="s">
        <v>132</v>
      </c>
    </row>
    <row r="369" spans="1:19" ht="48" customHeight="1" x14ac:dyDescent="0.3">
      <c r="H369" s="32" t="s">
        <v>49</v>
      </c>
      <c r="I369" s="33" t="s">
        <v>17</v>
      </c>
      <c r="J369" s="34" t="s">
        <v>18</v>
      </c>
      <c r="K369" s="35" t="s">
        <v>290</v>
      </c>
      <c r="L369" s="33" t="s">
        <v>214</v>
      </c>
      <c r="M369" s="33">
        <v>8008</v>
      </c>
      <c r="N369" s="36"/>
      <c r="O369" s="33">
        <v>3</v>
      </c>
      <c r="P369" s="33">
        <f>IF(Tabela1[[#This Row],[Status]]="✔️",Tabela1[[#This Row],[Peso]],IF(Tabela1[[#This Row],[Status]]="✔️✔️",Tabela1[[#This Row],[Peso]]/2,0))</f>
        <v>0</v>
      </c>
      <c r="Q36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69" s="33" t="s">
        <v>187</v>
      </c>
      <c r="S369" s="37" t="s">
        <v>132</v>
      </c>
    </row>
    <row r="370" spans="1:19" ht="48.6" customHeight="1" x14ac:dyDescent="0.3">
      <c r="H370" s="32" t="s">
        <v>49</v>
      </c>
      <c r="I370" s="33" t="s">
        <v>17</v>
      </c>
      <c r="J370" s="34" t="s">
        <v>19</v>
      </c>
      <c r="K370" s="35" t="s">
        <v>0</v>
      </c>
      <c r="L370" s="33"/>
      <c r="M370" s="33"/>
      <c r="N370" s="36"/>
      <c r="O370" s="33">
        <v>1</v>
      </c>
      <c r="P370" s="33">
        <f>IF(Tabela1[[#This Row],[Status]]="✔️",Tabela1[[#This Row],[Peso]],IF(Tabela1[[#This Row],[Status]]="✔️✔️",Tabela1[[#This Row],[Peso]]/2,0))</f>
        <v>1</v>
      </c>
      <c r="Q37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370" s="33" t="s">
        <v>187</v>
      </c>
      <c r="S370" s="37" t="s">
        <v>132</v>
      </c>
    </row>
    <row r="371" spans="1:19" s="10" customFormat="1" ht="42" customHeight="1" x14ac:dyDescent="0.3">
      <c r="A371" s="3"/>
      <c r="B371" s="3"/>
      <c r="C371" s="3"/>
      <c r="D371" s="3"/>
      <c r="E371" s="3"/>
      <c r="F371" s="3"/>
      <c r="G371" s="3"/>
      <c r="H371" s="32" t="s">
        <v>49</v>
      </c>
      <c r="I371" s="33" t="s">
        <v>20</v>
      </c>
      <c r="J371" s="34" t="s">
        <v>21</v>
      </c>
      <c r="K371" s="35" t="s">
        <v>0</v>
      </c>
      <c r="L371" s="33" t="s">
        <v>211</v>
      </c>
      <c r="M371" s="33">
        <v>8237</v>
      </c>
      <c r="N371" s="36"/>
      <c r="O371" s="33">
        <v>3</v>
      </c>
      <c r="P371" s="33">
        <f>IF(Tabela1[[#This Row],[Status]]="✔️",Tabela1[[#This Row],[Peso]],IF(Tabela1[[#This Row],[Status]]="✔️✔️",Tabela1[[#This Row],[Peso]]/2,0))</f>
        <v>3</v>
      </c>
      <c r="Q37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71" s="33" t="s">
        <v>187</v>
      </c>
      <c r="S371" s="37" t="s">
        <v>132</v>
      </c>
    </row>
    <row r="372" spans="1:19" s="10" customFormat="1" ht="49.95" customHeight="1" x14ac:dyDescent="0.3">
      <c r="A372" s="3"/>
      <c r="B372" s="3"/>
      <c r="C372" s="3"/>
      <c r="D372" s="3"/>
      <c r="E372" s="3"/>
      <c r="F372" s="3"/>
      <c r="G372" s="3"/>
      <c r="H372" s="32" t="s">
        <v>49</v>
      </c>
      <c r="I372" s="33" t="s">
        <v>20</v>
      </c>
      <c r="J372" s="34" t="s">
        <v>441</v>
      </c>
      <c r="K372" s="35" t="s">
        <v>0</v>
      </c>
      <c r="L372" s="33" t="s">
        <v>212</v>
      </c>
      <c r="M372" s="33">
        <v>9641</v>
      </c>
      <c r="N372" s="36"/>
      <c r="O372" s="33">
        <v>1</v>
      </c>
      <c r="P372" s="33">
        <f>IF(Tabela1[[#This Row],[Status]]="✔️",Tabela1[[#This Row],[Peso]],IF(Tabela1[[#This Row],[Status]]="✔️✔️",Tabela1[[#This Row],[Peso]]/2,0))</f>
        <v>1</v>
      </c>
      <c r="Q37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372" s="33" t="s">
        <v>187</v>
      </c>
      <c r="S372" s="37" t="s">
        <v>132</v>
      </c>
    </row>
    <row r="373" spans="1:19" s="10" customFormat="1" ht="49.95" customHeight="1" x14ac:dyDescent="0.3">
      <c r="A373" s="3"/>
      <c r="B373" s="3"/>
      <c r="C373" s="3"/>
      <c r="D373" s="3"/>
      <c r="E373" s="3"/>
      <c r="F373" s="3"/>
      <c r="G373" s="3"/>
      <c r="H373" s="32" t="s">
        <v>49</v>
      </c>
      <c r="I373" s="33" t="s">
        <v>25</v>
      </c>
      <c r="J373" s="34" t="s">
        <v>28</v>
      </c>
      <c r="K373" s="35" t="s">
        <v>0</v>
      </c>
      <c r="L373" s="33"/>
      <c r="M373" s="33"/>
      <c r="N373" s="36"/>
      <c r="O373" s="33">
        <v>3</v>
      </c>
      <c r="P373" s="33">
        <f>IF(Tabela1[[#This Row],[Status]]="✔️",Tabela1[[#This Row],[Peso]],IF(Tabela1[[#This Row],[Status]]="✔️✔️",Tabela1[[#This Row],[Peso]]/2,0))</f>
        <v>3</v>
      </c>
      <c r="Q37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73" s="33" t="s">
        <v>187</v>
      </c>
      <c r="S373" s="37" t="s">
        <v>132</v>
      </c>
    </row>
    <row r="374" spans="1:19" s="10" customFormat="1" ht="49.95" customHeight="1" x14ac:dyDescent="0.3">
      <c r="A374" s="3"/>
      <c r="B374" s="3"/>
      <c r="C374" s="3"/>
      <c r="D374" s="3"/>
      <c r="E374" s="3"/>
      <c r="F374" s="3"/>
      <c r="G374" s="3"/>
      <c r="H374" s="32" t="s">
        <v>49</v>
      </c>
      <c r="I374" s="33" t="s">
        <v>25</v>
      </c>
      <c r="J374" s="34" t="s">
        <v>29</v>
      </c>
      <c r="K374" s="35" t="s">
        <v>0</v>
      </c>
      <c r="L374" s="33"/>
      <c r="M374" s="33"/>
      <c r="N374" s="36"/>
      <c r="O374" s="33">
        <v>3</v>
      </c>
      <c r="P374" s="33">
        <f>IF(Tabela1[[#This Row],[Status]]="✔️",Tabela1[[#This Row],[Peso]],IF(Tabela1[[#This Row],[Status]]="✔️✔️",Tabela1[[#This Row],[Peso]]/2,0))</f>
        <v>3</v>
      </c>
      <c r="Q37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74" s="33" t="s">
        <v>187</v>
      </c>
      <c r="S374" s="37" t="s">
        <v>132</v>
      </c>
    </row>
    <row r="375" spans="1:19" s="10" customFormat="1" ht="49.95" customHeight="1" x14ac:dyDescent="0.3">
      <c r="A375" s="3"/>
      <c r="B375" s="3"/>
      <c r="C375" s="3"/>
      <c r="D375" s="3"/>
      <c r="E375" s="3"/>
      <c r="F375" s="3"/>
      <c r="G375" s="3"/>
      <c r="H375" s="32" t="s">
        <v>49</v>
      </c>
      <c r="I375" s="33" t="s">
        <v>25</v>
      </c>
      <c r="J375" s="34" t="s">
        <v>449</v>
      </c>
      <c r="K375" s="35" t="s">
        <v>0</v>
      </c>
      <c r="L375" s="33"/>
      <c r="M375" s="33"/>
      <c r="N375" s="36"/>
      <c r="O375" s="33">
        <v>3</v>
      </c>
      <c r="P375" s="33">
        <f>IF(Tabela1[[#This Row],[Status]]="✔️",Tabela1[[#This Row],[Peso]],IF(Tabela1[[#This Row],[Status]]="✔️✔️",Tabela1[[#This Row],[Peso]]/2,0))</f>
        <v>3</v>
      </c>
      <c r="Q37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75" s="33" t="s">
        <v>187</v>
      </c>
      <c r="S375" s="37" t="s">
        <v>132</v>
      </c>
    </row>
    <row r="376" spans="1:19" s="10" customFormat="1" ht="49.95" customHeight="1" x14ac:dyDescent="0.3">
      <c r="A376" s="3"/>
      <c r="B376" s="3"/>
      <c r="C376" s="3"/>
      <c r="D376" s="3"/>
      <c r="E376" s="3"/>
      <c r="F376" s="3"/>
      <c r="G376" s="3"/>
      <c r="H376" s="32" t="s">
        <v>49</v>
      </c>
      <c r="I376" s="33" t="s">
        <v>41</v>
      </c>
      <c r="J376" s="34" t="s">
        <v>442</v>
      </c>
      <c r="K376" s="35" t="s">
        <v>290</v>
      </c>
      <c r="L376" s="33" t="s">
        <v>47</v>
      </c>
      <c r="M376" s="33">
        <v>9106</v>
      </c>
      <c r="N376" s="36"/>
      <c r="O376" s="33">
        <v>3</v>
      </c>
      <c r="P376" s="33">
        <f>IF(Tabela1[[#This Row],[Status]]="✔️",Tabela1[[#This Row],[Peso]],IF(Tabela1[[#This Row],[Status]]="✔️✔️",Tabela1[[#This Row],[Peso]]/2,0))</f>
        <v>0</v>
      </c>
      <c r="Q37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76" s="33" t="s">
        <v>187</v>
      </c>
      <c r="S376" s="37" t="s">
        <v>132</v>
      </c>
    </row>
    <row r="377" spans="1:19" s="10" customFormat="1" ht="49.95" customHeight="1" x14ac:dyDescent="0.3">
      <c r="A377" s="3"/>
      <c r="B377" s="3"/>
      <c r="C377" s="3"/>
      <c r="D377" s="3"/>
      <c r="E377" s="3"/>
      <c r="F377" s="3"/>
      <c r="G377" s="3"/>
      <c r="H377" s="32" t="s">
        <v>49</v>
      </c>
      <c r="I377" s="33" t="s">
        <v>41</v>
      </c>
      <c r="J377" s="34" t="s">
        <v>443</v>
      </c>
      <c r="K377" s="35" t="s">
        <v>290</v>
      </c>
      <c r="L377" s="33" t="s">
        <v>47</v>
      </c>
      <c r="M377" s="33">
        <v>9106</v>
      </c>
      <c r="N377" s="36"/>
      <c r="O377" s="33">
        <v>2</v>
      </c>
      <c r="P377" s="33">
        <f>IF(Tabela1[[#This Row],[Status]]="✔️",Tabela1[[#This Row],[Peso]],IF(Tabela1[[#This Row],[Status]]="✔️✔️",Tabela1[[#This Row],[Peso]]/2,0))</f>
        <v>0</v>
      </c>
      <c r="Q37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377" s="33" t="s">
        <v>187</v>
      </c>
      <c r="S377" s="37" t="s">
        <v>132</v>
      </c>
    </row>
    <row r="378" spans="1:19" s="10" customFormat="1" ht="49.95" customHeight="1" x14ac:dyDescent="0.3">
      <c r="A378" s="3"/>
      <c r="B378" s="3"/>
      <c r="C378" s="3"/>
      <c r="D378" s="3"/>
      <c r="E378" s="3"/>
      <c r="F378" s="3"/>
      <c r="G378" s="3"/>
      <c r="H378" s="32" t="s">
        <v>49</v>
      </c>
      <c r="I378" s="33" t="s">
        <v>10</v>
      </c>
      <c r="J378" s="34" t="s">
        <v>444</v>
      </c>
      <c r="K378" s="35" t="s">
        <v>290</v>
      </c>
      <c r="L378" s="33" t="s">
        <v>215</v>
      </c>
      <c r="M378" s="33">
        <v>8967</v>
      </c>
      <c r="N378" s="36"/>
      <c r="O378" s="33">
        <v>3</v>
      </c>
      <c r="P378" s="33">
        <f>IF(Tabela1[[#This Row],[Status]]="✔️",Tabela1[[#This Row],[Peso]],IF(Tabela1[[#This Row],[Status]]="✔️✔️",Tabela1[[#This Row],[Peso]]/2,0))</f>
        <v>0</v>
      </c>
      <c r="Q37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78" s="33" t="s">
        <v>187</v>
      </c>
      <c r="S378" s="37" t="s">
        <v>132</v>
      </c>
    </row>
    <row r="379" spans="1:19" ht="73.2" customHeight="1" x14ac:dyDescent="0.3">
      <c r="H379" s="32" t="s">
        <v>134</v>
      </c>
      <c r="I379" s="33" t="s">
        <v>30</v>
      </c>
      <c r="J379" s="34" t="s">
        <v>438</v>
      </c>
      <c r="K379" s="35" t="s">
        <v>0</v>
      </c>
      <c r="L379" s="33"/>
      <c r="M379" s="33"/>
      <c r="N379" s="36"/>
      <c r="O379" s="33">
        <v>3</v>
      </c>
      <c r="P379" s="33">
        <f>IF(Tabela1[[#This Row],[Status]]="✔️",Tabela1[[#This Row],[Peso]],IF(Tabela1[[#This Row],[Status]]="✔️✔️",Tabela1[[#This Row],[Peso]]/2,0))</f>
        <v>3</v>
      </c>
      <c r="Q37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79" s="33" t="s">
        <v>130</v>
      </c>
      <c r="S379" s="37" t="s">
        <v>132</v>
      </c>
    </row>
    <row r="380" spans="1:19" ht="49.95" customHeight="1" x14ac:dyDescent="0.3">
      <c r="H380" s="32" t="s">
        <v>134</v>
      </c>
      <c r="I380" s="33" t="s">
        <v>10</v>
      </c>
      <c r="J380" s="34" t="s">
        <v>11</v>
      </c>
      <c r="K380" s="35" t="s">
        <v>0</v>
      </c>
      <c r="L380" s="33"/>
      <c r="M380" s="33"/>
      <c r="N380" s="36"/>
      <c r="O380" s="33">
        <v>3</v>
      </c>
      <c r="P380" s="33">
        <f>IF(Tabela1[[#This Row],[Status]]="✔️",Tabela1[[#This Row],[Peso]],IF(Tabela1[[#This Row],[Status]]="✔️✔️",Tabela1[[#This Row],[Peso]]/2,0))</f>
        <v>3</v>
      </c>
      <c r="Q38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80" s="33" t="s">
        <v>130</v>
      </c>
      <c r="S380" s="37" t="s">
        <v>132</v>
      </c>
    </row>
    <row r="381" spans="1:19" ht="49.95" customHeight="1" x14ac:dyDescent="0.3">
      <c r="H381" s="32" t="s">
        <v>134</v>
      </c>
      <c r="I381" s="33" t="s">
        <v>10</v>
      </c>
      <c r="J381" s="34" t="s">
        <v>439</v>
      </c>
      <c r="K381" s="35" t="s">
        <v>0</v>
      </c>
      <c r="L381" s="33"/>
      <c r="M381" s="33"/>
      <c r="N381" s="36"/>
      <c r="O381" s="33">
        <v>3</v>
      </c>
      <c r="P381" s="33">
        <f>IF(Tabela1[[#This Row],[Status]]="✔️",Tabela1[[#This Row],[Peso]],IF(Tabela1[[#This Row],[Status]]="✔️✔️",Tabela1[[#This Row],[Peso]]/2,0))</f>
        <v>3</v>
      </c>
      <c r="Q38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81" s="33" t="s">
        <v>130</v>
      </c>
      <c r="S381" s="37" t="s">
        <v>132</v>
      </c>
    </row>
    <row r="382" spans="1:19" s="10" customFormat="1" ht="49.95" customHeight="1" x14ac:dyDescent="0.3">
      <c r="A382" s="3"/>
      <c r="B382" s="3"/>
      <c r="C382" s="3"/>
      <c r="D382" s="3"/>
      <c r="E382" s="3"/>
      <c r="F382" s="3"/>
      <c r="G382" s="3"/>
      <c r="H382" s="32" t="s">
        <v>134</v>
      </c>
      <c r="I382" s="33" t="s">
        <v>10</v>
      </c>
      <c r="J382" s="34" t="s">
        <v>440</v>
      </c>
      <c r="K382" s="35" t="s">
        <v>0</v>
      </c>
      <c r="L382" s="33"/>
      <c r="M382" s="33"/>
      <c r="N382" s="36"/>
      <c r="O382" s="33">
        <v>3</v>
      </c>
      <c r="P382" s="33">
        <f>IF(Tabela1[[#This Row],[Status]]="✔️",Tabela1[[#This Row],[Peso]],IF(Tabela1[[#This Row],[Status]]="✔️✔️",Tabela1[[#This Row],[Peso]]/2,0))</f>
        <v>3</v>
      </c>
      <c r="Q38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82" s="33" t="s">
        <v>130</v>
      </c>
      <c r="S382" s="37" t="s">
        <v>132</v>
      </c>
    </row>
    <row r="383" spans="1:19" s="10" customFormat="1" ht="49.95" customHeight="1" x14ac:dyDescent="0.3">
      <c r="A383" s="3"/>
      <c r="B383" s="3"/>
      <c r="C383" s="3"/>
      <c r="D383" s="3"/>
      <c r="E383" s="3"/>
      <c r="F383" s="3"/>
      <c r="G383" s="3"/>
      <c r="H383" s="32" t="s">
        <v>134</v>
      </c>
      <c r="I383" s="33" t="s">
        <v>12</v>
      </c>
      <c r="J383" s="34" t="s">
        <v>13</v>
      </c>
      <c r="K383" s="35" t="s">
        <v>0</v>
      </c>
      <c r="L383" s="33"/>
      <c r="M383" s="33"/>
      <c r="N383" s="36"/>
      <c r="O383" s="33">
        <v>2</v>
      </c>
      <c r="P383" s="33">
        <f>IF(Tabela1[[#This Row],[Status]]="✔️",Tabela1[[#This Row],[Peso]],IF(Tabela1[[#This Row],[Status]]="✔️✔️",Tabela1[[#This Row],[Peso]]/2,0))</f>
        <v>2</v>
      </c>
      <c r="Q383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383" s="33" t="s">
        <v>130</v>
      </c>
      <c r="S383" s="37" t="s">
        <v>132</v>
      </c>
    </row>
    <row r="384" spans="1:19" s="10" customFormat="1" ht="49.95" customHeight="1" x14ac:dyDescent="0.3">
      <c r="A384" s="3"/>
      <c r="B384" s="3"/>
      <c r="C384" s="3"/>
      <c r="D384" s="3"/>
      <c r="E384" s="3"/>
      <c r="F384" s="3"/>
      <c r="G384" s="3"/>
      <c r="H384" s="32" t="s">
        <v>134</v>
      </c>
      <c r="I384" s="33" t="s">
        <v>14</v>
      </c>
      <c r="J384" s="34" t="s">
        <v>15</v>
      </c>
      <c r="K384" s="35" t="s">
        <v>0</v>
      </c>
      <c r="L384" s="33"/>
      <c r="M384" s="33"/>
      <c r="N384" s="36"/>
      <c r="O384" s="33">
        <v>3</v>
      </c>
      <c r="P384" s="33">
        <f>IF(Tabela1[[#This Row],[Status]]="✔️",Tabela1[[#This Row],[Peso]],IF(Tabela1[[#This Row],[Status]]="✔️✔️",Tabela1[[#This Row],[Peso]]/2,0))</f>
        <v>3</v>
      </c>
      <c r="Q38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84" s="33" t="s">
        <v>130</v>
      </c>
      <c r="S384" s="37" t="s">
        <v>132</v>
      </c>
    </row>
    <row r="385" spans="1:19" s="10" customFormat="1" ht="49.95" customHeight="1" x14ac:dyDescent="0.3">
      <c r="A385" s="3"/>
      <c r="B385" s="3"/>
      <c r="C385" s="3"/>
      <c r="D385" s="3"/>
      <c r="E385" s="3"/>
      <c r="F385" s="3"/>
      <c r="G385" s="3"/>
      <c r="H385" s="32" t="s">
        <v>134</v>
      </c>
      <c r="I385" s="33" t="s">
        <v>14</v>
      </c>
      <c r="J385" s="34" t="s">
        <v>16</v>
      </c>
      <c r="K385" s="35" t="s">
        <v>290</v>
      </c>
      <c r="L385" s="33" t="s">
        <v>169</v>
      </c>
      <c r="M385" s="33">
        <v>3100</v>
      </c>
      <c r="N385" s="36"/>
      <c r="O385" s="33">
        <v>1</v>
      </c>
      <c r="P385" s="33">
        <f>IF(Tabela1[[#This Row],[Status]]="✔️",Tabela1[[#This Row],[Peso]],IF(Tabela1[[#This Row],[Status]]="✔️✔️",Tabela1[[#This Row],[Peso]]/2,0))</f>
        <v>0</v>
      </c>
      <c r="Q38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385" s="33" t="s">
        <v>130</v>
      </c>
      <c r="S385" s="37" t="s">
        <v>132</v>
      </c>
    </row>
    <row r="386" spans="1:19" s="10" customFormat="1" ht="49.95" customHeight="1" x14ac:dyDescent="0.3">
      <c r="A386" s="3"/>
      <c r="B386" s="3"/>
      <c r="C386" s="3"/>
      <c r="D386" s="3"/>
      <c r="E386" s="3"/>
      <c r="F386" s="3"/>
      <c r="G386" s="3"/>
      <c r="H386" s="32" t="s">
        <v>134</v>
      </c>
      <c r="I386" s="33" t="s">
        <v>17</v>
      </c>
      <c r="J386" s="34" t="s">
        <v>18</v>
      </c>
      <c r="K386" s="35" t="s">
        <v>0</v>
      </c>
      <c r="L386" s="33"/>
      <c r="M386" s="33"/>
      <c r="N386" s="36"/>
      <c r="O386" s="33">
        <v>3</v>
      </c>
      <c r="P386" s="33">
        <f>IF(Tabela1[[#This Row],[Status]]="✔️",Tabela1[[#This Row],[Peso]],IF(Tabela1[[#This Row],[Status]]="✔️✔️",Tabela1[[#This Row],[Peso]]/2,0))</f>
        <v>3</v>
      </c>
      <c r="Q38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86" s="33" t="s">
        <v>130</v>
      </c>
      <c r="S386" s="37" t="s">
        <v>132</v>
      </c>
    </row>
    <row r="387" spans="1:19" s="10" customFormat="1" ht="49.95" customHeight="1" x14ac:dyDescent="0.3">
      <c r="A387" s="3"/>
      <c r="B387" s="3"/>
      <c r="C387" s="3"/>
      <c r="D387" s="3"/>
      <c r="E387" s="3"/>
      <c r="F387" s="3"/>
      <c r="G387" s="3"/>
      <c r="H387" s="32" t="s">
        <v>134</v>
      </c>
      <c r="I387" s="33" t="s">
        <v>17</v>
      </c>
      <c r="J387" s="34" t="s">
        <v>19</v>
      </c>
      <c r="K387" s="35" t="s">
        <v>0</v>
      </c>
      <c r="L387" s="33" t="s">
        <v>170</v>
      </c>
      <c r="M387" s="33"/>
      <c r="N387" s="36"/>
      <c r="O387" s="33">
        <v>3</v>
      </c>
      <c r="P387" s="33">
        <f>IF(Tabela1[[#This Row],[Status]]="✔️",Tabela1[[#This Row],[Peso]],IF(Tabela1[[#This Row],[Status]]="✔️✔️",Tabela1[[#This Row],[Peso]]/2,0))</f>
        <v>3</v>
      </c>
      <c r="Q38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87" s="33" t="s">
        <v>130</v>
      </c>
      <c r="S387" s="37" t="s">
        <v>132</v>
      </c>
    </row>
    <row r="388" spans="1:19" s="10" customFormat="1" ht="49.95" customHeight="1" x14ac:dyDescent="0.3">
      <c r="A388" s="3"/>
      <c r="B388" s="3"/>
      <c r="C388" s="3"/>
      <c r="D388" s="3"/>
      <c r="E388" s="3"/>
      <c r="F388" s="3"/>
      <c r="G388" s="3"/>
      <c r="H388" s="32" t="s">
        <v>134</v>
      </c>
      <c r="I388" s="33" t="s">
        <v>20</v>
      </c>
      <c r="J388" s="34" t="s">
        <v>21</v>
      </c>
      <c r="K388" s="35" t="s">
        <v>0</v>
      </c>
      <c r="L388" s="33"/>
      <c r="M388" s="33"/>
      <c r="N388" s="36"/>
      <c r="O388" s="33">
        <v>3</v>
      </c>
      <c r="P388" s="33">
        <f>IF(Tabela1[[#This Row],[Status]]="✔️",Tabela1[[#This Row],[Peso]],IF(Tabela1[[#This Row],[Status]]="✔️✔️",Tabela1[[#This Row],[Peso]]/2,0))</f>
        <v>3</v>
      </c>
      <c r="Q38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88" s="33" t="s">
        <v>130</v>
      </c>
      <c r="S388" s="37" t="s">
        <v>132</v>
      </c>
    </row>
    <row r="389" spans="1:19" s="10" customFormat="1" ht="49.95" customHeight="1" x14ac:dyDescent="0.3">
      <c r="A389" s="3"/>
      <c r="B389" s="3"/>
      <c r="C389" s="3"/>
      <c r="D389" s="3"/>
      <c r="E389" s="3"/>
      <c r="F389" s="3"/>
      <c r="G389" s="3"/>
      <c r="H389" s="32" t="s">
        <v>134</v>
      </c>
      <c r="I389" s="33" t="s">
        <v>20</v>
      </c>
      <c r="J389" s="34" t="s">
        <v>441</v>
      </c>
      <c r="K389" s="35" t="s">
        <v>0</v>
      </c>
      <c r="L389" s="33"/>
      <c r="M389" s="33"/>
      <c r="N389" s="36"/>
      <c r="O389" s="33">
        <v>1</v>
      </c>
      <c r="P389" s="33">
        <f>IF(Tabela1[[#This Row],[Status]]="✔️",Tabela1[[#This Row],[Peso]],IF(Tabela1[[#This Row],[Status]]="✔️✔️",Tabela1[[#This Row],[Peso]]/2,0))</f>
        <v>1</v>
      </c>
      <c r="Q38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389" s="33" t="s">
        <v>130</v>
      </c>
      <c r="S389" s="37" t="s">
        <v>132</v>
      </c>
    </row>
    <row r="390" spans="1:19" s="10" customFormat="1" ht="49.95" customHeight="1" x14ac:dyDescent="0.3">
      <c r="A390" s="3"/>
      <c r="B390" s="3"/>
      <c r="C390" s="3"/>
      <c r="D390" s="3"/>
      <c r="E390" s="3"/>
      <c r="F390" s="3"/>
      <c r="G390" s="3"/>
      <c r="H390" s="32" t="s">
        <v>134</v>
      </c>
      <c r="I390" s="33" t="s">
        <v>25</v>
      </c>
      <c r="J390" s="34" t="s">
        <v>28</v>
      </c>
      <c r="K390" s="35" t="s">
        <v>290</v>
      </c>
      <c r="L390" s="33" t="s">
        <v>171</v>
      </c>
      <c r="M390" s="33">
        <v>6127</v>
      </c>
      <c r="N390" s="36"/>
      <c r="O390" s="33">
        <v>3</v>
      </c>
      <c r="P390" s="33">
        <f>IF(Tabela1[[#This Row],[Status]]="✔️",Tabela1[[#This Row],[Peso]],IF(Tabela1[[#This Row],[Status]]="✔️✔️",Tabela1[[#This Row],[Peso]]/2,0))</f>
        <v>0</v>
      </c>
      <c r="Q39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90" s="33" t="s">
        <v>130</v>
      </c>
      <c r="S390" s="37" t="s">
        <v>132</v>
      </c>
    </row>
    <row r="391" spans="1:19" s="10" customFormat="1" ht="49.95" customHeight="1" x14ac:dyDescent="0.3">
      <c r="A391" s="3"/>
      <c r="B391" s="3"/>
      <c r="C391" s="3"/>
      <c r="D391" s="3"/>
      <c r="E391" s="3"/>
      <c r="F391" s="3"/>
      <c r="G391" s="3"/>
      <c r="H391" s="32" t="s">
        <v>134</v>
      </c>
      <c r="I391" s="33" t="s">
        <v>25</v>
      </c>
      <c r="J391" s="34" t="s">
        <v>29</v>
      </c>
      <c r="K391" s="35" t="s">
        <v>290</v>
      </c>
      <c r="L391" s="33" t="s">
        <v>172</v>
      </c>
      <c r="M391" s="33">
        <v>6127</v>
      </c>
      <c r="N391" s="36"/>
      <c r="O391" s="33">
        <v>3</v>
      </c>
      <c r="P391" s="33">
        <f>IF(Tabela1[[#This Row],[Status]]="✔️",Tabela1[[#This Row],[Peso]],IF(Tabela1[[#This Row],[Status]]="✔️✔️",Tabela1[[#This Row],[Peso]]/2,0))</f>
        <v>0</v>
      </c>
      <c r="Q39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91" s="33" t="s">
        <v>130</v>
      </c>
      <c r="S391" s="37" t="s">
        <v>132</v>
      </c>
    </row>
    <row r="392" spans="1:19" s="10" customFormat="1" ht="49.95" customHeight="1" x14ac:dyDescent="0.3">
      <c r="A392" s="3"/>
      <c r="B392" s="3"/>
      <c r="C392" s="3"/>
      <c r="D392" s="3"/>
      <c r="E392" s="3"/>
      <c r="F392" s="3"/>
      <c r="G392" s="3"/>
      <c r="H392" s="32" t="s">
        <v>134</v>
      </c>
      <c r="I392" s="33" t="s">
        <v>25</v>
      </c>
      <c r="J392" s="34" t="s">
        <v>449</v>
      </c>
      <c r="K392" s="35" t="s">
        <v>0</v>
      </c>
      <c r="L392" s="33"/>
      <c r="M392" s="33"/>
      <c r="N392" s="36"/>
      <c r="O392" s="33">
        <v>3</v>
      </c>
      <c r="P392" s="33">
        <f>IF(Tabela1[[#This Row],[Status]]="✔️",Tabela1[[#This Row],[Peso]],IF(Tabela1[[#This Row],[Status]]="✔️✔️",Tabela1[[#This Row],[Peso]]/2,0))</f>
        <v>3</v>
      </c>
      <c r="Q39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92" s="33" t="s">
        <v>130</v>
      </c>
      <c r="S392" s="37" t="s">
        <v>132</v>
      </c>
    </row>
    <row r="393" spans="1:19" ht="49.95" customHeight="1" x14ac:dyDescent="0.3">
      <c r="H393" s="32" t="s">
        <v>134</v>
      </c>
      <c r="I393" s="33" t="s">
        <v>41</v>
      </c>
      <c r="J393" s="34" t="s">
        <v>442</v>
      </c>
      <c r="K393" s="35" t="s">
        <v>290</v>
      </c>
      <c r="L393" s="33" t="s">
        <v>47</v>
      </c>
      <c r="M393" s="33">
        <v>3184</v>
      </c>
      <c r="N393" s="36"/>
      <c r="O393" s="33">
        <v>3</v>
      </c>
      <c r="P393" s="33">
        <f>IF(Tabela1[[#This Row],[Status]]="✔️",Tabela1[[#This Row],[Peso]],IF(Tabela1[[#This Row],[Status]]="✔️✔️",Tabela1[[#This Row],[Peso]]/2,0))</f>
        <v>0</v>
      </c>
      <c r="Q39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93" s="33" t="s">
        <v>130</v>
      </c>
      <c r="S393" s="37" t="s">
        <v>132</v>
      </c>
    </row>
    <row r="394" spans="1:19" ht="49.95" customHeight="1" x14ac:dyDescent="0.3">
      <c r="H394" s="32" t="s">
        <v>134</v>
      </c>
      <c r="I394" s="33" t="s">
        <v>41</v>
      </c>
      <c r="J394" s="34" t="s">
        <v>443</v>
      </c>
      <c r="K394" s="35" t="s">
        <v>290</v>
      </c>
      <c r="L394" s="33" t="s">
        <v>47</v>
      </c>
      <c r="M394" s="33">
        <v>3184</v>
      </c>
      <c r="N394" s="36"/>
      <c r="O394" s="33">
        <v>2</v>
      </c>
      <c r="P394" s="33">
        <f>IF(Tabela1[[#This Row],[Status]]="✔️",Tabela1[[#This Row],[Peso]],IF(Tabela1[[#This Row],[Status]]="✔️✔️",Tabela1[[#This Row],[Peso]]/2,0))</f>
        <v>0</v>
      </c>
      <c r="Q39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394" s="33" t="s">
        <v>130</v>
      </c>
      <c r="S394" s="37" t="s">
        <v>132</v>
      </c>
    </row>
    <row r="395" spans="1:19" s="10" customFormat="1" ht="49.95" customHeight="1" x14ac:dyDescent="0.3">
      <c r="A395" s="3"/>
      <c r="B395" s="3"/>
      <c r="C395" s="3"/>
      <c r="D395" s="3"/>
      <c r="E395" s="3"/>
      <c r="F395" s="3"/>
      <c r="G395" s="3"/>
      <c r="H395" s="32" t="s">
        <v>134</v>
      </c>
      <c r="I395" s="33" t="s">
        <v>30</v>
      </c>
      <c r="J395" s="34" t="s">
        <v>438</v>
      </c>
      <c r="K395" s="35" t="s">
        <v>0</v>
      </c>
      <c r="L395" s="33"/>
      <c r="M395" s="33"/>
      <c r="N395" s="36"/>
      <c r="O395" s="33">
        <v>3</v>
      </c>
      <c r="P395" s="33">
        <f>IF(Tabela1[[#This Row],[Status]]="✔️",Tabela1[[#This Row],[Peso]],IF(Tabela1[[#This Row],[Status]]="✔️✔️",Tabela1[[#This Row],[Peso]]/2,0))</f>
        <v>3</v>
      </c>
      <c r="Q39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95" s="33" t="s">
        <v>130</v>
      </c>
      <c r="S395" s="37" t="s">
        <v>128</v>
      </c>
    </row>
    <row r="396" spans="1:19" s="10" customFormat="1" ht="49.95" customHeight="1" x14ac:dyDescent="0.3">
      <c r="A396" s="3"/>
      <c r="B396" s="3"/>
      <c r="C396" s="3"/>
      <c r="D396" s="3"/>
      <c r="E396" s="3"/>
      <c r="F396" s="3"/>
      <c r="G396" s="3"/>
      <c r="H396" s="32" t="s">
        <v>134</v>
      </c>
      <c r="I396" s="33" t="s">
        <v>10</v>
      </c>
      <c r="J396" s="34" t="s">
        <v>444</v>
      </c>
      <c r="K396" s="35" t="s">
        <v>290</v>
      </c>
      <c r="L396" s="33" t="s">
        <v>168</v>
      </c>
      <c r="M396" s="33">
        <v>5431</v>
      </c>
      <c r="N396" s="36"/>
      <c r="O396" s="33">
        <v>3</v>
      </c>
      <c r="P396" s="33">
        <f>IF(Tabela1[[#This Row],[Status]]="✔️",Tabela1[[#This Row],[Peso]],IF(Tabela1[[#This Row],[Status]]="✔️✔️",Tabela1[[#This Row],[Peso]]/2,0))</f>
        <v>0</v>
      </c>
      <c r="Q39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96" s="33" t="s">
        <v>130</v>
      </c>
      <c r="S396" s="37" t="s">
        <v>132</v>
      </c>
    </row>
    <row r="397" spans="1:19" ht="49.95" customHeight="1" x14ac:dyDescent="0.3">
      <c r="H397" s="32" t="s">
        <v>134</v>
      </c>
      <c r="I397" s="33" t="s">
        <v>10</v>
      </c>
      <c r="J397" s="34" t="s">
        <v>11</v>
      </c>
      <c r="K397" s="35" t="s">
        <v>0</v>
      </c>
      <c r="L397" s="33"/>
      <c r="M397" s="33"/>
      <c r="N397" s="36"/>
      <c r="O397" s="33">
        <v>3</v>
      </c>
      <c r="P397" s="33">
        <f>IF(Tabela1[[#This Row],[Status]]="✔️",Tabela1[[#This Row],[Peso]],IF(Tabela1[[#This Row],[Status]]="✔️✔️",Tabela1[[#This Row],[Peso]]/2,0))</f>
        <v>3</v>
      </c>
      <c r="Q39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97" s="33" t="s">
        <v>130</v>
      </c>
      <c r="S397" s="37" t="s">
        <v>128</v>
      </c>
    </row>
    <row r="398" spans="1:19" ht="49.95" customHeight="1" x14ac:dyDescent="0.3">
      <c r="H398" s="32" t="s">
        <v>134</v>
      </c>
      <c r="I398" s="33" t="s">
        <v>10</v>
      </c>
      <c r="J398" s="34" t="s">
        <v>439</v>
      </c>
      <c r="K398" s="35" t="s">
        <v>0</v>
      </c>
      <c r="L398" s="33"/>
      <c r="M398" s="33"/>
      <c r="N398" s="36"/>
      <c r="O398" s="33">
        <v>3</v>
      </c>
      <c r="P398" s="33">
        <f>IF(Tabela1[[#This Row],[Status]]="✔️",Tabela1[[#This Row],[Peso]],IF(Tabela1[[#This Row],[Status]]="✔️✔️",Tabela1[[#This Row],[Peso]]/2,0))</f>
        <v>3</v>
      </c>
      <c r="Q39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98" s="33" t="s">
        <v>130</v>
      </c>
      <c r="S398" s="37" t="s">
        <v>128</v>
      </c>
    </row>
    <row r="399" spans="1:19" ht="49.95" customHeight="1" x14ac:dyDescent="0.3">
      <c r="H399" s="32" t="s">
        <v>134</v>
      </c>
      <c r="I399" s="33" t="s">
        <v>10</v>
      </c>
      <c r="J399" s="34" t="s">
        <v>440</v>
      </c>
      <c r="K399" s="35" t="s">
        <v>0</v>
      </c>
      <c r="L399" s="33"/>
      <c r="M399" s="33"/>
      <c r="N399" s="36"/>
      <c r="O399" s="33">
        <v>3</v>
      </c>
      <c r="P399" s="33">
        <f>IF(Tabela1[[#This Row],[Status]]="✔️",Tabela1[[#This Row],[Peso]],IF(Tabela1[[#This Row],[Status]]="✔️✔️",Tabela1[[#This Row],[Peso]]/2,0))</f>
        <v>3</v>
      </c>
      <c r="Q39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99" s="33" t="s">
        <v>130</v>
      </c>
      <c r="S399" s="37" t="s">
        <v>128</v>
      </c>
    </row>
    <row r="400" spans="1:19" ht="27.6" x14ac:dyDescent="0.3">
      <c r="H400" s="32" t="s">
        <v>134</v>
      </c>
      <c r="I400" s="33" t="s">
        <v>12</v>
      </c>
      <c r="J400" s="34" t="s">
        <v>13</v>
      </c>
      <c r="K400" s="35" t="s">
        <v>0</v>
      </c>
      <c r="L400" s="33"/>
      <c r="M400" s="33"/>
      <c r="N400" s="36"/>
      <c r="O400" s="33">
        <v>2</v>
      </c>
      <c r="P400" s="33">
        <f>IF(Tabela1[[#This Row],[Status]]="✔️",Tabela1[[#This Row],[Peso]],IF(Tabela1[[#This Row],[Status]]="✔️✔️",Tabela1[[#This Row],[Peso]]/2,0))</f>
        <v>2</v>
      </c>
      <c r="Q400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400" s="33" t="s">
        <v>130</v>
      </c>
      <c r="S400" s="37" t="s">
        <v>128</v>
      </c>
    </row>
    <row r="401" spans="8:19" ht="27.6" x14ac:dyDescent="0.3">
      <c r="H401" s="32" t="s">
        <v>134</v>
      </c>
      <c r="I401" s="33" t="s">
        <v>14</v>
      </c>
      <c r="J401" s="34" t="s">
        <v>15</v>
      </c>
      <c r="K401" s="35" t="s">
        <v>0</v>
      </c>
      <c r="L401" s="33"/>
      <c r="M401" s="33"/>
      <c r="N401" s="36"/>
      <c r="O401" s="33">
        <v>3</v>
      </c>
      <c r="P401" s="33">
        <f>IF(Tabela1[[#This Row],[Status]]="✔️",Tabela1[[#This Row],[Peso]],IF(Tabela1[[#This Row],[Status]]="✔️✔️",Tabela1[[#This Row],[Peso]]/2,0))</f>
        <v>3</v>
      </c>
      <c r="Q40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01" s="33" t="s">
        <v>130</v>
      </c>
      <c r="S401" s="37" t="s">
        <v>128</v>
      </c>
    </row>
    <row r="402" spans="8:19" ht="27.6" x14ac:dyDescent="0.3">
      <c r="H402" s="32" t="s">
        <v>134</v>
      </c>
      <c r="I402" s="33" t="s">
        <v>14</v>
      </c>
      <c r="J402" s="34" t="s">
        <v>16</v>
      </c>
      <c r="K402" s="35" t="s">
        <v>290</v>
      </c>
      <c r="L402" s="33" t="s">
        <v>169</v>
      </c>
      <c r="M402" s="33">
        <v>3100</v>
      </c>
      <c r="N402" s="36"/>
      <c r="O402" s="33">
        <v>1</v>
      </c>
      <c r="P402" s="33">
        <f>IF(Tabela1[[#This Row],[Status]]="✔️",Tabela1[[#This Row],[Peso]],IF(Tabela1[[#This Row],[Status]]="✔️✔️",Tabela1[[#This Row],[Peso]]/2,0))</f>
        <v>0</v>
      </c>
      <c r="Q40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02" s="33" t="s">
        <v>130</v>
      </c>
      <c r="S402" s="37" t="s">
        <v>128</v>
      </c>
    </row>
    <row r="403" spans="8:19" ht="27.6" x14ac:dyDescent="0.3">
      <c r="H403" s="32" t="s">
        <v>134</v>
      </c>
      <c r="I403" s="33" t="s">
        <v>17</v>
      </c>
      <c r="J403" s="34" t="s">
        <v>18</v>
      </c>
      <c r="K403" s="35" t="s">
        <v>0</v>
      </c>
      <c r="L403" s="33"/>
      <c r="M403" s="33"/>
      <c r="N403" s="36"/>
      <c r="O403" s="33">
        <v>3</v>
      </c>
      <c r="P403" s="33">
        <f>IF(Tabela1[[#This Row],[Status]]="✔️",Tabela1[[#This Row],[Peso]],IF(Tabela1[[#This Row],[Status]]="✔️✔️",Tabela1[[#This Row],[Peso]]/2,0))</f>
        <v>3</v>
      </c>
      <c r="Q40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03" s="33" t="s">
        <v>130</v>
      </c>
      <c r="S403" s="37" t="s">
        <v>128</v>
      </c>
    </row>
    <row r="404" spans="8:19" ht="27.6" x14ac:dyDescent="0.3">
      <c r="H404" s="32" t="s">
        <v>134</v>
      </c>
      <c r="I404" s="33" t="s">
        <v>17</v>
      </c>
      <c r="J404" s="34" t="s">
        <v>19</v>
      </c>
      <c r="K404" s="35" t="s">
        <v>0</v>
      </c>
      <c r="L404" s="33" t="s">
        <v>170</v>
      </c>
      <c r="M404" s="33"/>
      <c r="N404" s="36"/>
      <c r="O404" s="33">
        <v>3</v>
      </c>
      <c r="P404" s="33">
        <f>IF(Tabela1[[#This Row],[Status]]="✔️",Tabela1[[#This Row],[Peso]],IF(Tabela1[[#This Row],[Status]]="✔️✔️",Tabela1[[#This Row],[Peso]]/2,0))</f>
        <v>3</v>
      </c>
      <c r="Q40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04" s="33" t="s">
        <v>130</v>
      </c>
      <c r="S404" s="37" t="s">
        <v>128</v>
      </c>
    </row>
    <row r="405" spans="8:19" ht="27.6" x14ac:dyDescent="0.3">
      <c r="H405" s="32" t="s">
        <v>134</v>
      </c>
      <c r="I405" s="33" t="s">
        <v>20</v>
      </c>
      <c r="J405" s="34" t="s">
        <v>21</v>
      </c>
      <c r="K405" s="35" t="s">
        <v>0</v>
      </c>
      <c r="L405" s="33"/>
      <c r="M405" s="33"/>
      <c r="N405" s="36"/>
      <c r="O405" s="33">
        <v>3</v>
      </c>
      <c r="P405" s="33">
        <f>IF(Tabela1[[#This Row],[Status]]="✔️",Tabela1[[#This Row],[Peso]],IF(Tabela1[[#This Row],[Status]]="✔️✔️",Tabela1[[#This Row],[Peso]]/2,0))</f>
        <v>3</v>
      </c>
      <c r="Q40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05" s="33" t="s">
        <v>130</v>
      </c>
      <c r="S405" s="37" t="s">
        <v>128</v>
      </c>
    </row>
    <row r="406" spans="8:19" ht="27.6" x14ac:dyDescent="0.3">
      <c r="H406" s="32" t="s">
        <v>134</v>
      </c>
      <c r="I406" s="33" t="s">
        <v>20</v>
      </c>
      <c r="J406" s="34" t="s">
        <v>441</v>
      </c>
      <c r="K406" s="35" t="s">
        <v>0</v>
      </c>
      <c r="L406" s="33"/>
      <c r="M406" s="33"/>
      <c r="N406" s="36"/>
      <c r="O406" s="33">
        <v>1</v>
      </c>
      <c r="P406" s="33">
        <f>IF(Tabela1[[#This Row],[Status]]="✔️",Tabela1[[#This Row],[Peso]],IF(Tabela1[[#This Row],[Status]]="✔️✔️",Tabela1[[#This Row],[Peso]]/2,0))</f>
        <v>1</v>
      </c>
      <c r="Q40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06" s="33" t="s">
        <v>130</v>
      </c>
      <c r="S406" s="37" t="s">
        <v>128</v>
      </c>
    </row>
    <row r="407" spans="8:19" ht="27.6" x14ac:dyDescent="0.3">
      <c r="H407" s="32" t="s">
        <v>134</v>
      </c>
      <c r="I407" s="33" t="s">
        <v>25</v>
      </c>
      <c r="J407" s="34" t="s">
        <v>28</v>
      </c>
      <c r="K407" s="35" t="s">
        <v>290</v>
      </c>
      <c r="L407" s="33" t="s">
        <v>171</v>
      </c>
      <c r="M407" s="33">
        <v>6127</v>
      </c>
      <c r="N407" s="36"/>
      <c r="O407" s="33">
        <v>3</v>
      </c>
      <c r="P407" s="33">
        <f>IF(Tabela1[[#This Row],[Status]]="✔️",Tabela1[[#This Row],[Peso]],IF(Tabela1[[#This Row],[Status]]="✔️✔️",Tabela1[[#This Row],[Peso]]/2,0))</f>
        <v>0</v>
      </c>
      <c r="Q40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07" s="33" t="s">
        <v>130</v>
      </c>
      <c r="S407" s="37" t="s">
        <v>128</v>
      </c>
    </row>
    <row r="408" spans="8:19" ht="27.6" x14ac:dyDescent="0.3">
      <c r="H408" s="32" t="s">
        <v>134</v>
      </c>
      <c r="I408" s="33" t="s">
        <v>25</v>
      </c>
      <c r="J408" s="34" t="s">
        <v>29</v>
      </c>
      <c r="K408" s="35" t="s">
        <v>290</v>
      </c>
      <c r="L408" s="33" t="s">
        <v>172</v>
      </c>
      <c r="M408" s="33">
        <v>6127</v>
      </c>
      <c r="N408" s="36"/>
      <c r="O408" s="33">
        <v>3</v>
      </c>
      <c r="P408" s="33">
        <f>IF(Tabela1[[#This Row],[Status]]="✔️",Tabela1[[#This Row],[Peso]],IF(Tabela1[[#This Row],[Status]]="✔️✔️",Tabela1[[#This Row],[Peso]]/2,0))</f>
        <v>0</v>
      </c>
      <c r="Q40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08" s="33" t="s">
        <v>130</v>
      </c>
      <c r="S408" s="37" t="s">
        <v>128</v>
      </c>
    </row>
    <row r="409" spans="8:19" ht="27.6" x14ac:dyDescent="0.3">
      <c r="H409" s="32" t="s">
        <v>134</v>
      </c>
      <c r="I409" s="33" t="s">
        <v>25</v>
      </c>
      <c r="J409" s="34" t="s">
        <v>449</v>
      </c>
      <c r="K409" s="35" t="s">
        <v>0</v>
      </c>
      <c r="L409" s="33"/>
      <c r="M409" s="33"/>
      <c r="N409" s="36"/>
      <c r="O409" s="33">
        <v>3</v>
      </c>
      <c r="P409" s="33">
        <f>IF(Tabela1[[#This Row],[Status]]="✔️",Tabela1[[#This Row],[Peso]],IF(Tabela1[[#This Row],[Status]]="✔️✔️",Tabela1[[#This Row],[Peso]]/2,0))</f>
        <v>3</v>
      </c>
      <c r="Q40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09" s="33" t="s">
        <v>130</v>
      </c>
      <c r="S409" s="37" t="s">
        <v>128</v>
      </c>
    </row>
    <row r="410" spans="8:19" ht="41.4" x14ac:dyDescent="0.3">
      <c r="H410" s="32" t="s">
        <v>134</v>
      </c>
      <c r="I410" s="33" t="s">
        <v>41</v>
      </c>
      <c r="J410" s="34" t="s">
        <v>442</v>
      </c>
      <c r="K410" s="35" t="s">
        <v>291</v>
      </c>
      <c r="L410" s="33" t="s">
        <v>47</v>
      </c>
      <c r="M410" s="33">
        <v>3184</v>
      </c>
      <c r="N410" s="36"/>
      <c r="O410" s="33">
        <v>3</v>
      </c>
      <c r="P410" s="33">
        <f>IF(Tabela1[[#This Row],[Status]]="✔️",Tabela1[[#This Row],[Peso]],IF(Tabela1[[#This Row],[Status]]="✔️✔️",Tabela1[[#This Row],[Peso]]/2,0))</f>
        <v>1.5</v>
      </c>
      <c r="Q410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410" s="33" t="s">
        <v>130</v>
      </c>
      <c r="S410" s="37" t="s">
        <v>128</v>
      </c>
    </row>
    <row r="411" spans="8:19" ht="41.4" x14ac:dyDescent="0.3">
      <c r="H411" s="32" t="s">
        <v>134</v>
      </c>
      <c r="I411" s="33" t="s">
        <v>41</v>
      </c>
      <c r="J411" s="34" t="s">
        <v>443</v>
      </c>
      <c r="K411" s="35" t="s">
        <v>291</v>
      </c>
      <c r="L411" s="33" t="s">
        <v>47</v>
      </c>
      <c r="M411" s="33">
        <v>3184</v>
      </c>
      <c r="N411" s="36"/>
      <c r="O411" s="33">
        <v>2</v>
      </c>
      <c r="P411" s="33">
        <f>IF(Tabela1[[#This Row],[Status]]="✔️",Tabela1[[#This Row],[Peso]],IF(Tabela1[[#This Row],[Status]]="✔️✔️",Tabela1[[#This Row],[Peso]]/2,0))</f>
        <v>1</v>
      </c>
      <c r="Q41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11" s="33" t="s">
        <v>130</v>
      </c>
      <c r="S411" s="37" t="s">
        <v>128</v>
      </c>
    </row>
    <row r="412" spans="8:19" ht="41.4" x14ac:dyDescent="0.3">
      <c r="H412" s="32" t="s">
        <v>134</v>
      </c>
      <c r="I412" s="33" t="s">
        <v>10</v>
      </c>
      <c r="J412" s="34" t="s">
        <v>444</v>
      </c>
      <c r="K412" s="35" t="s">
        <v>290</v>
      </c>
      <c r="L412" s="33" t="s">
        <v>168</v>
      </c>
      <c r="M412" s="33">
        <v>5431</v>
      </c>
      <c r="N412" s="36"/>
      <c r="O412" s="33">
        <v>3</v>
      </c>
      <c r="P412" s="33">
        <f>IF(Tabela1[[#This Row],[Status]]="✔️",Tabela1[[#This Row],[Peso]],IF(Tabela1[[#This Row],[Status]]="✔️✔️",Tabela1[[#This Row],[Peso]]/2,0))</f>
        <v>0</v>
      </c>
      <c r="Q41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12" s="33" t="s">
        <v>130</v>
      </c>
      <c r="S412" s="37" t="s">
        <v>128</v>
      </c>
    </row>
    <row r="413" spans="8:19" ht="41.4" x14ac:dyDescent="0.3">
      <c r="H413" s="32" t="s">
        <v>134</v>
      </c>
      <c r="I413" s="33" t="s">
        <v>30</v>
      </c>
      <c r="J413" s="34" t="s">
        <v>438</v>
      </c>
      <c r="K413" s="35" t="s">
        <v>290</v>
      </c>
      <c r="L413" s="33" t="s">
        <v>230</v>
      </c>
      <c r="M413" s="33">
        <v>3057</v>
      </c>
      <c r="N413" s="36"/>
      <c r="O413" s="33">
        <v>3</v>
      </c>
      <c r="P413" s="33">
        <f>IF(Tabela1[[#This Row],[Status]]="✔️",Tabela1[[#This Row],[Peso]],IF(Tabela1[[#This Row],[Status]]="✔️✔️",Tabela1[[#This Row],[Peso]]/2,0))</f>
        <v>0</v>
      </c>
      <c r="Q41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13" s="33" t="s">
        <v>187</v>
      </c>
      <c r="S413" s="37" t="s">
        <v>132</v>
      </c>
    </row>
    <row r="414" spans="8:19" ht="41.4" x14ac:dyDescent="0.3">
      <c r="H414" s="32" t="s">
        <v>134</v>
      </c>
      <c r="I414" s="33" t="s">
        <v>10</v>
      </c>
      <c r="J414" s="34" t="s">
        <v>11</v>
      </c>
      <c r="K414" s="35" t="s">
        <v>0</v>
      </c>
      <c r="L414" s="33"/>
      <c r="M414" s="33"/>
      <c r="N414" s="36"/>
      <c r="O414" s="33">
        <v>3</v>
      </c>
      <c r="P414" s="33">
        <f>IF(Tabela1[[#This Row],[Status]]="✔️",Tabela1[[#This Row],[Peso]],IF(Tabela1[[#This Row],[Status]]="✔️✔️",Tabela1[[#This Row],[Peso]]/2,0))</f>
        <v>3</v>
      </c>
      <c r="Q41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14" s="33" t="s">
        <v>187</v>
      </c>
      <c r="S414" s="37" t="s">
        <v>132</v>
      </c>
    </row>
    <row r="415" spans="8:19" ht="41.4" x14ac:dyDescent="0.3">
      <c r="H415" s="32" t="s">
        <v>134</v>
      </c>
      <c r="I415" s="33" t="s">
        <v>10</v>
      </c>
      <c r="J415" s="34" t="s">
        <v>439</v>
      </c>
      <c r="K415" s="35" t="s">
        <v>0</v>
      </c>
      <c r="L415" s="33"/>
      <c r="M415" s="33"/>
      <c r="N415" s="36"/>
      <c r="O415" s="33">
        <v>3</v>
      </c>
      <c r="P415" s="33">
        <f>IF(Tabela1[[#This Row],[Status]]="✔️",Tabela1[[#This Row],[Peso]],IF(Tabela1[[#This Row],[Status]]="✔️✔️",Tabela1[[#This Row],[Peso]]/2,0))</f>
        <v>3</v>
      </c>
      <c r="Q41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15" s="33" t="s">
        <v>187</v>
      </c>
      <c r="S415" s="37" t="s">
        <v>132</v>
      </c>
    </row>
    <row r="416" spans="8:19" ht="41.4" x14ac:dyDescent="0.3">
      <c r="H416" s="32" t="s">
        <v>134</v>
      </c>
      <c r="I416" s="33" t="s">
        <v>10</v>
      </c>
      <c r="J416" s="34" t="s">
        <v>440</v>
      </c>
      <c r="K416" s="35" t="s">
        <v>0</v>
      </c>
      <c r="L416" s="33"/>
      <c r="M416" s="33"/>
      <c r="N416" s="36"/>
      <c r="O416" s="33">
        <v>3</v>
      </c>
      <c r="P416" s="33">
        <f>IF(Tabela1[[#This Row],[Status]]="✔️",Tabela1[[#This Row],[Peso]],IF(Tabela1[[#This Row],[Status]]="✔️✔️",Tabela1[[#This Row],[Peso]]/2,0))</f>
        <v>3</v>
      </c>
      <c r="Q41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16" s="33" t="s">
        <v>187</v>
      </c>
      <c r="S416" s="37" t="s">
        <v>132</v>
      </c>
    </row>
    <row r="417" spans="8:19" ht="41.4" x14ac:dyDescent="0.3">
      <c r="H417" s="32" t="s">
        <v>134</v>
      </c>
      <c r="I417" s="33" t="s">
        <v>12</v>
      </c>
      <c r="J417" s="34" t="s">
        <v>13</v>
      </c>
      <c r="K417" s="35" t="s">
        <v>290</v>
      </c>
      <c r="L417" s="33" t="s">
        <v>221</v>
      </c>
      <c r="M417" s="33">
        <v>5178</v>
      </c>
      <c r="N417" s="36"/>
      <c r="O417" s="33">
        <v>2</v>
      </c>
      <c r="P417" s="33">
        <f>IF(Tabela1[[#This Row],[Status]]="✔️",Tabela1[[#This Row],[Peso]],IF(Tabela1[[#This Row],[Status]]="✔️✔️",Tabela1[[#This Row],[Peso]]/2,0))</f>
        <v>0</v>
      </c>
      <c r="Q41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417" s="33" t="s">
        <v>187</v>
      </c>
      <c r="S417" s="37" t="s">
        <v>132</v>
      </c>
    </row>
    <row r="418" spans="8:19" ht="41.4" x14ac:dyDescent="0.3">
      <c r="H418" s="32" t="s">
        <v>134</v>
      </c>
      <c r="I418" s="33" t="s">
        <v>14</v>
      </c>
      <c r="J418" s="34" t="s">
        <v>15</v>
      </c>
      <c r="K418" s="35" t="s">
        <v>0</v>
      </c>
      <c r="L418" s="33"/>
      <c r="M418" s="33"/>
      <c r="N418" s="36"/>
      <c r="O418" s="33">
        <v>3</v>
      </c>
      <c r="P418" s="33">
        <f>IF(Tabela1[[#This Row],[Status]]="✔️",Tabela1[[#This Row],[Peso]],IF(Tabela1[[#This Row],[Status]]="✔️✔️",Tabela1[[#This Row],[Peso]]/2,0))</f>
        <v>3</v>
      </c>
      <c r="Q41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18" s="33" t="s">
        <v>187</v>
      </c>
      <c r="S418" s="37" t="s">
        <v>132</v>
      </c>
    </row>
    <row r="419" spans="8:19" ht="41.4" x14ac:dyDescent="0.3">
      <c r="H419" s="32" t="s">
        <v>134</v>
      </c>
      <c r="I419" s="33" t="s">
        <v>14</v>
      </c>
      <c r="J419" s="34" t="s">
        <v>16</v>
      </c>
      <c r="K419" s="35" t="s">
        <v>0</v>
      </c>
      <c r="L419" s="33"/>
      <c r="M419" s="33"/>
      <c r="N419" s="36"/>
      <c r="O419" s="33">
        <v>1</v>
      </c>
      <c r="P419" s="33">
        <f>IF(Tabela1[[#This Row],[Status]]="✔️",Tabela1[[#This Row],[Peso]],IF(Tabela1[[#This Row],[Status]]="✔️✔️",Tabela1[[#This Row],[Peso]]/2,0))</f>
        <v>1</v>
      </c>
      <c r="Q41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19" s="33" t="s">
        <v>187</v>
      </c>
      <c r="S419" s="37" t="s">
        <v>132</v>
      </c>
    </row>
    <row r="420" spans="8:19" ht="41.4" x14ac:dyDescent="0.3">
      <c r="H420" s="32" t="s">
        <v>134</v>
      </c>
      <c r="I420" s="33" t="s">
        <v>17</v>
      </c>
      <c r="J420" s="34" t="s">
        <v>18</v>
      </c>
      <c r="K420" s="35" t="s">
        <v>0</v>
      </c>
      <c r="L420" s="33"/>
      <c r="M420" s="33"/>
      <c r="N420" s="36"/>
      <c r="O420" s="33">
        <v>3</v>
      </c>
      <c r="P420" s="33">
        <f>IF(Tabela1[[#This Row],[Status]]="✔️",Tabela1[[#This Row],[Peso]],IF(Tabela1[[#This Row],[Status]]="✔️✔️",Tabela1[[#This Row],[Peso]]/2,0))</f>
        <v>3</v>
      </c>
      <c r="Q42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20" s="33" t="s">
        <v>187</v>
      </c>
      <c r="S420" s="37" t="s">
        <v>132</v>
      </c>
    </row>
    <row r="421" spans="8:19" ht="41.4" x14ac:dyDescent="0.3">
      <c r="H421" s="32" t="s">
        <v>134</v>
      </c>
      <c r="I421" s="33" t="s">
        <v>17</v>
      </c>
      <c r="J421" s="34" t="s">
        <v>19</v>
      </c>
      <c r="K421" s="35" t="s">
        <v>290</v>
      </c>
      <c r="L421" s="33" t="s">
        <v>228</v>
      </c>
      <c r="M421" s="33">
        <v>6749</v>
      </c>
      <c r="N421" s="36"/>
      <c r="O421" s="33">
        <v>1</v>
      </c>
      <c r="P421" s="33">
        <f>IF(Tabela1[[#This Row],[Status]]="✔️",Tabela1[[#This Row],[Peso]],IF(Tabela1[[#This Row],[Status]]="✔️✔️",Tabela1[[#This Row],[Peso]]/2,0))</f>
        <v>0</v>
      </c>
      <c r="Q42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21" s="33" t="s">
        <v>187</v>
      </c>
      <c r="S421" s="37" t="s">
        <v>132</v>
      </c>
    </row>
    <row r="422" spans="8:19" ht="41.4" x14ac:dyDescent="0.3">
      <c r="H422" s="32" t="s">
        <v>134</v>
      </c>
      <c r="I422" s="33" t="s">
        <v>20</v>
      </c>
      <c r="J422" s="34" t="s">
        <v>21</v>
      </c>
      <c r="K422" s="35" t="s">
        <v>0</v>
      </c>
      <c r="L422" s="33"/>
      <c r="M422" s="33"/>
      <c r="N422" s="36"/>
      <c r="O422" s="33">
        <v>3</v>
      </c>
      <c r="P422" s="33">
        <f>IF(Tabela1[[#This Row],[Status]]="✔️",Tabela1[[#This Row],[Peso]],IF(Tabela1[[#This Row],[Status]]="✔️✔️",Tabela1[[#This Row],[Peso]]/2,0))</f>
        <v>3</v>
      </c>
      <c r="Q42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22" s="33" t="s">
        <v>187</v>
      </c>
      <c r="S422" s="37" t="s">
        <v>132</v>
      </c>
    </row>
    <row r="423" spans="8:19" ht="41.4" x14ac:dyDescent="0.3">
      <c r="H423" s="32" t="s">
        <v>134</v>
      </c>
      <c r="I423" s="33" t="s">
        <v>20</v>
      </c>
      <c r="J423" s="34" t="s">
        <v>441</v>
      </c>
      <c r="K423" s="35" t="s">
        <v>290</v>
      </c>
      <c r="L423" s="33" t="s">
        <v>174</v>
      </c>
      <c r="M423" s="33">
        <v>7447</v>
      </c>
      <c r="N423" s="36"/>
      <c r="O423" s="33">
        <v>1</v>
      </c>
      <c r="P423" s="33">
        <f>IF(Tabela1[[#This Row],[Status]]="✔️",Tabela1[[#This Row],[Peso]],IF(Tabela1[[#This Row],[Status]]="✔️✔️",Tabela1[[#This Row],[Peso]]/2,0))</f>
        <v>0</v>
      </c>
      <c r="Q42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23" s="33" t="s">
        <v>187</v>
      </c>
      <c r="S423" s="37" t="s">
        <v>132</v>
      </c>
    </row>
    <row r="424" spans="8:19" ht="41.4" x14ac:dyDescent="0.3">
      <c r="H424" s="32" t="s">
        <v>134</v>
      </c>
      <c r="I424" s="33" t="s">
        <v>25</v>
      </c>
      <c r="J424" s="34" t="s">
        <v>28</v>
      </c>
      <c r="K424" s="35" t="s">
        <v>290</v>
      </c>
      <c r="L424" s="33" t="s">
        <v>229</v>
      </c>
      <c r="M424" s="33">
        <v>3445</v>
      </c>
      <c r="N424" s="36"/>
      <c r="O424" s="33">
        <v>3</v>
      </c>
      <c r="P424" s="33">
        <f>IF(Tabela1[[#This Row],[Status]]="✔️",Tabela1[[#This Row],[Peso]],IF(Tabela1[[#This Row],[Status]]="✔️✔️",Tabela1[[#This Row],[Peso]]/2,0))</f>
        <v>0</v>
      </c>
      <c r="Q42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24" s="33" t="s">
        <v>187</v>
      </c>
      <c r="S424" s="37" t="s">
        <v>132</v>
      </c>
    </row>
    <row r="425" spans="8:19" ht="41.4" x14ac:dyDescent="0.3">
      <c r="H425" s="32" t="s">
        <v>134</v>
      </c>
      <c r="I425" s="33" t="s">
        <v>25</v>
      </c>
      <c r="J425" s="34" t="s">
        <v>29</v>
      </c>
      <c r="K425" s="35" t="s">
        <v>0</v>
      </c>
      <c r="L425" s="33"/>
      <c r="M425" s="33"/>
      <c r="N425" s="36"/>
      <c r="O425" s="33">
        <v>3</v>
      </c>
      <c r="P425" s="33">
        <f>IF(Tabela1[[#This Row],[Status]]="✔️",Tabela1[[#This Row],[Peso]],IF(Tabela1[[#This Row],[Status]]="✔️✔️",Tabela1[[#This Row],[Peso]]/2,0))</f>
        <v>3</v>
      </c>
      <c r="Q42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25" s="33" t="s">
        <v>187</v>
      </c>
      <c r="S425" s="37" t="s">
        <v>132</v>
      </c>
    </row>
    <row r="426" spans="8:19" ht="41.4" x14ac:dyDescent="0.3">
      <c r="H426" s="32" t="s">
        <v>134</v>
      </c>
      <c r="I426" s="33" t="s">
        <v>25</v>
      </c>
      <c r="J426" s="34" t="s">
        <v>449</v>
      </c>
      <c r="K426" s="35" t="s">
        <v>290</v>
      </c>
      <c r="L426" s="33" t="s">
        <v>93</v>
      </c>
      <c r="M426" s="33">
        <v>6313</v>
      </c>
      <c r="N426" s="36"/>
      <c r="O426" s="33">
        <v>3</v>
      </c>
      <c r="P426" s="33">
        <f>IF(Tabela1[[#This Row],[Status]]="✔️",Tabela1[[#This Row],[Peso]],IF(Tabela1[[#This Row],[Status]]="✔️✔️",Tabela1[[#This Row],[Peso]]/2,0))</f>
        <v>0</v>
      </c>
      <c r="Q42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26" s="33" t="s">
        <v>187</v>
      </c>
      <c r="S426" s="37" t="s">
        <v>132</v>
      </c>
    </row>
    <row r="427" spans="8:19" ht="41.4" x14ac:dyDescent="0.3">
      <c r="H427" s="32" t="s">
        <v>134</v>
      </c>
      <c r="I427" s="33" t="s">
        <v>41</v>
      </c>
      <c r="J427" s="34" t="s">
        <v>442</v>
      </c>
      <c r="K427" s="35" t="s">
        <v>290</v>
      </c>
      <c r="L427" s="33" t="s">
        <v>47</v>
      </c>
      <c r="M427" s="33">
        <v>9106</v>
      </c>
      <c r="N427" s="36"/>
      <c r="O427" s="33">
        <v>3</v>
      </c>
      <c r="P427" s="33">
        <f>IF(Tabela1[[#This Row],[Status]]="✔️",Tabela1[[#This Row],[Peso]],IF(Tabela1[[#This Row],[Status]]="✔️✔️",Tabela1[[#This Row],[Peso]]/2,0))</f>
        <v>0</v>
      </c>
      <c r="Q42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27" s="33" t="s">
        <v>187</v>
      </c>
      <c r="S427" s="37" t="s">
        <v>132</v>
      </c>
    </row>
    <row r="428" spans="8:19" ht="41.4" x14ac:dyDescent="0.3">
      <c r="H428" s="32" t="s">
        <v>134</v>
      </c>
      <c r="I428" s="33" t="s">
        <v>41</v>
      </c>
      <c r="J428" s="34" t="s">
        <v>443</v>
      </c>
      <c r="K428" s="35" t="s">
        <v>290</v>
      </c>
      <c r="L428" s="33" t="s">
        <v>47</v>
      </c>
      <c r="M428" s="33">
        <v>9106</v>
      </c>
      <c r="N428" s="36"/>
      <c r="O428" s="33">
        <v>2</v>
      </c>
      <c r="P428" s="33">
        <f>IF(Tabela1[[#This Row],[Status]]="✔️",Tabela1[[#This Row],[Peso]],IF(Tabela1[[#This Row],[Status]]="✔️✔️",Tabela1[[#This Row],[Peso]]/2,0))</f>
        <v>0</v>
      </c>
      <c r="Q428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428" s="33" t="s">
        <v>187</v>
      </c>
      <c r="S428" s="37" t="s">
        <v>132</v>
      </c>
    </row>
    <row r="429" spans="8:19" ht="41.4" x14ac:dyDescent="0.3">
      <c r="H429" s="32" t="s">
        <v>134</v>
      </c>
      <c r="I429" s="33" t="s">
        <v>10</v>
      </c>
      <c r="J429" s="34" t="s">
        <v>444</v>
      </c>
      <c r="K429" s="35" t="s">
        <v>290</v>
      </c>
      <c r="L429" s="33" t="s">
        <v>157</v>
      </c>
      <c r="M429" s="33">
        <v>8967</v>
      </c>
      <c r="N429" s="36"/>
      <c r="O429" s="33">
        <v>3</v>
      </c>
      <c r="P429" s="33">
        <f>IF(Tabela1[[#This Row],[Status]]="✔️",Tabela1[[#This Row],[Peso]],IF(Tabela1[[#This Row],[Status]]="✔️✔️",Tabela1[[#This Row],[Peso]]/2,0))</f>
        <v>0</v>
      </c>
      <c r="Q42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29" s="33" t="s">
        <v>187</v>
      </c>
      <c r="S429" s="37" t="s">
        <v>132</v>
      </c>
    </row>
    <row r="430" spans="8:19" ht="27.6" x14ac:dyDescent="0.3">
      <c r="H430" s="32" t="s">
        <v>134</v>
      </c>
      <c r="I430" s="33" t="s">
        <v>14</v>
      </c>
      <c r="J430" s="34" t="s">
        <v>15</v>
      </c>
      <c r="K430" s="35" t="s">
        <v>1</v>
      </c>
      <c r="L430" s="33"/>
      <c r="M430" s="33"/>
      <c r="N430" s="36"/>
      <c r="O430" s="33">
        <v>3</v>
      </c>
      <c r="P430" s="33">
        <f>IF(Tabela1[[#This Row],[Status]]="✔️",Tabela1[[#This Row],[Peso]],IF(Tabela1[[#This Row],[Status]]="✔️✔️",Tabela1[[#This Row],[Peso]]/2,0))</f>
        <v>0</v>
      </c>
      <c r="Q43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430" s="33" t="s">
        <v>264</v>
      </c>
      <c r="S430" s="37" t="s">
        <v>263</v>
      </c>
    </row>
    <row r="431" spans="8:19" ht="27.6" x14ac:dyDescent="0.3">
      <c r="H431" s="32" t="s">
        <v>134</v>
      </c>
      <c r="I431" s="33" t="s">
        <v>14</v>
      </c>
      <c r="J431" s="34" t="s">
        <v>16</v>
      </c>
      <c r="K431" s="35" t="s">
        <v>290</v>
      </c>
      <c r="L431" s="33"/>
      <c r="M431" s="33"/>
      <c r="N431" s="36"/>
      <c r="O431" s="33">
        <v>1</v>
      </c>
      <c r="P431" s="33">
        <f>IF(Tabela1[[#This Row],[Status]]="✔️",Tabela1[[#This Row],[Peso]],IF(Tabela1[[#This Row],[Status]]="✔️✔️",Tabela1[[#This Row],[Peso]]/2,0))</f>
        <v>0</v>
      </c>
      <c r="Q43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31" s="33" t="s">
        <v>264</v>
      </c>
      <c r="S431" s="37" t="s">
        <v>263</v>
      </c>
    </row>
    <row r="432" spans="8:19" ht="27.6" x14ac:dyDescent="0.3">
      <c r="H432" s="32" t="s">
        <v>134</v>
      </c>
      <c r="I432" s="33" t="s">
        <v>10</v>
      </c>
      <c r="J432" s="34" t="s">
        <v>11</v>
      </c>
      <c r="K432" s="35" t="s">
        <v>0</v>
      </c>
      <c r="L432" s="33"/>
      <c r="M432" s="33"/>
      <c r="N432" s="36"/>
      <c r="O432" s="33">
        <v>3</v>
      </c>
      <c r="P432" s="33">
        <f>IF(Tabela1[[#This Row],[Status]]="✔️",Tabela1[[#This Row],[Peso]],IF(Tabela1[[#This Row],[Status]]="✔️✔️",Tabela1[[#This Row],[Peso]]/2,0))</f>
        <v>3</v>
      </c>
      <c r="Q43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32" s="33" t="s">
        <v>264</v>
      </c>
      <c r="S432" s="37" t="s">
        <v>263</v>
      </c>
    </row>
    <row r="433" spans="8:19" ht="27.6" x14ac:dyDescent="0.3">
      <c r="H433" s="32" t="s">
        <v>134</v>
      </c>
      <c r="I433" s="33" t="s">
        <v>10</v>
      </c>
      <c r="J433" s="34" t="s">
        <v>316</v>
      </c>
      <c r="K433" s="35" t="s">
        <v>0</v>
      </c>
      <c r="L433" s="33"/>
      <c r="M433" s="33"/>
      <c r="N433" s="36"/>
      <c r="O433" s="33">
        <v>3</v>
      </c>
      <c r="P433" s="33">
        <f>IF(Tabela1[[#This Row],[Status]]="✔️",Tabela1[[#This Row],[Peso]],IF(Tabela1[[#This Row],[Status]]="✔️✔️",Tabela1[[#This Row],[Peso]]/2,0))</f>
        <v>3</v>
      </c>
      <c r="Q43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33" s="33" t="s">
        <v>264</v>
      </c>
      <c r="S433" s="37" t="s">
        <v>263</v>
      </c>
    </row>
    <row r="434" spans="8:19" ht="27.6" x14ac:dyDescent="0.3">
      <c r="H434" s="32" t="s">
        <v>134</v>
      </c>
      <c r="I434" s="33" t="s">
        <v>10</v>
      </c>
      <c r="J434" s="34" t="s">
        <v>450</v>
      </c>
      <c r="K434" s="35" t="s">
        <v>290</v>
      </c>
      <c r="L434" s="33"/>
      <c r="M434" s="33"/>
      <c r="N434" s="36"/>
      <c r="O434" s="33">
        <v>3</v>
      </c>
      <c r="P434" s="33">
        <f>IF(Tabela1[[#This Row],[Status]]="✔️",Tabela1[[#This Row],[Peso]],IF(Tabela1[[#This Row],[Status]]="✔️✔️",Tabela1[[#This Row],[Peso]]/2,0))</f>
        <v>0</v>
      </c>
      <c r="Q43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34" s="33" t="s">
        <v>264</v>
      </c>
      <c r="S434" s="37" t="s">
        <v>263</v>
      </c>
    </row>
    <row r="435" spans="8:19" ht="27.6" x14ac:dyDescent="0.3">
      <c r="H435" s="32" t="s">
        <v>134</v>
      </c>
      <c r="I435" s="33" t="s">
        <v>10</v>
      </c>
      <c r="J435" s="34" t="s">
        <v>451</v>
      </c>
      <c r="K435" s="35" t="s">
        <v>1</v>
      </c>
      <c r="L435" s="33"/>
      <c r="M435" s="33"/>
      <c r="N435" s="36"/>
      <c r="O435" s="33">
        <v>3</v>
      </c>
      <c r="P435" s="33">
        <f>IF(Tabela1[[#This Row],[Status]]="✔️",Tabela1[[#This Row],[Peso]],IF(Tabela1[[#This Row],[Status]]="✔️✔️",Tabela1[[#This Row],[Peso]]/2,0))</f>
        <v>0</v>
      </c>
      <c r="Q43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435" s="33" t="s">
        <v>264</v>
      </c>
      <c r="S435" s="37" t="s">
        <v>263</v>
      </c>
    </row>
    <row r="436" spans="8:19" ht="27.6" x14ac:dyDescent="0.3">
      <c r="H436" s="32" t="s">
        <v>134</v>
      </c>
      <c r="I436" s="33" t="s">
        <v>12</v>
      </c>
      <c r="J436" s="34" t="s">
        <v>13</v>
      </c>
      <c r="K436" s="35" t="s">
        <v>290</v>
      </c>
      <c r="L436" s="33"/>
      <c r="M436" s="33"/>
      <c r="N436" s="36"/>
      <c r="O436" s="33">
        <v>2</v>
      </c>
      <c r="P436" s="33">
        <f>IF(Tabela1[[#This Row],[Status]]="✔️",Tabela1[[#This Row],[Peso]],IF(Tabela1[[#This Row],[Status]]="✔️✔️",Tabela1[[#This Row],[Peso]]/2,0))</f>
        <v>0</v>
      </c>
      <c r="Q43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436" s="33" t="s">
        <v>264</v>
      </c>
      <c r="S436" s="37" t="s">
        <v>263</v>
      </c>
    </row>
    <row r="437" spans="8:19" ht="27.6" x14ac:dyDescent="0.3">
      <c r="H437" s="32" t="s">
        <v>134</v>
      </c>
      <c r="I437" s="33" t="s">
        <v>17</v>
      </c>
      <c r="J437" s="34" t="s">
        <v>18</v>
      </c>
      <c r="K437" s="35" t="s">
        <v>0</v>
      </c>
      <c r="L437" s="33"/>
      <c r="M437" s="33"/>
      <c r="N437" s="36"/>
      <c r="O437" s="33">
        <v>3</v>
      </c>
      <c r="P437" s="33">
        <f>IF(Tabela1[[#This Row],[Status]]="✔️",Tabela1[[#This Row],[Peso]],IF(Tabela1[[#This Row],[Status]]="✔️✔️",Tabela1[[#This Row],[Peso]]/2,0))</f>
        <v>3</v>
      </c>
      <c r="Q43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37" s="33" t="s">
        <v>264</v>
      </c>
      <c r="S437" s="37" t="s">
        <v>263</v>
      </c>
    </row>
    <row r="438" spans="8:19" ht="27.6" x14ac:dyDescent="0.3">
      <c r="H438" s="32" t="s">
        <v>134</v>
      </c>
      <c r="I438" s="33" t="s">
        <v>17</v>
      </c>
      <c r="J438" s="34" t="s">
        <v>19</v>
      </c>
      <c r="K438" s="35" t="s">
        <v>0</v>
      </c>
      <c r="L438" s="33"/>
      <c r="M438" s="33"/>
      <c r="N438" s="36"/>
      <c r="O438" s="33">
        <v>1</v>
      </c>
      <c r="P438" s="33">
        <f>IF(Tabela1[[#This Row],[Status]]="✔️",Tabela1[[#This Row],[Peso]],IF(Tabela1[[#This Row],[Status]]="✔️✔️",Tabela1[[#This Row],[Peso]]/2,0))</f>
        <v>1</v>
      </c>
      <c r="Q43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38" s="33" t="s">
        <v>264</v>
      </c>
      <c r="S438" s="37" t="s">
        <v>263</v>
      </c>
    </row>
    <row r="439" spans="8:19" ht="27.6" x14ac:dyDescent="0.3">
      <c r="H439" s="32" t="s">
        <v>134</v>
      </c>
      <c r="I439" s="33" t="s">
        <v>20</v>
      </c>
      <c r="J439" s="34" t="s">
        <v>21</v>
      </c>
      <c r="K439" s="35" t="s">
        <v>1</v>
      </c>
      <c r="L439" s="33"/>
      <c r="M439" s="33"/>
      <c r="N439" s="36"/>
      <c r="O439" s="33">
        <v>3</v>
      </c>
      <c r="P439" s="33">
        <f>IF(Tabela1[[#This Row],[Status]]="✔️",Tabela1[[#This Row],[Peso]],IF(Tabela1[[#This Row],[Status]]="✔️✔️",Tabela1[[#This Row],[Peso]]/2,0))</f>
        <v>0</v>
      </c>
      <c r="Q43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439" s="33" t="s">
        <v>264</v>
      </c>
      <c r="S439" s="37" t="s">
        <v>263</v>
      </c>
    </row>
    <row r="440" spans="8:19" ht="27.6" x14ac:dyDescent="0.3">
      <c r="H440" s="32" t="s">
        <v>134</v>
      </c>
      <c r="I440" s="33" t="s">
        <v>20</v>
      </c>
      <c r="J440" s="34" t="s">
        <v>452</v>
      </c>
      <c r="K440" s="35" t="s">
        <v>290</v>
      </c>
      <c r="L440" s="33"/>
      <c r="M440" s="33"/>
      <c r="N440" s="36"/>
      <c r="O440" s="33">
        <v>1</v>
      </c>
      <c r="P440" s="33">
        <f>IF(Tabela1[[#This Row],[Status]]="✔️",Tabela1[[#This Row],[Peso]],IF(Tabela1[[#This Row],[Status]]="✔️✔️",Tabela1[[#This Row],[Peso]]/2,0))</f>
        <v>0</v>
      </c>
      <c r="Q44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40" s="33" t="s">
        <v>264</v>
      </c>
      <c r="S440" s="37" t="s">
        <v>263</v>
      </c>
    </row>
    <row r="441" spans="8:19" ht="27.6" x14ac:dyDescent="0.3">
      <c r="H441" s="32" t="s">
        <v>134</v>
      </c>
      <c r="I441" s="33" t="s">
        <v>22</v>
      </c>
      <c r="J441" s="34" t="s">
        <v>23</v>
      </c>
      <c r="K441" s="35" t="s">
        <v>1</v>
      </c>
      <c r="L441" s="33"/>
      <c r="M441" s="33"/>
      <c r="N441" s="36"/>
      <c r="O441" s="33">
        <v>1</v>
      </c>
      <c r="P441" s="33">
        <f>IF(Tabela1[[#This Row],[Status]]="✔️",Tabela1[[#This Row],[Peso]],IF(Tabela1[[#This Row],[Status]]="✔️✔️",Tabela1[[#This Row],[Peso]]/2,0))</f>
        <v>0</v>
      </c>
      <c r="Q44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441" s="33" t="s">
        <v>264</v>
      </c>
      <c r="S441" s="37" t="s">
        <v>263</v>
      </c>
    </row>
    <row r="442" spans="8:19" ht="27.6" x14ac:dyDescent="0.3">
      <c r="H442" s="32" t="s">
        <v>134</v>
      </c>
      <c r="I442" s="33" t="s">
        <v>22</v>
      </c>
      <c r="J442" s="34" t="s">
        <v>453</v>
      </c>
      <c r="K442" s="35" t="s">
        <v>1</v>
      </c>
      <c r="L442" s="33"/>
      <c r="M442" s="33"/>
      <c r="N442" s="36"/>
      <c r="O442" s="33">
        <v>1</v>
      </c>
      <c r="P442" s="33">
        <f>IF(Tabela1[[#This Row],[Status]]="✔️",Tabela1[[#This Row],[Peso]],IF(Tabela1[[#This Row],[Status]]="✔️✔️",Tabela1[[#This Row],[Peso]]/2,0))</f>
        <v>0</v>
      </c>
      <c r="Q44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442" s="33" t="s">
        <v>264</v>
      </c>
      <c r="S442" s="37" t="s">
        <v>263</v>
      </c>
    </row>
    <row r="443" spans="8:19" ht="27.6" x14ac:dyDescent="0.3">
      <c r="H443" s="32" t="s">
        <v>134</v>
      </c>
      <c r="I443" s="33" t="s">
        <v>25</v>
      </c>
      <c r="J443" s="34" t="s">
        <v>454</v>
      </c>
      <c r="K443" s="35" t="s">
        <v>290</v>
      </c>
      <c r="L443" s="33"/>
      <c r="M443" s="33"/>
      <c r="N443" s="36"/>
      <c r="O443" s="33">
        <v>3</v>
      </c>
      <c r="P443" s="33">
        <f>IF(Tabela1[[#This Row],[Status]]="✔️",Tabela1[[#This Row],[Peso]],IF(Tabela1[[#This Row],[Status]]="✔️✔️",Tabela1[[#This Row],[Peso]]/2,0))</f>
        <v>0</v>
      </c>
      <c r="Q44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43" s="33" t="s">
        <v>264</v>
      </c>
      <c r="S443" s="37" t="s">
        <v>263</v>
      </c>
    </row>
    <row r="444" spans="8:19" ht="27.6" x14ac:dyDescent="0.3">
      <c r="H444" s="32" t="s">
        <v>134</v>
      </c>
      <c r="I444" s="33" t="s">
        <v>25</v>
      </c>
      <c r="J444" s="34" t="s">
        <v>340</v>
      </c>
      <c r="K444" s="35" t="s">
        <v>0</v>
      </c>
      <c r="L444" s="33"/>
      <c r="M444" s="33"/>
      <c r="N444" s="36"/>
      <c r="O444" s="33">
        <v>3</v>
      </c>
      <c r="P444" s="33">
        <f>IF(Tabela1[[#This Row],[Status]]="✔️",Tabela1[[#This Row],[Peso]],IF(Tabela1[[#This Row],[Status]]="✔️✔️",Tabela1[[#This Row],[Peso]]/2,0))</f>
        <v>3</v>
      </c>
      <c r="Q44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44" s="33" t="s">
        <v>264</v>
      </c>
      <c r="S444" s="37" t="s">
        <v>263</v>
      </c>
    </row>
    <row r="445" spans="8:19" ht="27.6" x14ac:dyDescent="0.3">
      <c r="H445" s="32" t="s">
        <v>134</v>
      </c>
      <c r="I445" s="33" t="s">
        <v>30</v>
      </c>
      <c r="J445" s="34" t="s">
        <v>455</v>
      </c>
      <c r="K445" s="35" t="s">
        <v>0</v>
      </c>
      <c r="L445" s="33"/>
      <c r="M445" s="33"/>
      <c r="N445" s="36"/>
      <c r="O445" s="33">
        <v>3</v>
      </c>
      <c r="P445" s="33">
        <f>IF(Tabela1[[#This Row],[Status]]="✔️",Tabela1[[#This Row],[Peso]],IF(Tabela1[[#This Row],[Status]]="✔️✔️",Tabela1[[#This Row],[Peso]]/2,0))</f>
        <v>3</v>
      </c>
      <c r="Q44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45" s="33" t="s">
        <v>264</v>
      </c>
      <c r="S445" s="37" t="s">
        <v>263</v>
      </c>
    </row>
    <row r="446" spans="8:19" ht="27.6" x14ac:dyDescent="0.3">
      <c r="H446" s="32" t="s">
        <v>134</v>
      </c>
      <c r="I446" s="33" t="s">
        <v>25</v>
      </c>
      <c r="J446" s="34" t="s">
        <v>456</v>
      </c>
      <c r="K446" s="35" t="s">
        <v>0</v>
      </c>
      <c r="L446" s="33"/>
      <c r="M446" s="33"/>
      <c r="N446" s="36"/>
      <c r="O446" s="33">
        <v>3</v>
      </c>
      <c r="P446" s="33">
        <f>IF(Tabela1[[#This Row],[Status]]="✔️",Tabela1[[#This Row],[Peso]],IF(Tabela1[[#This Row],[Status]]="✔️✔️",Tabela1[[#This Row],[Peso]]/2,0))</f>
        <v>3</v>
      </c>
      <c r="Q44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46" s="33" t="s">
        <v>264</v>
      </c>
      <c r="S446" s="37" t="s">
        <v>263</v>
      </c>
    </row>
    <row r="447" spans="8:19" ht="41.4" x14ac:dyDescent="0.3">
      <c r="H447" s="32" t="s">
        <v>134</v>
      </c>
      <c r="I447" s="33" t="s">
        <v>41</v>
      </c>
      <c r="J447" s="34" t="s">
        <v>457</v>
      </c>
      <c r="K447" s="35" t="s">
        <v>1</v>
      </c>
      <c r="L447" s="33"/>
      <c r="M447" s="33"/>
      <c r="N447" s="36"/>
      <c r="O447" s="33">
        <v>3</v>
      </c>
      <c r="P447" s="33">
        <f>IF(Tabela1[[#This Row],[Status]]="✔️",Tabela1[[#This Row],[Peso]],IF(Tabela1[[#This Row],[Status]]="✔️✔️",Tabela1[[#This Row],[Peso]]/2,0))</f>
        <v>0</v>
      </c>
      <c r="Q44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447" s="33" t="s">
        <v>264</v>
      </c>
      <c r="S447" s="37" t="s">
        <v>263</v>
      </c>
    </row>
    <row r="448" spans="8:19" ht="41.4" x14ac:dyDescent="0.3">
      <c r="H448" s="32" t="s">
        <v>134</v>
      </c>
      <c r="I448" s="33" t="s">
        <v>41</v>
      </c>
      <c r="J448" s="34" t="s">
        <v>458</v>
      </c>
      <c r="K448" s="35" t="s">
        <v>1</v>
      </c>
      <c r="L448" s="33"/>
      <c r="M448" s="33"/>
      <c r="N448" s="36"/>
      <c r="O448" s="33">
        <v>2</v>
      </c>
      <c r="P448" s="33">
        <f>IF(Tabela1[[#This Row],[Status]]="✔️",Tabela1[[#This Row],[Peso]],IF(Tabela1[[#This Row],[Status]]="✔️✔️",Tabela1[[#This Row],[Peso]]/2,0))</f>
        <v>0</v>
      </c>
      <c r="Q44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448" s="33" t="s">
        <v>264</v>
      </c>
      <c r="S448" s="37" t="s">
        <v>263</v>
      </c>
    </row>
    <row r="449" spans="8:19" ht="27.6" x14ac:dyDescent="0.3">
      <c r="H449" s="32" t="s">
        <v>54</v>
      </c>
      <c r="I449" s="33" t="s">
        <v>30</v>
      </c>
      <c r="J449" s="34" t="s">
        <v>438</v>
      </c>
      <c r="K449" s="35" t="s">
        <v>0</v>
      </c>
      <c r="L449" s="33"/>
      <c r="M449" s="33"/>
      <c r="N449" s="36"/>
      <c r="O449" s="33">
        <v>3</v>
      </c>
      <c r="P449" s="33">
        <f>IF(Tabela1[[#This Row],[Status]]="✔️",Tabela1[[#This Row],[Peso]],IF(Tabela1[[#This Row],[Status]]="✔️✔️",Tabela1[[#This Row],[Peso]]/2,0))</f>
        <v>3</v>
      </c>
      <c r="Q44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49" s="33" t="s">
        <v>127</v>
      </c>
      <c r="S449" s="37" t="s">
        <v>128</v>
      </c>
    </row>
    <row r="450" spans="8:19" ht="27.6" x14ac:dyDescent="0.3">
      <c r="H450" s="32" t="s">
        <v>54</v>
      </c>
      <c r="I450" s="33" t="s">
        <v>10</v>
      </c>
      <c r="J450" s="34" t="s">
        <v>11</v>
      </c>
      <c r="K450" s="35" t="s">
        <v>0</v>
      </c>
      <c r="L450" s="33"/>
      <c r="M450" s="33"/>
      <c r="N450" s="36"/>
      <c r="O450" s="33">
        <v>3</v>
      </c>
      <c r="P450" s="33">
        <f>IF(Tabela1[[#This Row],[Status]]="✔️",Tabela1[[#This Row],[Peso]],IF(Tabela1[[#This Row],[Status]]="✔️✔️",Tabela1[[#This Row],[Peso]]/2,0))</f>
        <v>3</v>
      </c>
      <c r="Q45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50" s="33" t="s">
        <v>127</v>
      </c>
      <c r="S450" s="37" t="s">
        <v>128</v>
      </c>
    </row>
    <row r="451" spans="8:19" ht="27.6" x14ac:dyDescent="0.3">
      <c r="H451" s="32" t="s">
        <v>54</v>
      </c>
      <c r="I451" s="33" t="s">
        <v>10</v>
      </c>
      <c r="J451" s="34" t="s">
        <v>439</v>
      </c>
      <c r="K451" s="35" t="s">
        <v>0</v>
      </c>
      <c r="L451" s="33"/>
      <c r="M451" s="33"/>
      <c r="N451" s="36"/>
      <c r="O451" s="33">
        <v>3</v>
      </c>
      <c r="P451" s="33">
        <f>IF(Tabela1[[#This Row],[Status]]="✔️",Tabela1[[#This Row],[Peso]],IF(Tabela1[[#This Row],[Status]]="✔️✔️",Tabela1[[#This Row],[Peso]]/2,0))</f>
        <v>3</v>
      </c>
      <c r="Q45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51" s="33" t="s">
        <v>127</v>
      </c>
      <c r="S451" s="37" t="s">
        <v>128</v>
      </c>
    </row>
    <row r="452" spans="8:19" ht="27.6" x14ac:dyDescent="0.3">
      <c r="H452" s="32" t="s">
        <v>54</v>
      </c>
      <c r="I452" s="33" t="s">
        <v>10</v>
      </c>
      <c r="J452" s="34" t="s">
        <v>440</v>
      </c>
      <c r="K452" s="35" t="s">
        <v>0</v>
      </c>
      <c r="L452" s="33"/>
      <c r="M452" s="33"/>
      <c r="N452" s="36"/>
      <c r="O452" s="33">
        <v>3</v>
      </c>
      <c r="P452" s="33">
        <f>IF(Tabela1[[#This Row],[Status]]="✔️",Tabela1[[#This Row],[Peso]],IF(Tabela1[[#This Row],[Status]]="✔️✔️",Tabela1[[#This Row],[Peso]]/2,0))</f>
        <v>3</v>
      </c>
      <c r="Q45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52" s="33" t="s">
        <v>127</v>
      </c>
      <c r="S452" s="37" t="s">
        <v>128</v>
      </c>
    </row>
    <row r="453" spans="8:19" ht="27.6" x14ac:dyDescent="0.3">
      <c r="H453" s="32" t="s">
        <v>54</v>
      </c>
      <c r="I453" s="33" t="s">
        <v>12</v>
      </c>
      <c r="J453" s="34" t="s">
        <v>13</v>
      </c>
      <c r="K453" s="35" t="s">
        <v>290</v>
      </c>
      <c r="L453" s="33" t="s">
        <v>104</v>
      </c>
      <c r="M453" s="33">
        <v>2955</v>
      </c>
      <c r="N453" s="36"/>
      <c r="O453" s="33">
        <v>2</v>
      </c>
      <c r="P453" s="33">
        <f>IF(Tabela1[[#This Row],[Status]]="✔️",Tabela1[[#This Row],[Peso]],IF(Tabela1[[#This Row],[Status]]="✔️✔️",Tabela1[[#This Row],[Peso]]/2,0))</f>
        <v>0</v>
      </c>
      <c r="Q453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453" s="33" t="s">
        <v>127</v>
      </c>
      <c r="S453" s="37" t="s">
        <v>128</v>
      </c>
    </row>
    <row r="454" spans="8:19" ht="41.4" x14ac:dyDescent="0.3">
      <c r="H454" s="32" t="s">
        <v>54</v>
      </c>
      <c r="I454" s="33" t="s">
        <v>14</v>
      </c>
      <c r="J454" s="34" t="s">
        <v>15</v>
      </c>
      <c r="K454" s="35" t="s">
        <v>290</v>
      </c>
      <c r="L454" s="33" t="s">
        <v>101</v>
      </c>
      <c r="M454" s="33">
        <v>8747</v>
      </c>
      <c r="N454" s="36"/>
      <c r="O454" s="33">
        <v>3</v>
      </c>
      <c r="P454" s="33">
        <f>IF(Tabela1[[#This Row],[Status]]="✔️",Tabela1[[#This Row],[Peso]],IF(Tabela1[[#This Row],[Status]]="✔️✔️",Tabela1[[#This Row],[Peso]]/2,0))</f>
        <v>0</v>
      </c>
      <c r="Q45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54" s="33" t="s">
        <v>127</v>
      </c>
      <c r="S454" s="37" t="s">
        <v>128</v>
      </c>
    </row>
    <row r="455" spans="8:19" ht="27.6" x14ac:dyDescent="0.3">
      <c r="H455" s="32" t="s">
        <v>54</v>
      </c>
      <c r="I455" s="33" t="s">
        <v>14</v>
      </c>
      <c r="J455" s="34" t="s">
        <v>16</v>
      </c>
      <c r="K455" s="35" t="s">
        <v>0</v>
      </c>
      <c r="L455" s="33"/>
      <c r="M455" s="33"/>
      <c r="N455" s="36"/>
      <c r="O455" s="33">
        <v>1</v>
      </c>
      <c r="P455" s="33">
        <f>IF(Tabela1[[#This Row],[Status]]="✔️",Tabela1[[#This Row],[Peso]],IF(Tabela1[[#This Row],[Status]]="✔️✔️",Tabela1[[#This Row],[Peso]]/2,0))</f>
        <v>1</v>
      </c>
      <c r="Q45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55" s="33" t="s">
        <v>127</v>
      </c>
      <c r="S455" s="37" t="s">
        <v>128</v>
      </c>
    </row>
    <row r="456" spans="8:19" ht="27.6" x14ac:dyDescent="0.3">
      <c r="H456" s="32" t="s">
        <v>54</v>
      </c>
      <c r="I456" s="33" t="s">
        <v>17</v>
      </c>
      <c r="J456" s="34" t="s">
        <v>18</v>
      </c>
      <c r="K456" s="35" t="s">
        <v>0</v>
      </c>
      <c r="L456" s="33"/>
      <c r="M456" s="33"/>
      <c r="N456" s="36"/>
      <c r="O456" s="33">
        <v>3</v>
      </c>
      <c r="P456" s="33">
        <f>IF(Tabela1[[#This Row],[Status]]="✔️",Tabela1[[#This Row],[Peso]],IF(Tabela1[[#This Row],[Status]]="✔️✔️",Tabela1[[#This Row],[Peso]]/2,0))</f>
        <v>3</v>
      </c>
      <c r="Q45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56" s="33" t="s">
        <v>127</v>
      </c>
      <c r="S456" s="37" t="s">
        <v>128</v>
      </c>
    </row>
    <row r="457" spans="8:19" ht="27.6" x14ac:dyDescent="0.3">
      <c r="H457" s="32" t="s">
        <v>54</v>
      </c>
      <c r="I457" s="33" t="s">
        <v>17</v>
      </c>
      <c r="J457" s="34" t="s">
        <v>19</v>
      </c>
      <c r="K457" s="35" t="s">
        <v>290</v>
      </c>
      <c r="L457" s="33" t="s">
        <v>102</v>
      </c>
      <c r="M457" s="33">
        <v>5878</v>
      </c>
      <c r="N457" s="36"/>
      <c r="O457" s="33">
        <v>3</v>
      </c>
      <c r="P457" s="33">
        <f>IF(Tabela1[[#This Row],[Status]]="✔️",Tabela1[[#This Row],[Peso]],IF(Tabela1[[#This Row],[Status]]="✔️✔️",Tabela1[[#This Row],[Peso]]/2,0))</f>
        <v>0</v>
      </c>
      <c r="Q45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57" s="33" t="s">
        <v>127</v>
      </c>
      <c r="S457" s="37" t="s">
        <v>128</v>
      </c>
    </row>
    <row r="458" spans="8:19" ht="27.6" x14ac:dyDescent="0.3">
      <c r="H458" s="32" t="s">
        <v>54</v>
      </c>
      <c r="I458" s="33" t="s">
        <v>20</v>
      </c>
      <c r="J458" s="34" t="s">
        <v>21</v>
      </c>
      <c r="K458" s="35" t="s">
        <v>290</v>
      </c>
      <c r="L458" s="33" t="s">
        <v>103</v>
      </c>
      <c r="M458" s="33">
        <v>8747</v>
      </c>
      <c r="N458" s="36"/>
      <c r="O458" s="33">
        <v>3</v>
      </c>
      <c r="P458" s="33">
        <f>IF(Tabela1[[#This Row],[Status]]="✔️",Tabela1[[#This Row],[Peso]],IF(Tabela1[[#This Row],[Status]]="✔️✔️",Tabela1[[#This Row],[Peso]]/2,0))</f>
        <v>0</v>
      </c>
      <c r="Q45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58" s="33" t="s">
        <v>127</v>
      </c>
      <c r="S458" s="37" t="s">
        <v>128</v>
      </c>
    </row>
    <row r="459" spans="8:19" ht="27.6" x14ac:dyDescent="0.3">
      <c r="H459" s="32" t="s">
        <v>54</v>
      </c>
      <c r="I459" s="33" t="s">
        <v>20</v>
      </c>
      <c r="J459" s="34" t="s">
        <v>441</v>
      </c>
      <c r="K459" s="35" t="s">
        <v>290</v>
      </c>
      <c r="L459" s="33" t="s">
        <v>92</v>
      </c>
      <c r="M459" s="33">
        <v>9087</v>
      </c>
      <c r="N459" s="36"/>
      <c r="O459" s="33">
        <v>1</v>
      </c>
      <c r="P459" s="33">
        <f>IF(Tabela1[[#This Row],[Status]]="✔️",Tabela1[[#This Row],[Peso]],IF(Tabela1[[#This Row],[Status]]="✔️✔️",Tabela1[[#This Row],[Peso]]/2,0))</f>
        <v>0</v>
      </c>
      <c r="Q45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59" s="33" t="s">
        <v>127</v>
      </c>
      <c r="S459" s="37" t="s">
        <v>128</v>
      </c>
    </row>
    <row r="460" spans="8:19" ht="27.6" x14ac:dyDescent="0.3">
      <c r="H460" s="32" t="s">
        <v>54</v>
      </c>
      <c r="I460" s="33" t="s">
        <v>25</v>
      </c>
      <c r="J460" s="34" t="s">
        <v>28</v>
      </c>
      <c r="K460" s="35" t="s">
        <v>290</v>
      </c>
      <c r="L460" s="33" t="s">
        <v>105</v>
      </c>
      <c r="M460" s="33">
        <v>6076</v>
      </c>
      <c r="N460" s="36"/>
      <c r="O460" s="33">
        <v>3</v>
      </c>
      <c r="P460" s="33">
        <f>IF(Tabela1[[#This Row],[Status]]="✔️",Tabela1[[#This Row],[Peso]],IF(Tabela1[[#This Row],[Status]]="✔️✔️",Tabela1[[#This Row],[Peso]]/2,0))</f>
        <v>0</v>
      </c>
      <c r="Q46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60" s="33" t="s">
        <v>127</v>
      </c>
      <c r="S460" s="37" t="s">
        <v>128</v>
      </c>
    </row>
    <row r="461" spans="8:19" ht="27.6" x14ac:dyDescent="0.3">
      <c r="H461" s="32" t="s">
        <v>54</v>
      </c>
      <c r="I461" s="33" t="s">
        <v>25</v>
      </c>
      <c r="J461" s="34" t="s">
        <v>29</v>
      </c>
      <c r="K461" s="35" t="s">
        <v>0</v>
      </c>
      <c r="L461" s="33"/>
      <c r="M461" s="33"/>
      <c r="N461" s="36"/>
      <c r="O461" s="33">
        <v>3</v>
      </c>
      <c r="P461" s="33">
        <f>IF(Tabela1[[#This Row],[Status]]="✔️",Tabela1[[#This Row],[Peso]],IF(Tabela1[[#This Row],[Status]]="✔️✔️",Tabela1[[#This Row],[Peso]]/2,0))</f>
        <v>3</v>
      </c>
      <c r="Q46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61" s="33" t="s">
        <v>127</v>
      </c>
      <c r="S461" s="37" t="s">
        <v>128</v>
      </c>
    </row>
    <row r="462" spans="8:19" ht="27.6" x14ac:dyDescent="0.3">
      <c r="H462" s="32" t="s">
        <v>54</v>
      </c>
      <c r="I462" s="33" t="s">
        <v>25</v>
      </c>
      <c r="J462" s="34" t="s">
        <v>449</v>
      </c>
      <c r="K462" s="35" t="s">
        <v>0</v>
      </c>
      <c r="L462" s="33"/>
      <c r="M462" s="33"/>
      <c r="N462" s="36"/>
      <c r="O462" s="33">
        <v>3</v>
      </c>
      <c r="P462" s="33">
        <f>IF(Tabela1[[#This Row],[Status]]="✔️",Tabela1[[#This Row],[Peso]],IF(Tabela1[[#This Row],[Status]]="✔️✔️",Tabela1[[#This Row],[Peso]]/2,0))</f>
        <v>3</v>
      </c>
      <c r="Q46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62" s="33" t="s">
        <v>127</v>
      </c>
      <c r="S462" s="37" t="s">
        <v>128</v>
      </c>
    </row>
    <row r="463" spans="8:19" ht="41.4" x14ac:dyDescent="0.3">
      <c r="H463" s="32" t="s">
        <v>54</v>
      </c>
      <c r="I463" s="33" t="s">
        <v>41</v>
      </c>
      <c r="J463" s="34" t="s">
        <v>442</v>
      </c>
      <c r="K463" s="35" t="s">
        <v>290</v>
      </c>
      <c r="L463" s="33" t="s">
        <v>47</v>
      </c>
      <c r="M463" s="33">
        <v>8115</v>
      </c>
      <c r="N463" s="36"/>
      <c r="O463" s="33">
        <v>3</v>
      </c>
      <c r="P463" s="33">
        <f>IF(Tabela1[[#This Row],[Status]]="✔️",Tabela1[[#This Row],[Peso]],IF(Tabela1[[#This Row],[Status]]="✔️✔️",Tabela1[[#This Row],[Peso]]/2,0))</f>
        <v>0</v>
      </c>
      <c r="Q46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63" s="33" t="s">
        <v>127</v>
      </c>
      <c r="S463" s="37" t="s">
        <v>128</v>
      </c>
    </row>
    <row r="464" spans="8:19" ht="41.4" x14ac:dyDescent="0.3">
      <c r="H464" s="32" t="s">
        <v>54</v>
      </c>
      <c r="I464" s="33" t="s">
        <v>41</v>
      </c>
      <c r="J464" s="34" t="s">
        <v>443</v>
      </c>
      <c r="K464" s="35" t="s">
        <v>290</v>
      </c>
      <c r="L464" s="33" t="s">
        <v>47</v>
      </c>
      <c r="M464" s="33">
        <v>8115</v>
      </c>
      <c r="N464" s="36"/>
      <c r="O464" s="33">
        <v>2</v>
      </c>
      <c r="P464" s="33">
        <f>IF(Tabela1[[#This Row],[Status]]="✔️",Tabela1[[#This Row],[Peso]],IF(Tabela1[[#This Row],[Status]]="✔️✔️",Tabela1[[#This Row],[Peso]]/2,0))</f>
        <v>0</v>
      </c>
      <c r="Q46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464" s="33" t="s">
        <v>127</v>
      </c>
      <c r="S464" s="37" t="s">
        <v>128</v>
      </c>
    </row>
    <row r="465" spans="8:19" ht="27.6" x14ac:dyDescent="0.3">
      <c r="H465" s="32" t="s">
        <v>54</v>
      </c>
      <c r="I465" s="33" t="s">
        <v>10</v>
      </c>
      <c r="J465" s="34" t="s">
        <v>444</v>
      </c>
      <c r="K465" s="35" t="s">
        <v>290</v>
      </c>
      <c r="L465" s="33" t="s">
        <v>100</v>
      </c>
      <c r="M465" s="33">
        <v>5214</v>
      </c>
      <c r="N465" s="36"/>
      <c r="O465" s="33">
        <v>3</v>
      </c>
      <c r="P465" s="33">
        <f>IF(Tabela1[[#This Row],[Status]]="✔️",Tabela1[[#This Row],[Peso]],IF(Tabela1[[#This Row],[Status]]="✔️✔️",Tabela1[[#This Row],[Peso]]/2,0))</f>
        <v>0</v>
      </c>
      <c r="Q46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65" s="33" t="s">
        <v>127</v>
      </c>
      <c r="S465" s="37" t="s">
        <v>128</v>
      </c>
    </row>
    <row r="466" spans="8:19" ht="27.6" x14ac:dyDescent="0.3">
      <c r="H466" s="32" t="s">
        <v>54</v>
      </c>
      <c r="I466" s="33" t="s">
        <v>30</v>
      </c>
      <c r="J466" s="34" t="s">
        <v>438</v>
      </c>
      <c r="K466" s="35" t="s">
        <v>0</v>
      </c>
      <c r="L466" s="33"/>
      <c r="M466" s="33"/>
      <c r="N466" s="36"/>
      <c r="O466" s="33">
        <v>3</v>
      </c>
      <c r="P466" s="33">
        <f>IF(Tabela1[[#This Row],[Status]]="✔️",Tabela1[[#This Row],[Peso]],IF(Tabela1[[#This Row],[Status]]="✔️✔️",Tabela1[[#This Row],[Peso]]/2,0))</f>
        <v>3</v>
      </c>
      <c r="Q46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66" s="33" t="s">
        <v>264</v>
      </c>
      <c r="S466" s="37" t="s">
        <v>263</v>
      </c>
    </row>
    <row r="467" spans="8:19" ht="27.6" x14ac:dyDescent="0.3">
      <c r="H467" s="32" t="s">
        <v>54</v>
      </c>
      <c r="I467" s="33" t="s">
        <v>10</v>
      </c>
      <c r="J467" s="34" t="s">
        <v>11</v>
      </c>
      <c r="K467" s="35" t="s">
        <v>290</v>
      </c>
      <c r="L467" s="33" t="s">
        <v>265</v>
      </c>
      <c r="M467" s="33"/>
      <c r="N467" s="36"/>
      <c r="O467" s="33">
        <v>3</v>
      </c>
      <c r="P467" s="33">
        <f>IF(Tabela1[[#This Row],[Status]]="✔️",Tabela1[[#This Row],[Peso]],IF(Tabela1[[#This Row],[Status]]="✔️✔️",Tabela1[[#This Row],[Peso]]/2,0))</f>
        <v>0</v>
      </c>
      <c r="Q46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67" s="33" t="s">
        <v>264</v>
      </c>
      <c r="S467" s="37" t="s">
        <v>263</v>
      </c>
    </row>
    <row r="468" spans="8:19" ht="27.6" x14ac:dyDescent="0.3">
      <c r="H468" s="32" t="s">
        <v>54</v>
      </c>
      <c r="I468" s="33" t="s">
        <v>10</v>
      </c>
      <c r="J468" s="34" t="s">
        <v>439</v>
      </c>
      <c r="K468" s="35" t="s">
        <v>0</v>
      </c>
      <c r="L468" s="33"/>
      <c r="M468" s="33"/>
      <c r="N468" s="36"/>
      <c r="O468" s="33">
        <v>3</v>
      </c>
      <c r="P468" s="33">
        <f>IF(Tabela1[[#This Row],[Status]]="✔️",Tabela1[[#This Row],[Peso]],IF(Tabela1[[#This Row],[Status]]="✔️✔️",Tabela1[[#This Row],[Peso]]/2,0))</f>
        <v>3</v>
      </c>
      <c r="Q46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68" s="33" t="s">
        <v>264</v>
      </c>
      <c r="S468" s="37" t="s">
        <v>263</v>
      </c>
    </row>
    <row r="469" spans="8:19" ht="27.6" x14ac:dyDescent="0.3">
      <c r="H469" s="32" t="s">
        <v>54</v>
      </c>
      <c r="I469" s="33" t="s">
        <v>10</v>
      </c>
      <c r="J469" s="34" t="s">
        <v>440</v>
      </c>
      <c r="K469" s="35" t="s">
        <v>0</v>
      </c>
      <c r="L469" s="33"/>
      <c r="M469" s="33"/>
      <c r="N469" s="36"/>
      <c r="O469" s="33">
        <v>3</v>
      </c>
      <c r="P469" s="33">
        <f>IF(Tabela1[[#This Row],[Status]]="✔️",Tabela1[[#This Row],[Peso]],IF(Tabela1[[#This Row],[Status]]="✔️✔️",Tabela1[[#This Row],[Peso]]/2,0))</f>
        <v>3</v>
      </c>
      <c r="Q46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69" s="33" t="s">
        <v>264</v>
      </c>
      <c r="S469" s="37" t="s">
        <v>263</v>
      </c>
    </row>
    <row r="470" spans="8:19" ht="27.6" x14ac:dyDescent="0.3">
      <c r="H470" s="32" t="s">
        <v>54</v>
      </c>
      <c r="I470" s="33" t="s">
        <v>12</v>
      </c>
      <c r="J470" s="34" t="s">
        <v>13</v>
      </c>
      <c r="K470" s="35" t="s">
        <v>290</v>
      </c>
      <c r="L470" s="33" t="s">
        <v>266</v>
      </c>
      <c r="M470" s="33"/>
      <c r="N470" s="36"/>
      <c r="O470" s="33">
        <v>2</v>
      </c>
      <c r="P470" s="33">
        <f>IF(Tabela1[[#This Row],[Status]]="✔️",Tabela1[[#This Row],[Peso]],IF(Tabela1[[#This Row],[Status]]="✔️✔️",Tabela1[[#This Row],[Peso]]/2,0))</f>
        <v>0</v>
      </c>
      <c r="Q470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470" s="33" t="s">
        <v>264</v>
      </c>
      <c r="S470" s="37" t="s">
        <v>263</v>
      </c>
    </row>
    <row r="471" spans="8:19" ht="27.6" x14ac:dyDescent="0.3">
      <c r="H471" s="32" t="s">
        <v>54</v>
      </c>
      <c r="I471" s="33" t="s">
        <v>14</v>
      </c>
      <c r="J471" s="34" t="s">
        <v>15</v>
      </c>
      <c r="K471" s="35" t="s">
        <v>0</v>
      </c>
      <c r="L471" s="33"/>
      <c r="M471" s="33"/>
      <c r="N471" s="36"/>
      <c r="O471" s="33">
        <v>3</v>
      </c>
      <c r="P471" s="33">
        <f>IF(Tabela1[[#This Row],[Status]]="✔️",Tabela1[[#This Row],[Peso]],IF(Tabela1[[#This Row],[Status]]="✔️✔️",Tabela1[[#This Row],[Peso]]/2,0))</f>
        <v>3</v>
      </c>
      <c r="Q47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71" s="33" t="s">
        <v>264</v>
      </c>
      <c r="S471" s="37" t="s">
        <v>263</v>
      </c>
    </row>
    <row r="472" spans="8:19" ht="27.6" x14ac:dyDescent="0.3">
      <c r="H472" s="32" t="s">
        <v>54</v>
      </c>
      <c r="I472" s="33" t="s">
        <v>14</v>
      </c>
      <c r="J472" s="34" t="s">
        <v>16</v>
      </c>
      <c r="K472" s="35" t="s">
        <v>290</v>
      </c>
      <c r="L472" s="33" t="s">
        <v>267</v>
      </c>
      <c r="M472" s="33"/>
      <c r="N472" s="36"/>
      <c r="O472" s="33">
        <v>1</v>
      </c>
      <c r="P472" s="33">
        <f>IF(Tabela1[[#This Row],[Status]]="✔️",Tabela1[[#This Row],[Peso]],IF(Tabela1[[#This Row],[Status]]="✔️✔️",Tabela1[[#This Row],[Peso]]/2,0))</f>
        <v>0</v>
      </c>
      <c r="Q47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72" s="33" t="s">
        <v>264</v>
      </c>
      <c r="S472" s="37" t="s">
        <v>263</v>
      </c>
    </row>
    <row r="473" spans="8:19" ht="27.6" x14ac:dyDescent="0.3">
      <c r="H473" s="32" t="s">
        <v>54</v>
      </c>
      <c r="I473" s="33" t="s">
        <v>17</v>
      </c>
      <c r="J473" s="34" t="s">
        <v>18</v>
      </c>
      <c r="K473" s="35" t="s">
        <v>0</v>
      </c>
      <c r="L473" s="33" t="s">
        <v>271</v>
      </c>
      <c r="M473" s="33"/>
      <c r="N473" s="36"/>
      <c r="O473" s="33">
        <v>3</v>
      </c>
      <c r="P473" s="33">
        <f>IF(Tabela1[[#This Row],[Status]]="✔️",Tabela1[[#This Row],[Peso]],IF(Tabela1[[#This Row],[Status]]="✔️✔️",Tabela1[[#This Row],[Peso]]/2,0))</f>
        <v>3</v>
      </c>
      <c r="Q47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73" s="33" t="s">
        <v>264</v>
      </c>
      <c r="S473" s="37" t="s">
        <v>263</v>
      </c>
    </row>
    <row r="474" spans="8:19" ht="27.6" x14ac:dyDescent="0.3">
      <c r="H474" s="32" t="s">
        <v>54</v>
      </c>
      <c r="I474" s="33" t="s">
        <v>17</v>
      </c>
      <c r="J474" s="34" t="s">
        <v>19</v>
      </c>
      <c r="K474" s="35" t="s">
        <v>0</v>
      </c>
      <c r="L474" s="33" t="s">
        <v>159</v>
      </c>
      <c r="M474" s="33"/>
      <c r="N474" s="36"/>
      <c r="O474" s="33">
        <v>3</v>
      </c>
      <c r="P474" s="33">
        <f>IF(Tabela1[[#This Row],[Status]]="✔️",Tabela1[[#This Row],[Peso]],IF(Tabela1[[#This Row],[Status]]="✔️✔️",Tabela1[[#This Row],[Peso]]/2,0))</f>
        <v>3</v>
      </c>
      <c r="Q47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74" s="33" t="s">
        <v>264</v>
      </c>
      <c r="S474" s="37" t="s">
        <v>263</v>
      </c>
    </row>
    <row r="475" spans="8:19" ht="27.6" x14ac:dyDescent="0.3">
      <c r="H475" s="32" t="s">
        <v>54</v>
      </c>
      <c r="I475" s="33" t="s">
        <v>20</v>
      </c>
      <c r="J475" s="34" t="s">
        <v>21</v>
      </c>
      <c r="K475" s="35" t="s">
        <v>0</v>
      </c>
      <c r="L475" s="33"/>
      <c r="M475" s="33"/>
      <c r="N475" s="36"/>
      <c r="O475" s="33">
        <v>3</v>
      </c>
      <c r="P475" s="33">
        <f>IF(Tabela1[[#This Row],[Status]]="✔️",Tabela1[[#This Row],[Peso]],IF(Tabela1[[#This Row],[Status]]="✔️✔️",Tabela1[[#This Row],[Peso]]/2,0))</f>
        <v>3</v>
      </c>
      <c r="Q47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75" s="33" t="s">
        <v>264</v>
      </c>
      <c r="S475" s="37" t="s">
        <v>263</v>
      </c>
    </row>
    <row r="476" spans="8:19" ht="27.6" x14ac:dyDescent="0.3">
      <c r="H476" s="32" t="s">
        <v>54</v>
      </c>
      <c r="I476" s="33" t="s">
        <v>20</v>
      </c>
      <c r="J476" s="34" t="s">
        <v>441</v>
      </c>
      <c r="K476" s="35" t="s">
        <v>290</v>
      </c>
      <c r="L476" s="33" t="s">
        <v>270</v>
      </c>
      <c r="M476" s="33"/>
      <c r="N476" s="36"/>
      <c r="O476" s="33">
        <v>1</v>
      </c>
      <c r="P476" s="33">
        <f>IF(Tabela1[[#This Row],[Status]]="✔️",Tabela1[[#This Row],[Peso]],IF(Tabela1[[#This Row],[Status]]="✔️✔️",Tabela1[[#This Row],[Peso]]/2,0))</f>
        <v>0</v>
      </c>
      <c r="Q47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76" s="33" t="s">
        <v>264</v>
      </c>
      <c r="S476" s="37" t="s">
        <v>263</v>
      </c>
    </row>
    <row r="477" spans="8:19" ht="27.6" x14ac:dyDescent="0.3">
      <c r="H477" s="32" t="s">
        <v>54</v>
      </c>
      <c r="I477" s="33" t="s">
        <v>25</v>
      </c>
      <c r="J477" s="34" t="s">
        <v>28</v>
      </c>
      <c r="K477" s="35" t="s">
        <v>290</v>
      </c>
      <c r="L477" s="33" t="s">
        <v>71</v>
      </c>
      <c r="M477" s="33"/>
      <c r="N477" s="36"/>
      <c r="O477" s="33">
        <v>3</v>
      </c>
      <c r="P477" s="33">
        <f>IF(Tabela1[[#This Row],[Status]]="✔️",Tabela1[[#This Row],[Peso]],IF(Tabela1[[#This Row],[Status]]="✔️✔️",Tabela1[[#This Row],[Peso]]/2,0))</f>
        <v>0</v>
      </c>
      <c r="Q47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77" s="33" t="s">
        <v>264</v>
      </c>
      <c r="S477" s="37" t="s">
        <v>263</v>
      </c>
    </row>
    <row r="478" spans="8:19" ht="27.6" x14ac:dyDescent="0.3">
      <c r="H478" s="32" t="s">
        <v>54</v>
      </c>
      <c r="I478" s="33" t="s">
        <v>25</v>
      </c>
      <c r="J478" s="34" t="s">
        <v>29</v>
      </c>
      <c r="K478" s="35" t="s">
        <v>0</v>
      </c>
      <c r="L478" s="33"/>
      <c r="M478" s="33"/>
      <c r="N478" s="36"/>
      <c r="O478" s="33">
        <v>3</v>
      </c>
      <c r="P478" s="33">
        <f>IF(Tabela1[[#This Row],[Status]]="✔️",Tabela1[[#This Row],[Peso]],IF(Tabela1[[#This Row],[Status]]="✔️✔️",Tabela1[[#This Row],[Peso]]/2,0))</f>
        <v>3</v>
      </c>
      <c r="Q47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78" s="33" t="s">
        <v>264</v>
      </c>
      <c r="S478" s="37" t="s">
        <v>263</v>
      </c>
    </row>
    <row r="479" spans="8:19" ht="27.6" x14ac:dyDescent="0.3">
      <c r="H479" s="32" t="s">
        <v>54</v>
      </c>
      <c r="I479" s="33" t="s">
        <v>25</v>
      </c>
      <c r="J479" s="34" t="s">
        <v>449</v>
      </c>
      <c r="K479" s="35" t="s">
        <v>290</v>
      </c>
      <c r="L479" s="33" t="s">
        <v>268</v>
      </c>
      <c r="M479" s="33"/>
      <c r="N479" s="36"/>
      <c r="O479" s="33">
        <v>3</v>
      </c>
      <c r="P479" s="33">
        <f>IF(Tabela1[[#This Row],[Status]]="✔️",Tabela1[[#This Row],[Peso]],IF(Tabela1[[#This Row],[Status]]="✔️✔️",Tabela1[[#This Row],[Peso]]/2,0))</f>
        <v>0</v>
      </c>
      <c r="Q47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79" s="33" t="s">
        <v>264</v>
      </c>
      <c r="S479" s="37" t="s">
        <v>263</v>
      </c>
    </row>
    <row r="480" spans="8:19" ht="41.4" x14ac:dyDescent="0.3">
      <c r="H480" s="32" t="s">
        <v>54</v>
      </c>
      <c r="I480" s="33" t="s">
        <v>41</v>
      </c>
      <c r="J480" s="34" t="s">
        <v>442</v>
      </c>
      <c r="K480" s="35" t="s">
        <v>1</v>
      </c>
      <c r="L480" s="33" t="s">
        <v>269</v>
      </c>
      <c r="M480" s="33"/>
      <c r="N480" s="36"/>
      <c r="O480" s="33">
        <v>3</v>
      </c>
      <c r="P480" s="33">
        <f>IF(Tabela1[[#This Row],[Status]]="✔️",Tabela1[[#This Row],[Peso]],IF(Tabela1[[#This Row],[Status]]="✔️✔️",Tabela1[[#This Row],[Peso]]/2,0))</f>
        <v>0</v>
      </c>
      <c r="Q48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480" s="33" t="s">
        <v>264</v>
      </c>
      <c r="S480" s="37" t="s">
        <v>263</v>
      </c>
    </row>
    <row r="481" spans="8:19" ht="41.4" x14ac:dyDescent="0.3">
      <c r="H481" s="32" t="s">
        <v>54</v>
      </c>
      <c r="I481" s="33" t="s">
        <v>41</v>
      </c>
      <c r="J481" s="34" t="s">
        <v>443</v>
      </c>
      <c r="K481" s="35" t="s">
        <v>1</v>
      </c>
      <c r="L481" s="33" t="s">
        <v>269</v>
      </c>
      <c r="M481" s="33"/>
      <c r="N481" s="36"/>
      <c r="O481" s="33">
        <v>2</v>
      </c>
      <c r="P481" s="33">
        <f>IF(Tabela1[[#This Row],[Status]]="✔️",Tabela1[[#This Row],[Peso]],IF(Tabela1[[#This Row],[Status]]="✔️✔️",Tabela1[[#This Row],[Peso]]/2,0))</f>
        <v>0</v>
      </c>
      <c r="Q48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481" s="33" t="s">
        <v>264</v>
      </c>
      <c r="S481" s="37" t="s">
        <v>263</v>
      </c>
    </row>
    <row r="482" spans="8:19" ht="41.4" x14ac:dyDescent="0.3">
      <c r="H482" s="32" t="s">
        <v>54</v>
      </c>
      <c r="I482" s="33" t="s">
        <v>10</v>
      </c>
      <c r="J482" s="34" t="s">
        <v>444</v>
      </c>
      <c r="K482" s="35" t="s">
        <v>290</v>
      </c>
      <c r="L482" s="33" t="s">
        <v>157</v>
      </c>
      <c r="M482" s="33"/>
      <c r="N482" s="36"/>
      <c r="O482" s="33">
        <v>3</v>
      </c>
      <c r="P482" s="33">
        <f>IF(Tabela1[[#This Row],[Status]]="✔️",Tabela1[[#This Row],[Peso]],IF(Tabela1[[#This Row],[Status]]="✔️✔️",Tabela1[[#This Row],[Peso]]/2,0))</f>
        <v>0</v>
      </c>
      <c r="Q48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82" s="33" t="s">
        <v>264</v>
      </c>
      <c r="S482" s="37" t="s">
        <v>263</v>
      </c>
    </row>
    <row r="483" spans="8:19" ht="27.6" x14ac:dyDescent="0.3">
      <c r="H483" s="32" t="s">
        <v>54</v>
      </c>
      <c r="I483" s="33" t="s">
        <v>30</v>
      </c>
      <c r="J483" s="34" t="s">
        <v>438</v>
      </c>
      <c r="K483" s="35" t="s">
        <v>0</v>
      </c>
      <c r="L483" s="33"/>
      <c r="M483" s="33"/>
      <c r="N483" s="36"/>
      <c r="O483" s="33">
        <v>3</v>
      </c>
      <c r="P483" s="33">
        <f>IF(Tabela1[[#This Row],[Status]]="✔️",Tabela1[[#This Row],[Peso]],IF(Tabela1[[#This Row],[Status]]="✔️✔️",Tabela1[[#This Row],[Peso]]/2,0))</f>
        <v>3</v>
      </c>
      <c r="Q48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83" s="33" t="s">
        <v>130</v>
      </c>
      <c r="S483" s="37" t="s">
        <v>132</v>
      </c>
    </row>
    <row r="484" spans="8:19" ht="27.6" x14ac:dyDescent="0.3">
      <c r="H484" s="32" t="s">
        <v>54</v>
      </c>
      <c r="I484" s="33" t="s">
        <v>10</v>
      </c>
      <c r="J484" s="34" t="s">
        <v>11</v>
      </c>
      <c r="K484" s="35" t="s">
        <v>0</v>
      </c>
      <c r="L484" s="33"/>
      <c r="M484" s="33"/>
      <c r="N484" s="36"/>
      <c r="O484" s="33">
        <v>3</v>
      </c>
      <c r="P484" s="33">
        <f>IF(Tabela1[[#This Row],[Status]]="✔️",Tabela1[[#This Row],[Peso]],IF(Tabela1[[#This Row],[Status]]="✔️✔️",Tabela1[[#This Row],[Peso]]/2,0))</f>
        <v>3</v>
      </c>
      <c r="Q48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84" s="33" t="s">
        <v>130</v>
      </c>
      <c r="S484" s="37" t="s">
        <v>132</v>
      </c>
    </row>
    <row r="485" spans="8:19" ht="27.6" x14ac:dyDescent="0.3">
      <c r="H485" s="32" t="s">
        <v>54</v>
      </c>
      <c r="I485" s="33" t="s">
        <v>10</v>
      </c>
      <c r="J485" s="34" t="s">
        <v>439</v>
      </c>
      <c r="K485" s="35" t="s">
        <v>0</v>
      </c>
      <c r="L485" s="33"/>
      <c r="M485" s="33"/>
      <c r="N485" s="36"/>
      <c r="O485" s="33">
        <v>3</v>
      </c>
      <c r="P485" s="33">
        <f>IF(Tabela1[[#This Row],[Status]]="✔️",Tabela1[[#This Row],[Peso]],IF(Tabela1[[#This Row],[Status]]="✔️✔️",Tabela1[[#This Row],[Peso]]/2,0))</f>
        <v>3</v>
      </c>
      <c r="Q48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85" s="33" t="s">
        <v>130</v>
      </c>
      <c r="S485" s="37" t="s">
        <v>132</v>
      </c>
    </row>
    <row r="486" spans="8:19" ht="27.6" x14ac:dyDescent="0.3">
      <c r="H486" s="32" t="s">
        <v>54</v>
      </c>
      <c r="I486" s="33" t="s">
        <v>10</v>
      </c>
      <c r="J486" s="34" t="s">
        <v>440</v>
      </c>
      <c r="K486" s="35" t="s">
        <v>0</v>
      </c>
      <c r="L486" s="33"/>
      <c r="M486" s="33"/>
      <c r="N486" s="36"/>
      <c r="O486" s="33">
        <v>3</v>
      </c>
      <c r="P486" s="33">
        <f>IF(Tabela1[[#This Row],[Status]]="✔️",Tabela1[[#This Row],[Peso]],IF(Tabela1[[#This Row],[Status]]="✔️✔️",Tabela1[[#This Row],[Peso]]/2,0))</f>
        <v>3</v>
      </c>
      <c r="Q48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86" s="33" t="s">
        <v>130</v>
      </c>
      <c r="S486" s="37" t="s">
        <v>132</v>
      </c>
    </row>
    <row r="487" spans="8:19" ht="27.6" x14ac:dyDescent="0.3">
      <c r="H487" s="32" t="s">
        <v>54</v>
      </c>
      <c r="I487" s="33" t="s">
        <v>12</v>
      </c>
      <c r="J487" s="34" t="s">
        <v>13</v>
      </c>
      <c r="K487" s="35" t="s">
        <v>0</v>
      </c>
      <c r="L487" s="33"/>
      <c r="M487" s="33"/>
      <c r="N487" s="36"/>
      <c r="O487" s="33">
        <v>2</v>
      </c>
      <c r="P487" s="33">
        <f>IF(Tabela1[[#This Row],[Status]]="✔️",Tabela1[[#This Row],[Peso]],IF(Tabela1[[#This Row],[Status]]="✔️✔️",Tabela1[[#This Row],[Peso]]/2,0))</f>
        <v>2</v>
      </c>
      <c r="Q48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487" s="33" t="s">
        <v>130</v>
      </c>
      <c r="S487" s="37" t="s">
        <v>132</v>
      </c>
    </row>
    <row r="488" spans="8:19" ht="41.4" x14ac:dyDescent="0.3">
      <c r="H488" s="32" t="s">
        <v>54</v>
      </c>
      <c r="I488" s="33" t="s">
        <v>14</v>
      </c>
      <c r="J488" s="34" t="s">
        <v>15</v>
      </c>
      <c r="K488" s="35" t="s">
        <v>290</v>
      </c>
      <c r="L488" s="33" t="s">
        <v>158</v>
      </c>
      <c r="M488" s="33">
        <v>2191</v>
      </c>
      <c r="N488" s="36"/>
      <c r="O488" s="33">
        <v>3</v>
      </c>
      <c r="P488" s="33">
        <f>IF(Tabela1[[#This Row],[Status]]="✔️",Tabela1[[#This Row],[Peso]],IF(Tabela1[[#This Row],[Status]]="✔️✔️",Tabela1[[#This Row],[Peso]]/2,0))</f>
        <v>0</v>
      </c>
      <c r="Q48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88" s="33" t="s">
        <v>130</v>
      </c>
      <c r="S488" s="37" t="s">
        <v>132</v>
      </c>
    </row>
    <row r="489" spans="8:19" ht="27.6" x14ac:dyDescent="0.3">
      <c r="H489" s="32" t="s">
        <v>54</v>
      </c>
      <c r="I489" s="33" t="s">
        <v>14</v>
      </c>
      <c r="J489" s="34" t="s">
        <v>16</v>
      </c>
      <c r="K489" s="35" t="s">
        <v>0</v>
      </c>
      <c r="L489" s="33"/>
      <c r="M489" s="33"/>
      <c r="N489" s="36"/>
      <c r="O489" s="33">
        <v>1</v>
      </c>
      <c r="P489" s="33">
        <f>IF(Tabela1[[#This Row],[Status]]="✔️",Tabela1[[#This Row],[Peso]],IF(Tabela1[[#This Row],[Status]]="✔️✔️",Tabela1[[#This Row],[Peso]]/2,0))</f>
        <v>1</v>
      </c>
      <c r="Q48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89" s="33" t="s">
        <v>130</v>
      </c>
      <c r="S489" s="37" t="s">
        <v>132</v>
      </c>
    </row>
    <row r="490" spans="8:19" ht="27.6" x14ac:dyDescent="0.3">
      <c r="H490" s="32" t="s">
        <v>54</v>
      </c>
      <c r="I490" s="33" t="s">
        <v>17</v>
      </c>
      <c r="J490" s="34" t="s">
        <v>18</v>
      </c>
      <c r="K490" s="35" t="s">
        <v>0</v>
      </c>
      <c r="L490" s="33"/>
      <c r="M490" s="33"/>
      <c r="N490" s="36"/>
      <c r="O490" s="33">
        <v>3</v>
      </c>
      <c r="P490" s="33">
        <f>IF(Tabela1[[#This Row],[Status]]="✔️",Tabela1[[#This Row],[Peso]],IF(Tabela1[[#This Row],[Status]]="✔️✔️",Tabela1[[#This Row],[Peso]]/2,0))</f>
        <v>3</v>
      </c>
      <c r="Q49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90" s="33" t="s">
        <v>130</v>
      </c>
      <c r="S490" s="37" t="s">
        <v>132</v>
      </c>
    </row>
    <row r="491" spans="8:19" ht="27.6" x14ac:dyDescent="0.3">
      <c r="H491" s="32" t="s">
        <v>54</v>
      </c>
      <c r="I491" s="33" t="s">
        <v>17</v>
      </c>
      <c r="J491" s="34" t="s">
        <v>19</v>
      </c>
      <c r="K491" s="35" t="s">
        <v>290</v>
      </c>
      <c r="L491" s="33" t="s">
        <v>159</v>
      </c>
      <c r="M491" s="33">
        <v>1634</v>
      </c>
      <c r="N491" s="36"/>
      <c r="O491" s="33">
        <v>3</v>
      </c>
      <c r="P491" s="33">
        <f>IF(Tabela1[[#This Row],[Status]]="✔️",Tabela1[[#This Row],[Peso]],IF(Tabela1[[#This Row],[Status]]="✔️✔️",Tabela1[[#This Row],[Peso]]/2,0))</f>
        <v>0</v>
      </c>
      <c r="Q49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91" s="33" t="s">
        <v>130</v>
      </c>
      <c r="S491" s="37" t="s">
        <v>132</v>
      </c>
    </row>
    <row r="492" spans="8:19" ht="41.4" x14ac:dyDescent="0.3">
      <c r="H492" s="32" t="s">
        <v>54</v>
      </c>
      <c r="I492" s="33" t="s">
        <v>20</v>
      </c>
      <c r="J492" s="34" t="s">
        <v>21</v>
      </c>
      <c r="K492" s="35" t="s">
        <v>0</v>
      </c>
      <c r="L492" s="33" t="s">
        <v>160</v>
      </c>
      <c r="M492" s="33"/>
      <c r="N492" s="36"/>
      <c r="O492" s="33">
        <v>3</v>
      </c>
      <c r="P492" s="33">
        <f>IF(Tabela1[[#This Row],[Status]]="✔️",Tabela1[[#This Row],[Peso]],IF(Tabela1[[#This Row],[Status]]="✔️✔️",Tabela1[[#This Row],[Peso]]/2,0))</f>
        <v>3</v>
      </c>
      <c r="Q49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92" s="33" t="s">
        <v>130</v>
      </c>
      <c r="S492" s="37" t="s">
        <v>132</v>
      </c>
    </row>
    <row r="493" spans="8:19" ht="27.6" x14ac:dyDescent="0.3">
      <c r="H493" s="32" t="s">
        <v>54</v>
      </c>
      <c r="I493" s="33" t="s">
        <v>20</v>
      </c>
      <c r="J493" s="34" t="s">
        <v>441</v>
      </c>
      <c r="K493" s="35" t="s">
        <v>290</v>
      </c>
      <c r="L493" s="33" t="s">
        <v>161</v>
      </c>
      <c r="M493" s="33">
        <v>6244</v>
      </c>
      <c r="N493" s="36"/>
      <c r="O493" s="33">
        <v>1</v>
      </c>
      <c r="P493" s="33">
        <f>IF(Tabela1[[#This Row],[Status]]="✔️",Tabela1[[#This Row],[Peso]],IF(Tabela1[[#This Row],[Status]]="✔️✔️",Tabela1[[#This Row],[Peso]]/2,0))</f>
        <v>0</v>
      </c>
      <c r="Q49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93" s="33" t="s">
        <v>130</v>
      </c>
      <c r="S493" s="37" t="s">
        <v>132</v>
      </c>
    </row>
    <row r="494" spans="8:19" ht="27.6" x14ac:dyDescent="0.3">
      <c r="H494" s="32" t="s">
        <v>54</v>
      </c>
      <c r="I494" s="33" t="s">
        <v>25</v>
      </c>
      <c r="J494" s="34" t="s">
        <v>28</v>
      </c>
      <c r="K494" s="35" t="s">
        <v>0</v>
      </c>
      <c r="L494" s="33"/>
      <c r="M494" s="33"/>
      <c r="N494" s="36"/>
      <c r="O494" s="33">
        <v>3</v>
      </c>
      <c r="P494" s="33">
        <f>IF(Tabela1[[#This Row],[Status]]="✔️",Tabela1[[#This Row],[Peso]],IF(Tabela1[[#This Row],[Status]]="✔️✔️",Tabela1[[#This Row],[Peso]]/2,0))</f>
        <v>3</v>
      </c>
      <c r="Q49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94" s="33" t="s">
        <v>130</v>
      </c>
      <c r="S494" s="37" t="s">
        <v>132</v>
      </c>
    </row>
    <row r="495" spans="8:19" ht="27.6" x14ac:dyDescent="0.3">
      <c r="H495" s="32" t="s">
        <v>54</v>
      </c>
      <c r="I495" s="33" t="s">
        <v>25</v>
      </c>
      <c r="J495" s="34" t="s">
        <v>29</v>
      </c>
      <c r="K495" s="35" t="s">
        <v>290</v>
      </c>
      <c r="L495" s="33" t="s">
        <v>162</v>
      </c>
      <c r="M495" s="33">
        <v>2424</v>
      </c>
      <c r="N495" s="36"/>
      <c r="O495" s="33">
        <v>3</v>
      </c>
      <c r="P495" s="33">
        <f>IF(Tabela1[[#This Row],[Status]]="✔️",Tabela1[[#This Row],[Peso]],IF(Tabela1[[#This Row],[Status]]="✔️✔️",Tabela1[[#This Row],[Peso]]/2,0))</f>
        <v>0</v>
      </c>
      <c r="Q49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95" s="33" t="s">
        <v>130</v>
      </c>
      <c r="S495" s="37" t="s">
        <v>132</v>
      </c>
    </row>
    <row r="496" spans="8:19" ht="41.4" x14ac:dyDescent="0.3">
      <c r="H496" s="32" t="s">
        <v>54</v>
      </c>
      <c r="I496" s="33" t="s">
        <v>25</v>
      </c>
      <c r="J496" s="34" t="s">
        <v>449</v>
      </c>
      <c r="K496" s="35" t="s">
        <v>290</v>
      </c>
      <c r="L496" s="33" t="s">
        <v>163</v>
      </c>
      <c r="M496" s="33">
        <v>2424</v>
      </c>
      <c r="N496" s="36"/>
      <c r="O496" s="33">
        <v>3</v>
      </c>
      <c r="P496" s="33">
        <f>IF(Tabela1[[#This Row],[Status]]="✔️",Tabela1[[#This Row],[Peso]],IF(Tabela1[[#This Row],[Status]]="✔️✔️",Tabela1[[#This Row],[Peso]]/2,0))</f>
        <v>0</v>
      </c>
      <c r="Q49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96" s="33" t="s">
        <v>130</v>
      </c>
      <c r="S496" s="37" t="s">
        <v>132</v>
      </c>
    </row>
    <row r="497" spans="8:19" ht="41.4" x14ac:dyDescent="0.3">
      <c r="H497" s="32" t="s">
        <v>54</v>
      </c>
      <c r="I497" s="33" t="s">
        <v>41</v>
      </c>
      <c r="J497" s="34" t="s">
        <v>442</v>
      </c>
      <c r="K497" s="35" t="s">
        <v>290</v>
      </c>
      <c r="L497" s="33" t="s">
        <v>47</v>
      </c>
      <c r="M497" s="33">
        <v>3184</v>
      </c>
      <c r="N497" s="36"/>
      <c r="O497" s="33">
        <v>3</v>
      </c>
      <c r="P497" s="33">
        <f>IF(Tabela1[[#This Row],[Status]]="✔️",Tabela1[[#This Row],[Peso]],IF(Tabela1[[#This Row],[Status]]="✔️✔️",Tabela1[[#This Row],[Peso]]/2,0))</f>
        <v>0</v>
      </c>
      <c r="Q49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97" s="33" t="s">
        <v>130</v>
      </c>
      <c r="S497" s="37" t="s">
        <v>132</v>
      </c>
    </row>
    <row r="498" spans="8:19" ht="41.4" x14ac:dyDescent="0.3">
      <c r="H498" s="32" t="s">
        <v>54</v>
      </c>
      <c r="I498" s="33" t="s">
        <v>41</v>
      </c>
      <c r="J498" s="34" t="s">
        <v>443</v>
      </c>
      <c r="K498" s="35" t="s">
        <v>290</v>
      </c>
      <c r="L498" s="33" t="s">
        <v>47</v>
      </c>
      <c r="M498" s="33">
        <v>3184</v>
      </c>
      <c r="N498" s="36"/>
      <c r="O498" s="33">
        <v>2</v>
      </c>
      <c r="P498" s="33">
        <f>IF(Tabela1[[#This Row],[Status]]="✔️",Tabela1[[#This Row],[Peso]],IF(Tabela1[[#This Row],[Status]]="✔️✔️",Tabela1[[#This Row],[Peso]]/2,0))</f>
        <v>0</v>
      </c>
      <c r="Q498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498" s="33" t="s">
        <v>130</v>
      </c>
      <c r="S498" s="37" t="s">
        <v>132</v>
      </c>
    </row>
    <row r="499" spans="8:19" ht="27.6" x14ac:dyDescent="0.3">
      <c r="H499" s="32" t="s">
        <v>54</v>
      </c>
      <c r="I499" s="33" t="s">
        <v>30</v>
      </c>
      <c r="J499" s="34" t="s">
        <v>438</v>
      </c>
      <c r="K499" s="35" t="s">
        <v>0</v>
      </c>
      <c r="L499" s="33"/>
      <c r="M499" s="33"/>
      <c r="N499" s="36"/>
      <c r="O499" s="33">
        <v>3</v>
      </c>
      <c r="P499" s="33">
        <f>IF(Tabela1[[#This Row],[Status]]="✔️",Tabela1[[#This Row],[Peso]],IF(Tabela1[[#This Row],[Status]]="✔️✔️",Tabela1[[#This Row],[Peso]]/2,0))</f>
        <v>3</v>
      </c>
      <c r="Q49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99" s="33" t="s">
        <v>130</v>
      </c>
      <c r="S499" s="37" t="s">
        <v>128</v>
      </c>
    </row>
    <row r="500" spans="8:19" ht="41.4" x14ac:dyDescent="0.3">
      <c r="H500" s="32" t="s">
        <v>54</v>
      </c>
      <c r="I500" s="33" t="s">
        <v>10</v>
      </c>
      <c r="J500" s="34" t="s">
        <v>444</v>
      </c>
      <c r="K500" s="35" t="s">
        <v>290</v>
      </c>
      <c r="L500" s="33" t="s">
        <v>157</v>
      </c>
      <c r="M500" s="33">
        <v>6346</v>
      </c>
      <c r="N500" s="36"/>
      <c r="O500" s="33">
        <v>3</v>
      </c>
      <c r="P500" s="33">
        <f>IF(Tabela1[[#This Row],[Status]]="✔️",Tabela1[[#This Row],[Peso]],IF(Tabela1[[#This Row],[Status]]="✔️✔️",Tabela1[[#This Row],[Peso]]/2,0))</f>
        <v>0</v>
      </c>
      <c r="Q50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00" s="33" t="s">
        <v>130</v>
      </c>
      <c r="S500" s="37" t="s">
        <v>132</v>
      </c>
    </row>
    <row r="501" spans="8:19" ht="27.6" x14ac:dyDescent="0.3">
      <c r="H501" s="32" t="s">
        <v>54</v>
      </c>
      <c r="I501" s="33" t="s">
        <v>10</v>
      </c>
      <c r="J501" s="34" t="s">
        <v>11</v>
      </c>
      <c r="K501" s="35" t="s">
        <v>0</v>
      </c>
      <c r="L501" s="33"/>
      <c r="M501" s="33"/>
      <c r="N501" s="36"/>
      <c r="O501" s="33">
        <v>3</v>
      </c>
      <c r="P501" s="33">
        <f>IF(Tabela1[[#This Row],[Status]]="✔️",Tabela1[[#This Row],[Peso]],IF(Tabela1[[#This Row],[Status]]="✔️✔️",Tabela1[[#This Row],[Peso]]/2,0))</f>
        <v>3</v>
      </c>
      <c r="Q50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01" s="33" t="s">
        <v>130</v>
      </c>
      <c r="S501" s="37" t="s">
        <v>128</v>
      </c>
    </row>
    <row r="502" spans="8:19" ht="27.6" x14ac:dyDescent="0.3">
      <c r="H502" s="32" t="s">
        <v>54</v>
      </c>
      <c r="I502" s="33" t="s">
        <v>10</v>
      </c>
      <c r="J502" s="34" t="s">
        <v>439</v>
      </c>
      <c r="K502" s="35" t="s">
        <v>0</v>
      </c>
      <c r="L502" s="33"/>
      <c r="M502" s="33"/>
      <c r="N502" s="36"/>
      <c r="O502" s="33">
        <v>3</v>
      </c>
      <c r="P502" s="33">
        <f>IF(Tabela1[[#This Row],[Status]]="✔️",Tabela1[[#This Row],[Peso]],IF(Tabela1[[#This Row],[Status]]="✔️✔️",Tabela1[[#This Row],[Peso]]/2,0))</f>
        <v>3</v>
      </c>
      <c r="Q50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02" s="33" t="s">
        <v>130</v>
      </c>
      <c r="S502" s="37" t="s">
        <v>128</v>
      </c>
    </row>
    <row r="503" spans="8:19" ht="27.6" x14ac:dyDescent="0.3">
      <c r="H503" s="32" t="s">
        <v>54</v>
      </c>
      <c r="I503" s="33" t="s">
        <v>10</v>
      </c>
      <c r="J503" s="34" t="s">
        <v>440</v>
      </c>
      <c r="K503" s="35" t="s">
        <v>0</v>
      </c>
      <c r="L503" s="33"/>
      <c r="M503" s="33"/>
      <c r="N503" s="36"/>
      <c r="O503" s="33">
        <v>3</v>
      </c>
      <c r="P503" s="33">
        <f>IF(Tabela1[[#This Row],[Status]]="✔️",Tabela1[[#This Row],[Peso]],IF(Tabela1[[#This Row],[Status]]="✔️✔️",Tabela1[[#This Row],[Peso]]/2,0))</f>
        <v>3</v>
      </c>
      <c r="Q50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03" s="33" t="s">
        <v>130</v>
      </c>
      <c r="S503" s="37" t="s">
        <v>128</v>
      </c>
    </row>
    <row r="504" spans="8:19" ht="27.6" x14ac:dyDescent="0.3">
      <c r="H504" s="32" t="s">
        <v>54</v>
      </c>
      <c r="I504" s="33" t="s">
        <v>12</v>
      </c>
      <c r="J504" s="34" t="s">
        <v>13</v>
      </c>
      <c r="K504" s="35" t="s">
        <v>0</v>
      </c>
      <c r="L504" s="33"/>
      <c r="M504" s="33"/>
      <c r="N504" s="36"/>
      <c r="O504" s="33">
        <v>2</v>
      </c>
      <c r="P504" s="33">
        <f>IF(Tabela1[[#This Row],[Status]]="✔️",Tabela1[[#This Row],[Peso]],IF(Tabela1[[#This Row],[Status]]="✔️✔️",Tabela1[[#This Row],[Peso]]/2,0))</f>
        <v>2</v>
      </c>
      <c r="Q50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504" s="33" t="s">
        <v>130</v>
      </c>
      <c r="S504" s="37" t="s">
        <v>128</v>
      </c>
    </row>
    <row r="505" spans="8:19" ht="41.4" x14ac:dyDescent="0.3">
      <c r="H505" s="32" t="s">
        <v>54</v>
      </c>
      <c r="I505" s="33" t="s">
        <v>14</v>
      </c>
      <c r="J505" s="34" t="s">
        <v>15</v>
      </c>
      <c r="K505" s="35" t="s">
        <v>290</v>
      </c>
      <c r="L505" s="33" t="s">
        <v>287</v>
      </c>
      <c r="M505" s="33">
        <v>2191</v>
      </c>
      <c r="N505" s="36"/>
      <c r="O505" s="33">
        <v>3</v>
      </c>
      <c r="P505" s="33">
        <f>IF(Tabela1[[#This Row],[Status]]="✔️",Tabela1[[#This Row],[Peso]],IF(Tabela1[[#This Row],[Status]]="✔️✔️",Tabela1[[#This Row],[Peso]]/2,0))</f>
        <v>0</v>
      </c>
      <c r="Q50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05" s="33" t="s">
        <v>130</v>
      </c>
      <c r="S505" s="37" t="s">
        <v>128</v>
      </c>
    </row>
    <row r="506" spans="8:19" ht="27.6" x14ac:dyDescent="0.3">
      <c r="H506" s="32" t="s">
        <v>54</v>
      </c>
      <c r="I506" s="33" t="s">
        <v>14</v>
      </c>
      <c r="J506" s="34" t="s">
        <v>16</v>
      </c>
      <c r="K506" s="35" t="s">
        <v>0</v>
      </c>
      <c r="L506" s="33"/>
      <c r="M506" s="33"/>
      <c r="N506" s="36"/>
      <c r="O506" s="33">
        <v>1</v>
      </c>
      <c r="P506" s="33">
        <f>IF(Tabela1[[#This Row],[Status]]="✔️",Tabela1[[#This Row],[Peso]],IF(Tabela1[[#This Row],[Status]]="✔️✔️",Tabela1[[#This Row],[Peso]]/2,0))</f>
        <v>1</v>
      </c>
      <c r="Q50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506" s="33" t="s">
        <v>130</v>
      </c>
      <c r="S506" s="37" t="s">
        <v>128</v>
      </c>
    </row>
    <row r="507" spans="8:19" ht="27.6" x14ac:dyDescent="0.3">
      <c r="H507" s="32" t="s">
        <v>54</v>
      </c>
      <c r="I507" s="33" t="s">
        <v>17</v>
      </c>
      <c r="J507" s="34" t="s">
        <v>18</v>
      </c>
      <c r="K507" s="35" t="s">
        <v>0</v>
      </c>
      <c r="L507" s="33"/>
      <c r="M507" s="33"/>
      <c r="N507" s="36"/>
      <c r="O507" s="33">
        <v>3</v>
      </c>
      <c r="P507" s="33">
        <f>IF(Tabela1[[#This Row],[Status]]="✔️",Tabela1[[#This Row],[Peso]],IF(Tabela1[[#This Row],[Status]]="✔️✔️",Tabela1[[#This Row],[Peso]]/2,0))</f>
        <v>3</v>
      </c>
      <c r="Q50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07" s="33" t="s">
        <v>130</v>
      </c>
      <c r="S507" s="37" t="s">
        <v>128</v>
      </c>
    </row>
    <row r="508" spans="8:19" ht="27.6" x14ac:dyDescent="0.3">
      <c r="H508" s="32" t="s">
        <v>54</v>
      </c>
      <c r="I508" s="33" t="s">
        <v>17</v>
      </c>
      <c r="J508" s="34" t="s">
        <v>19</v>
      </c>
      <c r="K508" s="35" t="s">
        <v>291</v>
      </c>
      <c r="L508" s="33" t="s">
        <v>248</v>
      </c>
      <c r="M508" s="33">
        <v>1634</v>
      </c>
      <c r="N508" s="36"/>
      <c r="O508" s="33">
        <v>3</v>
      </c>
      <c r="P508" s="33">
        <f>IF(Tabela1[[#This Row],[Status]]="✔️",Tabela1[[#This Row],[Peso]],IF(Tabela1[[#This Row],[Status]]="✔️✔️",Tabela1[[#This Row],[Peso]]/2,0))</f>
        <v>1.5</v>
      </c>
      <c r="Q508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508" s="33" t="s">
        <v>130</v>
      </c>
      <c r="S508" s="37" t="s">
        <v>128</v>
      </c>
    </row>
    <row r="509" spans="8:19" ht="41.4" x14ac:dyDescent="0.3">
      <c r="H509" s="32" t="s">
        <v>54</v>
      </c>
      <c r="I509" s="33" t="s">
        <v>20</v>
      </c>
      <c r="J509" s="34" t="s">
        <v>21</v>
      </c>
      <c r="K509" s="35" t="s">
        <v>0</v>
      </c>
      <c r="L509" s="33" t="s">
        <v>160</v>
      </c>
      <c r="M509" s="33"/>
      <c r="N509" s="36"/>
      <c r="O509" s="33">
        <v>3</v>
      </c>
      <c r="P509" s="33">
        <f>IF(Tabela1[[#This Row],[Status]]="✔️",Tabela1[[#This Row],[Peso]],IF(Tabela1[[#This Row],[Status]]="✔️✔️",Tabela1[[#This Row],[Peso]]/2,0))</f>
        <v>3</v>
      </c>
      <c r="Q50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09" s="33" t="s">
        <v>130</v>
      </c>
      <c r="S509" s="37" t="s">
        <v>128</v>
      </c>
    </row>
    <row r="510" spans="8:19" ht="27.6" x14ac:dyDescent="0.3">
      <c r="H510" s="32" t="s">
        <v>54</v>
      </c>
      <c r="I510" s="33" t="s">
        <v>20</v>
      </c>
      <c r="J510" s="34" t="s">
        <v>441</v>
      </c>
      <c r="K510" s="35" t="s">
        <v>290</v>
      </c>
      <c r="L510" s="33" t="s">
        <v>161</v>
      </c>
      <c r="M510" s="33">
        <v>6244</v>
      </c>
      <c r="N510" s="36"/>
      <c r="O510" s="33">
        <v>1</v>
      </c>
      <c r="P510" s="33">
        <f>IF(Tabela1[[#This Row],[Status]]="✔️",Tabela1[[#This Row],[Peso]],IF(Tabela1[[#This Row],[Status]]="✔️✔️",Tabela1[[#This Row],[Peso]]/2,0))</f>
        <v>0</v>
      </c>
      <c r="Q51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510" s="33" t="s">
        <v>130</v>
      </c>
      <c r="S510" s="37" t="s">
        <v>128</v>
      </c>
    </row>
    <row r="511" spans="8:19" ht="27.6" x14ac:dyDescent="0.3">
      <c r="H511" s="32" t="s">
        <v>54</v>
      </c>
      <c r="I511" s="33" t="s">
        <v>25</v>
      </c>
      <c r="J511" s="34" t="s">
        <v>28</v>
      </c>
      <c r="K511" s="35" t="s">
        <v>0</v>
      </c>
      <c r="L511" s="33"/>
      <c r="M511" s="33"/>
      <c r="N511" s="36"/>
      <c r="O511" s="33">
        <v>3</v>
      </c>
      <c r="P511" s="33">
        <f>IF(Tabela1[[#This Row],[Status]]="✔️",Tabela1[[#This Row],[Peso]],IF(Tabela1[[#This Row],[Status]]="✔️✔️",Tabela1[[#This Row],[Peso]]/2,0))</f>
        <v>3</v>
      </c>
      <c r="Q51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11" s="33" t="s">
        <v>130</v>
      </c>
      <c r="S511" s="37" t="s">
        <v>128</v>
      </c>
    </row>
    <row r="512" spans="8:19" ht="27.6" x14ac:dyDescent="0.3">
      <c r="H512" s="32" t="s">
        <v>54</v>
      </c>
      <c r="I512" s="33" t="s">
        <v>25</v>
      </c>
      <c r="J512" s="34" t="s">
        <v>29</v>
      </c>
      <c r="K512" s="35" t="s">
        <v>290</v>
      </c>
      <c r="L512" s="33" t="s">
        <v>162</v>
      </c>
      <c r="M512" s="33">
        <v>2424</v>
      </c>
      <c r="N512" s="36"/>
      <c r="O512" s="33">
        <v>3</v>
      </c>
      <c r="P512" s="33">
        <f>IF(Tabela1[[#This Row],[Status]]="✔️",Tabela1[[#This Row],[Peso]],IF(Tabela1[[#This Row],[Status]]="✔️✔️",Tabela1[[#This Row],[Peso]]/2,0))</f>
        <v>0</v>
      </c>
      <c r="Q51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12" s="33" t="s">
        <v>130</v>
      </c>
      <c r="S512" s="37" t="s">
        <v>128</v>
      </c>
    </row>
    <row r="513" spans="8:19" ht="27.6" x14ac:dyDescent="0.3">
      <c r="H513" s="32" t="s">
        <v>54</v>
      </c>
      <c r="I513" s="33" t="s">
        <v>25</v>
      </c>
      <c r="J513" s="34" t="s">
        <v>449</v>
      </c>
      <c r="K513" s="35" t="s">
        <v>291</v>
      </c>
      <c r="L513" s="33" t="s">
        <v>248</v>
      </c>
      <c r="M513" s="33">
        <v>2424</v>
      </c>
      <c r="N513" s="36"/>
      <c r="O513" s="33">
        <v>3</v>
      </c>
      <c r="P513" s="33">
        <f>IF(Tabela1[[#This Row],[Status]]="✔️",Tabela1[[#This Row],[Peso]],IF(Tabela1[[#This Row],[Status]]="✔️✔️",Tabela1[[#This Row],[Peso]]/2,0))</f>
        <v>1.5</v>
      </c>
      <c r="Q513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513" s="33" t="s">
        <v>130</v>
      </c>
      <c r="S513" s="37" t="s">
        <v>128</v>
      </c>
    </row>
    <row r="514" spans="8:19" ht="41.4" x14ac:dyDescent="0.3">
      <c r="H514" s="32" t="s">
        <v>54</v>
      </c>
      <c r="I514" s="33" t="s">
        <v>41</v>
      </c>
      <c r="J514" s="34" t="s">
        <v>442</v>
      </c>
      <c r="K514" s="35" t="s">
        <v>290</v>
      </c>
      <c r="L514" s="33" t="s">
        <v>47</v>
      </c>
      <c r="M514" s="33">
        <v>3184</v>
      </c>
      <c r="N514" s="36"/>
      <c r="O514" s="33">
        <v>3</v>
      </c>
      <c r="P514" s="33">
        <f>IF(Tabela1[[#This Row],[Status]]="✔️",Tabela1[[#This Row],[Peso]],IF(Tabela1[[#This Row],[Status]]="✔️✔️",Tabela1[[#This Row],[Peso]]/2,0))</f>
        <v>0</v>
      </c>
      <c r="Q51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14" s="33" t="s">
        <v>130</v>
      </c>
      <c r="S514" s="37" t="s">
        <v>128</v>
      </c>
    </row>
    <row r="515" spans="8:19" ht="41.4" x14ac:dyDescent="0.3">
      <c r="H515" s="32" t="s">
        <v>54</v>
      </c>
      <c r="I515" s="33" t="s">
        <v>41</v>
      </c>
      <c r="J515" s="34" t="s">
        <v>443</v>
      </c>
      <c r="K515" s="35" t="s">
        <v>290</v>
      </c>
      <c r="L515" s="33" t="s">
        <v>47</v>
      </c>
      <c r="M515" s="33">
        <v>3184</v>
      </c>
      <c r="N515" s="36"/>
      <c r="O515" s="33">
        <v>2</v>
      </c>
      <c r="P515" s="33">
        <f>IF(Tabela1[[#This Row],[Status]]="✔️",Tabela1[[#This Row],[Peso]],IF(Tabela1[[#This Row],[Status]]="✔️✔️",Tabela1[[#This Row],[Peso]]/2,0))</f>
        <v>0</v>
      </c>
      <c r="Q515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515" s="33" t="s">
        <v>130</v>
      </c>
      <c r="S515" s="37" t="s">
        <v>128</v>
      </c>
    </row>
    <row r="516" spans="8:19" ht="27.6" x14ac:dyDescent="0.3">
      <c r="H516" s="32" t="s">
        <v>54</v>
      </c>
      <c r="I516" s="33" t="s">
        <v>10</v>
      </c>
      <c r="J516" s="34" t="s">
        <v>444</v>
      </c>
      <c r="K516" s="35" t="s">
        <v>291</v>
      </c>
      <c r="L516" s="33" t="s">
        <v>248</v>
      </c>
      <c r="M516" s="33"/>
      <c r="N516" s="36"/>
      <c r="O516" s="33">
        <v>3</v>
      </c>
      <c r="P516" s="33">
        <f>IF(Tabela1[[#This Row],[Status]]="✔️",Tabela1[[#This Row],[Peso]],IF(Tabela1[[#This Row],[Status]]="✔️✔️",Tabela1[[#This Row],[Peso]]/2,0))</f>
        <v>1.5</v>
      </c>
      <c r="Q516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516" s="33" t="s">
        <v>130</v>
      </c>
      <c r="S516" s="37" t="s">
        <v>128</v>
      </c>
    </row>
    <row r="517" spans="8:19" ht="41.4" x14ac:dyDescent="0.3">
      <c r="H517" s="32" t="s">
        <v>54</v>
      </c>
      <c r="I517" s="33" t="s">
        <v>30</v>
      </c>
      <c r="J517" s="34" t="s">
        <v>438</v>
      </c>
      <c r="K517" s="35" t="s">
        <v>0</v>
      </c>
      <c r="L517" s="33"/>
      <c r="M517" s="33"/>
      <c r="N517" s="36"/>
      <c r="O517" s="33">
        <v>3</v>
      </c>
      <c r="P517" s="33">
        <f>IF(Tabela1[[#This Row],[Status]]="✔️",Tabela1[[#This Row],[Peso]],IF(Tabela1[[#This Row],[Status]]="✔️✔️",Tabela1[[#This Row],[Peso]]/2,0))</f>
        <v>3</v>
      </c>
      <c r="Q51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17" s="33" t="s">
        <v>187</v>
      </c>
      <c r="S517" s="37" t="s">
        <v>132</v>
      </c>
    </row>
    <row r="518" spans="8:19" ht="41.4" x14ac:dyDescent="0.3">
      <c r="H518" s="32" t="s">
        <v>54</v>
      </c>
      <c r="I518" s="33" t="s">
        <v>10</v>
      </c>
      <c r="J518" s="34" t="s">
        <v>11</v>
      </c>
      <c r="K518" s="35" t="s">
        <v>0</v>
      </c>
      <c r="L518" s="33"/>
      <c r="M518" s="33"/>
      <c r="N518" s="36"/>
      <c r="O518" s="33">
        <v>3</v>
      </c>
      <c r="P518" s="33">
        <f>IF(Tabela1[[#This Row],[Status]]="✔️",Tabela1[[#This Row],[Peso]],IF(Tabela1[[#This Row],[Status]]="✔️✔️",Tabela1[[#This Row],[Peso]]/2,0))</f>
        <v>3</v>
      </c>
      <c r="Q51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18" s="33" t="s">
        <v>187</v>
      </c>
      <c r="S518" s="37" t="s">
        <v>132</v>
      </c>
    </row>
    <row r="519" spans="8:19" ht="41.4" x14ac:dyDescent="0.3">
      <c r="H519" s="32" t="s">
        <v>54</v>
      </c>
      <c r="I519" s="33" t="s">
        <v>10</v>
      </c>
      <c r="J519" s="34" t="s">
        <v>439</v>
      </c>
      <c r="K519" s="35" t="s">
        <v>0</v>
      </c>
      <c r="L519" s="33"/>
      <c r="M519" s="33"/>
      <c r="N519" s="36"/>
      <c r="O519" s="33">
        <v>3</v>
      </c>
      <c r="P519" s="33">
        <f>IF(Tabela1[[#This Row],[Status]]="✔️",Tabela1[[#This Row],[Peso]],IF(Tabela1[[#This Row],[Status]]="✔️✔️",Tabela1[[#This Row],[Peso]]/2,0))</f>
        <v>3</v>
      </c>
      <c r="Q51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19" s="33" t="s">
        <v>187</v>
      </c>
      <c r="S519" s="37" t="s">
        <v>132</v>
      </c>
    </row>
    <row r="520" spans="8:19" ht="41.4" x14ac:dyDescent="0.3">
      <c r="H520" s="32" t="s">
        <v>54</v>
      </c>
      <c r="I520" s="33" t="s">
        <v>10</v>
      </c>
      <c r="J520" s="34" t="s">
        <v>440</v>
      </c>
      <c r="K520" s="35" t="s">
        <v>0</v>
      </c>
      <c r="L520" s="33"/>
      <c r="M520" s="33"/>
      <c r="N520" s="36"/>
      <c r="O520" s="33">
        <v>3</v>
      </c>
      <c r="P520" s="33">
        <f>IF(Tabela1[[#This Row],[Status]]="✔️",Tabela1[[#This Row],[Peso]],IF(Tabela1[[#This Row],[Status]]="✔️✔️",Tabela1[[#This Row],[Peso]]/2,0))</f>
        <v>3</v>
      </c>
      <c r="Q52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20" s="33" t="s">
        <v>187</v>
      </c>
      <c r="S520" s="37" t="s">
        <v>132</v>
      </c>
    </row>
    <row r="521" spans="8:19" ht="41.4" x14ac:dyDescent="0.3">
      <c r="H521" s="32" t="s">
        <v>54</v>
      </c>
      <c r="I521" s="33" t="s">
        <v>12</v>
      </c>
      <c r="J521" s="34" t="s">
        <v>13</v>
      </c>
      <c r="K521" s="35" t="s">
        <v>290</v>
      </c>
      <c r="L521" s="33" t="s">
        <v>221</v>
      </c>
      <c r="M521" s="33">
        <v>5178</v>
      </c>
      <c r="N521" s="36"/>
      <c r="O521" s="33">
        <v>2</v>
      </c>
      <c r="P521" s="33">
        <f>IF(Tabela1[[#This Row],[Status]]="✔️",Tabela1[[#This Row],[Peso]],IF(Tabela1[[#This Row],[Status]]="✔️✔️",Tabela1[[#This Row],[Peso]]/2,0))</f>
        <v>0</v>
      </c>
      <c r="Q52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521" s="33" t="s">
        <v>187</v>
      </c>
      <c r="S521" s="37" t="s">
        <v>132</v>
      </c>
    </row>
    <row r="522" spans="8:19" ht="41.4" x14ac:dyDescent="0.3">
      <c r="H522" s="32" t="s">
        <v>54</v>
      </c>
      <c r="I522" s="33" t="s">
        <v>14</v>
      </c>
      <c r="J522" s="34" t="s">
        <v>15</v>
      </c>
      <c r="K522" s="35" t="s">
        <v>290</v>
      </c>
      <c r="L522" s="33" t="s">
        <v>216</v>
      </c>
      <c r="M522" s="33">
        <v>4225</v>
      </c>
      <c r="N522" s="36"/>
      <c r="O522" s="33">
        <v>3</v>
      </c>
      <c r="P522" s="33">
        <f>IF(Tabela1[[#This Row],[Status]]="✔️",Tabela1[[#This Row],[Peso]],IF(Tabela1[[#This Row],[Status]]="✔️✔️",Tabela1[[#This Row],[Peso]]/2,0))</f>
        <v>0</v>
      </c>
      <c r="Q52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22" s="33" t="s">
        <v>187</v>
      </c>
      <c r="S522" s="37" t="s">
        <v>132</v>
      </c>
    </row>
    <row r="523" spans="8:19" ht="41.4" x14ac:dyDescent="0.3">
      <c r="H523" s="32" t="s">
        <v>54</v>
      </c>
      <c r="I523" s="33" t="s">
        <v>14</v>
      </c>
      <c r="J523" s="34" t="s">
        <v>16</v>
      </c>
      <c r="K523" s="35" t="s">
        <v>0</v>
      </c>
      <c r="L523" s="33"/>
      <c r="M523" s="33"/>
      <c r="N523" s="36"/>
      <c r="O523" s="33">
        <v>1</v>
      </c>
      <c r="P523" s="33">
        <f>IF(Tabela1[[#This Row],[Status]]="✔️",Tabela1[[#This Row],[Peso]],IF(Tabela1[[#This Row],[Status]]="✔️✔️",Tabela1[[#This Row],[Peso]]/2,0))</f>
        <v>1</v>
      </c>
      <c r="Q52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523" s="33" t="s">
        <v>187</v>
      </c>
      <c r="S523" s="37" t="s">
        <v>132</v>
      </c>
    </row>
    <row r="524" spans="8:19" ht="41.4" x14ac:dyDescent="0.3">
      <c r="H524" s="32" t="s">
        <v>54</v>
      </c>
      <c r="I524" s="33" t="s">
        <v>17</v>
      </c>
      <c r="J524" s="34" t="s">
        <v>18</v>
      </c>
      <c r="K524" s="35" t="s">
        <v>0</v>
      </c>
      <c r="L524" s="33"/>
      <c r="M524" s="33"/>
      <c r="N524" s="36"/>
      <c r="O524" s="33">
        <v>3</v>
      </c>
      <c r="P524" s="33">
        <f>IF(Tabela1[[#This Row],[Status]]="✔️",Tabela1[[#This Row],[Peso]],IF(Tabela1[[#This Row],[Status]]="✔️✔️",Tabela1[[#This Row],[Peso]]/2,0))</f>
        <v>3</v>
      </c>
      <c r="Q52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24" s="33" t="s">
        <v>187</v>
      </c>
      <c r="S524" s="37" t="s">
        <v>132</v>
      </c>
    </row>
    <row r="525" spans="8:19" ht="41.4" x14ac:dyDescent="0.3">
      <c r="H525" s="32" t="s">
        <v>54</v>
      </c>
      <c r="I525" s="33" t="s">
        <v>17</v>
      </c>
      <c r="J525" s="34" t="s">
        <v>19</v>
      </c>
      <c r="K525" s="35" t="s">
        <v>290</v>
      </c>
      <c r="L525" s="33" t="s">
        <v>222</v>
      </c>
      <c r="M525" s="33">
        <v>9315</v>
      </c>
      <c r="N525" s="36"/>
      <c r="O525" s="33">
        <v>1</v>
      </c>
      <c r="P525" s="33">
        <f>IF(Tabela1[[#This Row],[Status]]="✔️",Tabela1[[#This Row],[Peso]],IF(Tabela1[[#This Row],[Status]]="✔️✔️",Tabela1[[#This Row],[Peso]]/2,0))</f>
        <v>0</v>
      </c>
      <c r="Q52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525" s="33" t="s">
        <v>187</v>
      </c>
      <c r="S525" s="37" t="s">
        <v>132</v>
      </c>
    </row>
    <row r="526" spans="8:19" ht="41.4" x14ac:dyDescent="0.3">
      <c r="H526" s="32" t="s">
        <v>54</v>
      </c>
      <c r="I526" s="33" t="s">
        <v>20</v>
      </c>
      <c r="J526" s="34" t="s">
        <v>21</v>
      </c>
      <c r="K526" s="35" t="s">
        <v>290</v>
      </c>
      <c r="L526" s="33" t="s">
        <v>223</v>
      </c>
      <c r="M526" s="33">
        <v>9552</v>
      </c>
      <c r="N526" s="36"/>
      <c r="O526" s="33">
        <v>3</v>
      </c>
      <c r="P526" s="33">
        <f>IF(Tabela1[[#This Row],[Status]]="✔️",Tabela1[[#This Row],[Peso]],IF(Tabela1[[#This Row],[Status]]="✔️✔️",Tabela1[[#This Row],[Peso]]/2,0))</f>
        <v>0</v>
      </c>
      <c r="Q52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26" s="33" t="s">
        <v>187</v>
      </c>
      <c r="S526" s="37" t="s">
        <v>132</v>
      </c>
    </row>
    <row r="527" spans="8:19" ht="41.4" x14ac:dyDescent="0.3">
      <c r="H527" s="32" t="s">
        <v>54</v>
      </c>
      <c r="I527" s="33" t="s">
        <v>20</v>
      </c>
      <c r="J527" s="34" t="s">
        <v>441</v>
      </c>
      <c r="K527" s="35" t="s">
        <v>290</v>
      </c>
      <c r="L527" s="33" t="s">
        <v>224</v>
      </c>
      <c r="M527" s="33">
        <v>7447</v>
      </c>
      <c r="N527" s="36"/>
      <c r="O527" s="33">
        <v>1</v>
      </c>
      <c r="P527" s="33">
        <f>IF(Tabela1[[#This Row],[Status]]="✔️",Tabela1[[#This Row],[Peso]],IF(Tabela1[[#This Row],[Status]]="✔️✔️",Tabela1[[#This Row],[Peso]]/2,0))</f>
        <v>0</v>
      </c>
      <c r="Q52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527" s="33" t="s">
        <v>187</v>
      </c>
      <c r="S527" s="37" t="s">
        <v>132</v>
      </c>
    </row>
    <row r="528" spans="8:19" ht="41.4" x14ac:dyDescent="0.3">
      <c r="H528" s="32" t="s">
        <v>54</v>
      </c>
      <c r="I528" s="33" t="s">
        <v>25</v>
      </c>
      <c r="J528" s="34" t="s">
        <v>28</v>
      </c>
      <c r="K528" s="35" t="s">
        <v>290</v>
      </c>
      <c r="L528" s="33" t="s">
        <v>226</v>
      </c>
      <c r="M528" s="33">
        <v>3445</v>
      </c>
      <c r="N528" s="36"/>
      <c r="O528" s="33">
        <v>3</v>
      </c>
      <c r="P528" s="33">
        <f>IF(Tabela1[[#This Row],[Status]]="✔️",Tabela1[[#This Row],[Peso]],IF(Tabela1[[#This Row],[Status]]="✔️✔️",Tabela1[[#This Row],[Peso]]/2,0))</f>
        <v>0</v>
      </c>
      <c r="Q52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28" s="33" t="s">
        <v>187</v>
      </c>
      <c r="S528" s="37" t="s">
        <v>132</v>
      </c>
    </row>
    <row r="529" spans="8:19" ht="41.4" x14ac:dyDescent="0.3">
      <c r="H529" s="32" t="s">
        <v>54</v>
      </c>
      <c r="I529" s="33" t="s">
        <v>25</v>
      </c>
      <c r="J529" s="34" t="s">
        <v>29</v>
      </c>
      <c r="K529" s="35" t="s">
        <v>0</v>
      </c>
      <c r="L529" s="33"/>
      <c r="M529" s="33"/>
      <c r="N529" s="36"/>
      <c r="O529" s="33">
        <v>3</v>
      </c>
      <c r="P529" s="33">
        <f>IF(Tabela1[[#This Row],[Status]]="✔️",Tabela1[[#This Row],[Peso]],IF(Tabela1[[#This Row],[Status]]="✔️✔️",Tabela1[[#This Row],[Peso]]/2,0))</f>
        <v>3</v>
      </c>
      <c r="Q52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29" s="33" t="s">
        <v>187</v>
      </c>
      <c r="S529" s="37" t="s">
        <v>132</v>
      </c>
    </row>
    <row r="530" spans="8:19" ht="41.4" x14ac:dyDescent="0.3">
      <c r="H530" s="32" t="s">
        <v>54</v>
      </c>
      <c r="I530" s="33" t="s">
        <v>25</v>
      </c>
      <c r="J530" s="34" t="s">
        <v>449</v>
      </c>
      <c r="K530" s="35" t="s">
        <v>290</v>
      </c>
      <c r="L530" s="33" t="s">
        <v>225</v>
      </c>
      <c r="M530" s="33">
        <v>1094</v>
      </c>
      <c r="N530" s="36"/>
      <c r="O530" s="33">
        <v>3</v>
      </c>
      <c r="P530" s="33">
        <f>IF(Tabela1[[#This Row],[Status]]="✔️",Tabela1[[#This Row],[Peso]],IF(Tabela1[[#This Row],[Status]]="✔️✔️",Tabela1[[#This Row],[Peso]]/2,0))</f>
        <v>0</v>
      </c>
      <c r="Q53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30" s="33" t="s">
        <v>187</v>
      </c>
      <c r="S530" s="37" t="s">
        <v>132</v>
      </c>
    </row>
    <row r="531" spans="8:19" ht="41.4" x14ac:dyDescent="0.3">
      <c r="H531" s="32" t="s">
        <v>54</v>
      </c>
      <c r="I531" s="33" t="s">
        <v>41</v>
      </c>
      <c r="J531" s="34" t="s">
        <v>442</v>
      </c>
      <c r="K531" s="35" t="s">
        <v>290</v>
      </c>
      <c r="L531" s="33" t="s">
        <v>47</v>
      </c>
      <c r="M531" s="33">
        <v>9106</v>
      </c>
      <c r="N531" s="36"/>
      <c r="O531" s="33">
        <v>3</v>
      </c>
      <c r="P531" s="33">
        <f>IF(Tabela1[[#This Row],[Status]]="✔️",Tabela1[[#This Row],[Peso]],IF(Tabela1[[#This Row],[Status]]="✔️✔️",Tabela1[[#This Row],[Peso]]/2,0))</f>
        <v>0</v>
      </c>
      <c r="Q53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31" s="33" t="s">
        <v>187</v>
      </c>
      <c r="S531" s="37" t="s">
        <v>132</v>
      </c>
    </row>
    <row r="532" spans="8:19" ht="41.4" x14ac:dyDescent="0.3">
      <c r="H532" s="32" t="s">
        <v>54</v>
      </c>
      <c r="I532" s="33" t="s">
        <v>41</v>
      </c>
      <c r="J532" s="34" t="s">
        <v>443</v>
      </c>
      <c r="K532" s="35" t="s">
        <v>290</v>
      </c>
      <c r="L532" s="33" t="s">
        <v>47</v>
      </c>
      <c r="M532" s="33">
        <v>9106</v>
      </c>
      <c r="N532" s="36"/>
      <c r="O532" s="33">
        <v>2</v>
      </c>
      <c r="P532" s="33">
        <f>IF(Tabela1[[#This Row],[Status]]="✔️",Tabela1[[#This Row],[Peso]],IF(Tabela1[[#This Row],[Status]]="✔️✔️",Tabela1[[#This Row],[Peso]]/2,0))</f>
        <v>0</v>
      </c>
      <c r="Q532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532" s="33" t="s">
        <v>187</v>
      </c>
      <c r="S532" s="37" t="s">
        <v>132</v>
      </c>
    </row>
    <row r="533" spans="8:19" ht="41.4" x14ac:dyDescent="0.3">
      <c r="H533" s="32" t="s">
        <v>54</v>
      </c>
      <c r="I533" s="33" t="s">
        <v>10</v>
      </c>
      <c r="J533" s="34" t="s">
        <v>444</v>
      </c>
      <c r="K533" s="35" t="s">
        <v>290</v>
      </c>
      <c r="L533" s="33" t="s">
        <v>157</v>
      </c>
      <c r="M533" s="33">
        <v>8967</v>
      </c>
      <c r="N533" s="36"/>
      <c r="O533" s="33">
        <v>3</v>
      </c>
      <c r="P533" s="33">
        <f>IF(Tabela1[[#This Row],[Status]]="✔️",Tabela1[[#This Row],[Peso]],IF(Tabela1[[#This Row],[Status]]="✔️✔️",Tabela1[[#This Row],[Peso]]/2,0))</f>
        <v>0</v>
      </c>
      <c r="Q53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33" s="33" t="s">
        <v>187</v>
      </c>
      <c r="S533" s="37" t="s">
        <v>132</v>
      </c>
    </row>
    <row r="534" spans="8:19" ht="27.6" x14ac:dyDescent="0.3">
      <c r="H534" s="32" t="s">
        <v>56</v>
      </c>
      <c r="I534" s="33" t="s">
        <v>30</v>
      </c>
      <c r="J534" s="34" t="s">
        <v>438</v>
      </c>
      <c r="K534" s="35" t="s">
        <v>0</v>
      </c>
      <c r="L534" s="33"/>
      <c r="M534" s="33"/>
      <c r="N534" s="36"/>
      <c r="O534" s="33">
        <v>3</v>
      </c>
      <c r="P534" s="33">
        <f>IF(Tabela1[[#This Row],[Status]]="✔️",Tabela1[[#This Row],[Peso]],IF(Tabela1[[#This Row],[Status]]="✔️✔️",Tabela1[[#This Row],[Peso]]/2,0))</f>
        <v>3</v>
      </c>
      <c r="Q53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34" s="33" t="s">
        <v>127</v>
      </c>
      <c r="S534" s="37" t="s">
        <v>128</v>
      </c>
    </row>
    <row r="535" spans="8:19" ht="27.6" x14ac:dyDescent="0.3">
      <c r="H535" s="32" t="s">
        <v>56</v>
      </c>
      <c r="I535" s="33" t="s">
        <v>10</v>
      </c>
      <c r="J535" s="34" t="s">
        <v>11</v>
      </c>
      <c r="K535" s="35" t="s">
        <v>0</v>
      </c>
      <c r="L535" s="33"/>
      <c r="M535" s="33"/>
      <c r="N535" s="36"/>
      <c r="O535" s="33">
        <v>3</v>
      </c>
      <c r="P535" s="33">
        <f>IF(Tabela1[[#This Row],[Status]]="✔️",Tabela1[[#This Row],[Peso]],IF(Tabela1[[#This Row],[Status]]="✔️✔️",Tabela1[[#This Row],[Peso]]/2,0))</f>
        <v>3</v>
      </c>
      <c r="Q53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35" s="33" t="s">
        <v>127</v>
      </c>
      <c r="S535" s="37" t="s">
        <v>128</v>
      </c>
    </row>
    <row r="536" spans="8:19" ht="27.6" x14ac:dyDescent="0.3">
      <c r="H536" s="32" t="s">
        <v>56</v>
      </c>
      <c r="I536" s="33" t="s">
        <v>10</v>
      </c>
      <c r="J536" s="34" t="s">
        <v>439</v>
      </c>
      <c r="K536" s="35" t="s">
        <v>0</v>
      </c>
      <c r="L536" s="33"/>
      <c r="M536" s="33"/>
      <c r="N536" s="36"/>
      <c r="O536" s="33">
        <v>3</v>
      </c>
      <c r="P536" s="33">
        <f>IF(Tabela1[[#This Row],[Status]]="✔️",Tabela1[[#This Row],[Peso]],IF(Tabela1[[#This Row],[Status]]="✔️✔️",Tabela1[[#This Row],[Peso]]/2,0))</f>
        <v>3</v>
      </c>
      <c r="Q53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36" s="33" t="s">
        <v>127</v>
      </c>
      <c r="S536" s="37" t="s">
        <v>128</v>
      </c>
    </row>
    <row r="537" spans="8:19" ht="27.6" x14ac:dyDescent="0.3">
      <c r="H537" s="32" t="s">
        <v>56</v>
      </c>
      <c r="I537" s="33" t="s">
        <v>10</v>
      </c>
      <c r="J537" s="34" t="s">
        <v>440</v>
      </c>
      <c r="K537" s="35" t="s">
        <v>0</v>
      </c>
      <c r="L537" s="33"/>
      <c r="M537" s="33"/>
      <c r="N537" s="36"/>
      <c r="O537" s="33">
        <v>3</v>
      </c>
      <c r="P537" s="33">
        <f>IF(Tabela1[[#This Row],[Status]]="✔️",Tabela1[[#This Row],[Peso]],IF(Tabela1[[#This Row],[Status]]="✔️✔️",Tabela1[[#This Row],[Peso]]/2,0))</f>
        <v>3</v>
      </c>
      <c r="Q53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37" s="33" t="s">
        <v>127</v>
      </c>
      <c r="S537" s="37" t="s">
        <v>128</v>
      </c>
    </row>
    <row r="538" spans="8:19" ht="27.6" x14ac:dyDescent="0.3">
      <c r="H538" s="32" t="s">
        <v>56</v>
      </c>
      <c r="I538" s="33" t="s">
        <v>12</v>
      </c>
      <c r="J538" s="34" t="s">
        <v>13</v>
      </c>
      <c r="K538" s="35" t="s">
        <v>290</v>
      </c>
      <c r="L538" s="33"/>
      <c r="M538" s="33">
        <v>2955</v>
      </c>
      <c r="N538" s="36"/>
      <c r="O538" s="33">
        <v>2</v>
      </c>
      <c r="P538" s="33">
        <f>IF(Tabela1[[#This Row],[Status]]="✔️",Tabela1[[#This Row],[Peso]],IF(Tabela1[[#This Row],[Status]]="✔️✔️",Tabela1[[#This Row],[Peso]]/2,0))</f>
        <v>0</v>
      </c>
      <c r="Q538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538" s="33" t="s">
        <v>127</v>
      </c>
      <c r="S538" s="37" t="s">
        <v>128</v>
      </c>
    </row>
    <row r="539" spans="8:19" ht="27.6" x14ac:dyDescent="0.3">
      <c r="H539" s="32" t="s">
        <v>56</v>
      </c>
      <c r="I539" s="33" t="s">
        <v>14</v>
      </c>
      <c r="J539" s="34" t="s">
        <v>15</v>
      </c>
      <c r="K539" s="35" t="s">
        <v>290</v>
      </c>
      <c r="L539" s="33" t="s">
        <v>118</v>
      </c>
      <c r="M539" s="33">
        <v>2083</v>
      </c>
      <c r="N539" s="36"/>
      <c r="O539" s="33">
        <v>3</v>
      </c>
      <c r="P539" s="33">
        <f>IF(Tabela1[[#This Row],[Status]]="✔️",Tabela1[[#This Row],[Peso]],IF(Tabela1[[#This Row],[Status]]="✔️✔️",Tabela1[[#This Row],[Peso]]/2,0))</f>
        <v>0</v>
      </c>
      <c r="Q53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39" s="33" t="s">
        <v>127</v>
      </c>
      <c r="S539" s="37" t="s">
        <v>128</v>
      </c>
    </row>
    <row r="540" spans="8:19" ht="27.6" x14ac:dyDescent="0.3">
      <c r="H540" s="32" t="s">
        <v>56</v>
      </c>
      <c r="I540" s="33" t="s">
        <v>14</v>
      </c>
      <c r="J540" s="34" t="s">
        <v>16</v>
      </c>
      <c r="K540" s="35" t="s">
        <v>0</v>
      </c>
      <c r="L540" s="33"/>
      <c r="M540" s="33"/>
      <c r="N540" s="36"/>
      <c r="O540" s="33">
        <v>1</v>
      </c>
      <c r="P540" s="33">
        <f>IF(Tabela1[[#This Row],[Status]]="✔️",Tabela1[[#This Row],[Peso]],IF(Tabela1[[#This Row],[Status]]="✔️✔️",Tabela1[[#This Row],[Peso]]/2,0))</f>
        <v>1</v>
      </c>
      <c r="Q54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540" s="33" t="s">
        <v>127</v>
      </c>
      <c r="S540" s="37" t="s">
        <v>128</v>
      </c>
    </row>
    <row r="541" spans="8:19" ht="27.6" x14ac:dyDescent="0.3">
      <c r="H541" s="32" t="s">
        <v>56</v>
      </c>
      <c r="I541" s="33" t="s">
        <v>17</v>
      </c>
      <c r="J541" s="34" t="s">
        <v>18</v>
      </c>
      <c r="K541" s="35" t="s">
        <v>0</v>
      </c>
      <c r="L541" s="33"/>
      <c r="M541" s="33"/>
      <c r="N541" s="36"/>
      <c r="O541" s="33">
        <v>3</v>
      </c>
      <c r="P541" s="33">
        <f>IF(Tabela1[[#This Row],[Status]]="✔️",Tabela1[[#This Row],[Peso]],IF(Tabela1[[#This Row],[Status]]="✔️✔️",Tabela1[[#This Row],[Peso]]/2,0))</f>
        <v>3</v>
      </c>
      <c r="Q54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41" s="33" t="s">
        <v>127</v>
      </c>
      <c r="S541" s="37" t="s">
        <v>128</v>
      </c>
    </row>
    <row r="542" spans="8:19" ht="27.6" x14ac:dyDescent="0.3">
      <c r="H542" s="32" t="s">
        <v>56</v>
      </c>
      <c r="I542" s="33" t="s">
        <v>17</v>
      </c>
      <c r="J542" s="34" t="s">
        <v>19</v>
      </c>
      <c r="K542" s="35" t="s">
        <v>290</v>
      </c>
      <c r="L542" s="33" t="s">
        <v>117</v>
      </c>
      <c r="M542" s="33">
        <v>5878</v>
      </c>
      <c r="N542" s="36"/>
      <c r="O542" s="33">
        <v>3</v>
      </c>
      <c r="P542" s="33">
        <f>IF(Tabela1[[#This Row],[Status]]="✔️",Tabela1[[#This Row],[Peso]],IF(Tabela1[[#This Row],[Status]]="✔️✔️",Tabela1[[#This Row],[Peso]]/2,0))</f>
        <v>0</v>
      </c>
      <c r="Q54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42" s="33" t="s">
        <v>127</v>
      </c>
      <c r="S542" s="37" t="s">
        <v>128</v>
      </c>
    </row>
    <row r="543" spans="8:19" ht="27.6" x14ac:dyDescent="0.3">
      <c r="H543" s="32" t="s">
        <v>56</v>
      </c>
      <c r="I543" s="33" t="s">
        <v>20</v>
      </c>
      <c r="J543" s="34" t="s">
        <v>21</v>
      </c>
      <c r="K543" s="35" t="s">
        <v>0</v>
      </c>
      <c r="L543" s="33"/>
      <c r="M543" s="33"/>
      <c r="N543" s="36"/>
      <c r="O543" s="33">
        <v>3</v>
      </c>
      <c r="P543" s="33">
        <f>IF(Tabela1[[#This Row],[Status]]="✔️",Tabela1[[#This Row],[Peso]],IF(Tabela1[[#This Row],[Status]]="✔️✔️",Tabela1[[#This Row],[Peso]]/2,0))</f>
        <v>3</v>
      </c>
      <c r="Q54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43" s="33" t="s">
        <v>127</v>
      </c>
      <c r="S543" s="37" t="s">
        <v>128</v>
      </c>
    </row>
    <row r="544" spans="8:19" ht="27.6" x14ac:dyDescent="0.3">
      <c r="H544" s="32" t="s">
        <v>56</v>
      </c>
      <c r="I544" s="33" t="s">
        <v>20</v>
      </c>
      <c r="J544" s="34" t="s">
        <v>441</v>
      </c>
      <c r="K544" s="35" t="s">
        <v>290</v>
      </c>
      <c r="L544" s="33" t="s">
        <v>116</v>
      </c>
      <c r="M544" s="33">
        <v>9087</v>
      </c>
      <c r="N544" s="36"/>
      <c r="O544" s="33">
        <v>1</v>
      </c>
      <c r="P544" s="33">
        <f>IF(Tabela1[[#This Row],[Status]]="✔️",Tabela1[[#This Row],[Peso]],IF(Tabela1[[#This Row],[Status]]="✔️✔️",Tabela1[[#This Row],[Peso]]/2,0))</f>
        <v>0</v>
      </c>
      <c r="Q54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544" s="33" t="s">
        <v>127</v>
      </c>
      <c r="S544" s="37" t="s">
        <v>128</v>
      </c>
    </row>
    <row r="545" spans="8:19" ht="27.6" x14ac:dyDescent="0.3">
      <c r="H545" s="32" t="s">
        <v>56</v>
      </c>
      <c r="I545" s="33" t="s">
        <v>25</v>
      </c>
      <c r="J545" s="34" t="s">
        <v>28</v>
      </c>
      <c r="K545" s="35" t="s">
        <v>290</v>
      </c>
      <c r="L545" s="33" t="s">
        <v>71</v>
      </c>
      <c r="M545" s="33">
        <v>6076</v>
      </c>
      <c r="N545" s="36"/>
      <c r="O545" s="33">
        <v>3</v>
      </c>
      <c r="P545" s="33">
        <f>IF(Tabela1[[#This Row],[Status]]="✔️",Tabela1[[#This Row],[Peso]],IF(Tabela1[[#This Row],[Status]]="✔️✔️",Tabela1[[#This Row],[Peso]]/2,0))</f>
        <v>0</v>
      </c>
      <c r="Q54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45" s="33" t="s">
        <v>127</v>
      </c>
      <c r="S545" s="37" t="s">
        <v>128</v>
      </c>
    </row>
    <row r="546" spans="8:19" ht="27.6" x14ac:dyDescent="0.3">
      <c r="H546" s="32" t="s">
        <v>56</v>
      </c>
      <c r="I546" s="33" t="s">
        <v>25</v>
      </c>
      <c r="J546" s="34" t="s">
        <v>29</v>
      </c>
      <c r="K546" s="35" t="s">
        <v>0</v>
      </c>
      <c r="L546" s="33"/>
      <c r="M546" s="33"/>
      <c r="N546" s="36"/>
      <c r="O546" s="33">
        <v>3</v>
      </c>
      <c r="P546" s="33">
        <f>IF(Tabela1[[#This Row],[Status]]="✔️",Tabela1[[#This Row],[Peso]],IF(Tabela1[[#This Row],[Status]]="✔️✔️",Tabela1[[#This Row],[Peso]]/2,0))</f>
        <v>3</v>
      </c>
      <c r="Q54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46" s="33" t="s">
        <v>127</v>
      </c>
      <c r="S546" s="37" t="s">
        <v>128</v>
      </c>
    </row>
    <row r="547" spans="8:19" ht="27.6" x14ac:dyDescent="0.3">
      <c r="H547" s="32" t="s">
        <v>56</v>
      </c>
      <c r="I547" s="33" t="s">
        <v>25</v>
      </c>
      <c r="J547" s="34" t="s">
        <v>449</v>
      </c>
      <c r="K547" s="35" t="s">
        <v>0</v>
      </c>
      <c r="L547" s="33"/>
      <c r="M547" s="33"/>
      <c r="N547" s="36"/>
      <c r="O547" s="33">
        <v>3</v>
      </c>
      <c r="P547" s="33">
        <f>IF(Tabela1[[#This Row],[Status]]="✔️",Tabela1[[#This Row],[Peso]],IF(Tabela1[[#This Row],[Status]]="✔️✔️",Tabela1[[#This Row],[Peso]]/2,0))</f>
        <v>3</v>
      </c>
      <c r="Q54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47" s="33" t="s">
        <v>127</v>
      </c>
      <c r="S547" s="37" t="s">
        <v>128</v>
      </c>
    </row>
    <row r="548" spans="8:19" ht="41.4" x14ac:dyDescent="0.3">
      <c r="H548" s="32" t="s">
        <v>56</v>
      </c>
      <c r="I548" s="33" t="s">
        <v>41</v>
      </c>
      <c r="J548" s="34" t="s">
        <v>442</v>
      </c>
      <c r="K548" s="35" t="s">
        <v>290</v>
      </c>
      <c r="L548" s="33" t="s">
        <v>47</v>
      </c>
      <c r="M548" s="33">
        <v>8115</v>
      </c>
      <c r="N548" s="36"/>
      <c r="O548" s="33">
        <v>3</v>
      </c>
      <c r="P548" s="33">
        <f>IF(Tabela1[[#This Row],[Status]]="✔️",Tabela1[[#This Row],[Peso]],IF(Tabela1[[#This Row],[Status]]="✔️✔️",Tabela1[[#This Row],[Peso]]/2,0))</f>
        <v>0</v>
      </c>
      <c r="Q54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48" s="33" t="s">
        <v>127</v>
      </c>
      <c r="S548" s="37" t="s">
        <v>128</v>
      </c>
    </row>
    <row r="549" spans="8:19" ht="41.4" x14ac:dyDescent="0.3">
      <c r="H549" s="32" t="s">
        <v>56</v>
      </c>
      <c r="I549" s="33" t="s">
        <v>41</v>
      </c>
      <c r="J549" s="34" t="s">
        <v>443</v>
      </c>
      <c r="K549" s="35" t="s">
        <v>290</v>
      </c>
      <c r="L549" s="33" t="s">
        <v>47</v>
      </c>
      <c r="M549" s="33">
        <v>8115</v>
      </c>
      <c r="N549" s="36"/>
      <c r="O549" s="33">
        <v>2</v>
      </c>
      <c r="P549" s="33">
        <f>IF(Tabela1[[#This Row],[Status]]="✔️",Tabela1[[#This Row],[Peso]],IF(Tabela1[[#This Row],[Status]]="✔️✔️",Tabela1[[#This Row],[Peso]]/2,0))</f>
        <v>0</v>
      </c>
      <c r="Q54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549" s="33" t="s">
        <v>127</v>
      </c>
      <c r="S549" s="37" t="s">
        <v>128</v>
      </c>
    </row>
    <row r="550" spans="8:19" ht="27.6" x14ac:dyDescent="0.3">
      <c r="H550" s="32" t="s">
        <v>56</v>
      </c>
      <c r="I550" s="33" t="s">
        <v>10</v>
      </c>
      <c r="J550" s="34" t="s">
        <v>444</v>
      </c>
      <c r="K550" s="35" t="s">
        <v>290</v>
      </c>
      <c r="L550" s="33" t="s">
        <v>115</v>
      </c>
      <c r="M550" s="33">
        <v>5214</v>
      </c>
      <c r="N550" s="36"/>
      <c r="O550" s="33">
        <v>3</v>
      </c>
      <c r="P550" s="33">
        <f>IF(Tabela1[[#This Row],[Status]]="✔️",Tabela1[[#This Row],[Peso]],IF(Tabela1[[#This Row],[Status]]="✔️✔️",Tabela1[[#This Row],[Peso]]/2,0))</f>
        <v>0</v>
      </c>
      <c r="Q55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50" s="33" t="s">
        <v>127</v>
      </c>
      <c r="S550" s="37" t="s">
        <v>128</v>
      </c>
    </row>
    <row r="551" spans="8:19" ht="27.6" x14ac:dyDescent="0.3">
      <c r="H551" s="32" t="s">
        <v>56</v>
      </c>
      <c r="I551" s="33" t="s">
        <v>30</v>
      </c>
      <c r="J551" s="34" t="s">
        <v>438</v>
      </c>
      <c r="K551" s="35" t="s">
        <v>0</v>
      </c>
      <c r="L551" s="33"/>
      <c r="M551" s="33"/>
      <c r="N551" s="36"/>
      <c r="O551" s="33">
        <v>3</v>
      </c>
      <c r="P551" s="33">
        <f>IF(Tabela1[[#This Row],[Status]]="✔️",Tabela1[[#This Row],[Peso]],IF(Tabela1[[#This Row],[Status]]="✔️✔️",Tabela1[[#This Row],[Peso]]/2,0))</f>
        <v>3</v>
      </c>
      <c r="Q55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51" s="33" t="s">
        <v>130</v>
      </c>
      <c r="S551" s="37" t="s">
        <v>128</v>
      </c>
    </row>
    <row r="552" spans="8:19" ht="27.6" x14ac:dyDescent="0.3">
      <c r="H552" s="32" t="s">
        <v>56</v>
      </c>
      <c r="I552" s="33" t="s">
        <v>30</v>
      </c>
      <c r="J552" s="34" t="s">
        <v>438</v>
      </c>
      <c r="K552" s="35" t="s">
        <v>0</v>
      </c>
      <c r="L552" s="33"/>
      <c r="M552" s="33"/>
      <c r="N552" s="36"/>
      <c r="O552" s="33">
        <v>3</v>
      </c>
      <c r="P552" s="33">
        <f>IF(Tabela1[[#This Row],[Status]]="✔️",Tabela1[[#This Row],[Peso]],IF(Tabela1[[#This Row],[Status]]="✔️✔️",Tabela1[[#This Row],[Peso]]/2,0))</f>
        <v>3</v>
      </c>
      <c r="Q55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52" s="33" t="s">
        <v>130</v>
      </c>
      <c r="S552" s="37" t="s">
        <v>128</v>
      </c>
    </row>
    <row r="553" spans="8:19" ht="27.6" x14ac:dyDescent="0.3">
      <c r="H553" s="32" t="s">
        <v>56</v>
      </c>
      <c r="I553" s="33" t="s">
        <v>10</v>
      </c>
      <c r="J553" s="34" t="s">
        <v>11</v>
      </c>
      <c r="K553" s="35" t="s">
        <v>0</v>
      </c>
      <c r="L553" s="33"/>
      <c r="M553" s="33"/>
      <c r="N553" s="36"/>
      <c r="O553" s="33">
        <v>3</v>
      </c>
      <c r="P553" s="33">
        <f>IF(Tabela1[[#This Row],[Status]]="✔️",Tabela1[[#This Row],[Peso]],IF(Tabela1[[#This Row],[Status]]="✔️✔️",Tabela1[[#This Row],[Peso]]/2,0))</f>
        <v>3</v>
      </c>
      <c r="Q55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53" s="33" t="s">
        <v>130</v>
      </c>
      <c r="S553" s="37" t="s">
        <v>128</v>
      </c>
    </row>
    <row r="554" spans="8:19" ht="27.6" x14ac:dyDescent="0.3">
      <c r="H554" s="32" t="s">
        <v>56</v>
      </c>
      <c r="I554" s="33" t="s">
        <v>10</v>
      </c>
      <c r="J554" s="34" t="s">
        <v>439</v>
      </c>
      <c r="K554" s="35" t="s">
        <v>0</v>
      </c>
      <c r="L554" s="33"/>
      <c r="M554" s="33"/>
      <c r="N554" s="36"/>
      <c r="O554" s="33">
        <v>3</v>
      </c>
      <c r="P554" s="33">
        <f>IF(Tabela1[[#This Row],[Status]]="✔️",Tabela1[[#This Row],[Peso]],IF(Tabela1[[#This Row],[Status]]="✔️✔️",Tabela1[[#This Row],[Peso]]/2,0))</f>
        <v>3</v>
      </c>
      <c r="Q55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54" s="33" t="s">
        <v>130</v>
      </c>
      <c r="S554" s="37" t="s">
        <v>128</v>
      </c>
    </row>
    <row r="555" spans="8:19" ht="27.6" x14ac:dyDescent="0.3">
      <c r="H555" s="32" t="s">
        <v>56</v>
      </c>
      <c r="I555" s="33" t="s">
        <v>10</v>
      </c>
      <c r="J555" s="34" t="s">
        <v>440</v>
      </c>
      <c r="K555" s="35" t="s">
        <v>0</v>
      </c>
      <c r="L555" s="33"/>
      <c r="M555" s="33"/>
      <c r="N555" s="36"/>
      <c r="O555" s="33">
        <v>3</v>
      </c>
      <c r="P555" s="33">
        <f>IF(Tabela1[[#This Row],[Status]]="✔️",Tabela1[[#This Row],[Peso]],IF(Tabela1[[#This Row],[Status]]="✔️✔️",Tabela1[[#This Row],[Peso]]/2,0))</f>
        <v>3</v>
      </c>
      <c r="Q55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55" s="33" t="s">
        <v>130</v>
      </c>
      <c r="S555" s="37" t="s">
        <v>128</v>
      </c>
    </row>
    <row r="556" spans="8:19" ht="27.6" x14ac:dyDescent="0.3">
      <c r="H556" s="32" t="s">
        <v>56</v>
      </c>
      <c r="I556" s="33" t="s">
        <v>12</v>
      </c>
      <c r="J556" s="34" t="s">
        <v>13</v>
      </c>
      <c r="K556" s="35" t="s">
        <v>0</v>
      </c>
      <c r="L556" s="33"/>
      <c r="M556" s="33"/>
      <c r="N556" s="36"/>
      <c r="O556" s="33">
        <v>2</v>
      </c>
      <c r="P556" s="33">
        <f>IF(Tabela1[[#This Row],[Status]]="✔️",Tabela1[[#This Row],[Peso]],IF(Tabela1[[#This Row],[Status]]="✔️✔️",Tabela1[[#This Row],[Peso]]/2,0))</f>
        <v>2</v>
      </c>
      <c r="Q55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556" s="33" t="s">
        <v>130</v>
      </c>
      <c r="S556" s="37" t="s">
        <v>128</v>
      </c>
    </row>
    <row r="557" spans="8:19" ht="27.6" x14ac:dyDescent="0.3">
      <c r="H557" s="32" t="s">
        <v>56</v>
      </c>
      <c r="I557" s="33" t="s">
        <v>14</v>
      </c>
      <c r="J557" s="34" t="s">
        <v>15</v>
      </c>
      <c r="K557" s="35" t="s">
        <v>290</v>
      </c>
      <c r="L557" s="33" t="s">
        <v>294</v>
      </c>
      <c r="M557" s="33">
        <v>5451</v>
      </c>
      <c r="N557" s="36"/>
      <c r="O557" s="33">
        <v>3</v>
      </c>
      <c r="P557" s="33">
        <f>IF(Tabela1[[#This Row],[Status]]="✔️",Tabela1[[#This Row],[Peso]],IF(Tabela1[[#This Row],[Status]]="✔️✔️",Tabela1[[#This Row],[Peso]]/2,0))</f>
        <v>0</v>
      </c>
      <c r="Q55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57" s="33" t="s">
        <v>130</v>
      </c>
      <c r="S557" s="37" t="s">
        <v>128</v>
      </c>
    </row>
    <row r="558" spans="8:19" ht="27.6" x14ac:dyDescent="0.3">
      <c r="H558" s="32" t="s">
        <v>56</v>
      </c>
      <c r="I558" s="33" t="s">
        <v>14</v>
      </c>
      <c r="J558" s="34" t="s">
        <v>16</v>
      </c>
      <c r="K558" s="35" t="s">
        <v>0</v>
      </c>
      <c r="L558" s="33"/>
      <c r="M558" s="33"/>
      <c r="N558" s="36"/>
      <c r="O558" s="33">
        <v>1</v>
      </c>
      <c r="P558" s="33">
        <f>IF(Tabela1[[#This Row],[Status]]="✔️",Tabela1[[#This Row],[Peso]],IF(Tabela1[[#This Row],[Status]]="✔️✔️",Tabela1[[#This Row],[Peso]]/2,0))</f>
        <v>1</v>
      </c>
      <c r="Q55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558" s="33" t="s">
        <v>130</v>
      </c>
      <c r="S558" s="37" t="s">
        <v>128</v>
      </c>
    </row>
    <row r="559" spans="8:19" ht="27.6" x14ac:dyDescent="0.3">
      <c r="H559" s="32" t="s">
        <v>56</v>
      </c>
      <c r="I559" s="33" t="s">
        <v>17</v>
      </c>
      <c r="J559" s="34" t="s">
        <v>18</v>
      </c>
      <c r="K559" s="35" t="s">
        <v>0</v>
      </c>
      <c r="L559" s="33"/>
      <c r="M559" s="33"/>
      <c r="N559" s="36"/>
      <c r="O559" s="33">
        <v>3</v>
      </c>
      <c r="P559" s="33">
        <f>IF(Tabela1[[#This Row],[Status]]="✔️",Tabela1[[#This Row],[Peso]],IF(Tabela1[[#This Row],[Status]]="✔️✔️",Tabela1[[#This Row],[Peso]]/2,0))</f>
        <v>3</v>
      </c>
      <c r="Q55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59" s="33" t="s">
        <v>130</v>
      </c>
      <c r="S559" s="37" t="s">
        <v>128</v>
      </c>
    </row>
    <row r="560" spans="8:19" ht="27.6" x14ac:dyDescent="0.3">
      <c r="H560" s="32" t="s">
        <v>56</v>
      </c>
      <c r="I560" s="33" t="s">
        <v>17</v>
      </c>
      <c r="J560" s="34" t="s">
        <v>19</v>
      </c>
      <c r="K560" s="35" t="s">
        <v>290</v>
      </c>
      <c r="L560" s="33"/>
      <c r="M560" s="33">
        <v>3182</v>
      </c>
      <c r="N560" s="36"/>
      <c r="O560" s="33">
        <v>3</v>
      </c>
      <c r="P560" s="33">
        <f>IF(Tabela1[[#This Row],[Status]]="✔️",Tabela1[[#This Row],[Peso]],IF(Tabela1[[#This Row],[Status]]="✔️✔️",Tabela1[[#This Row],[Peso]]/2,0))</f>
        <v>0</v>
      </c>
      <c r="Q56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60" s="33" t="s">
        <v>130</v>
      </c>
      <c r="S560" s="37" t="s">
        <v>128</v>
      </c>
    </row>
    <row r="561" spans="8:19" ht="27.6" x14ac:dyDescent="0.3">
      <c r="H561" s="32" t="s">
        <v>56</v>
      </c>
      <c r="I561" s="33" t="s">
        <v>20</v>
      </c>
      <c r="J561" s="34" t="s">
        <v>21</v>
      </c>
      <c r="K561" s="35" t="s">
        <v>0</v>
      </c>
      <c r="L561" s="33"/>
      <c r="M561" s="33"/>
      <c r="N561" s="36"/>
      <c r="O561" s="33">
        <v>3</v>
      </c>
      <c r="P561" s="33">
        <f>IF(Tabela1[[#This Row],[Status]]="✔️",Tabela1[[#This Row],[Peso]],IF(Tabela1[[#This Row],[Status]]="✔️✔️",Tabela1[[#This Row],[Peso]]/2,0))</f>
        <v>3</v>
      </c>
      <c r="Q56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61" s="33" t="s">
        <v>130</v>
      </c>
      <c r="S561" s="37" t="s">
        <v>128</v>
      </c>
    </row>
    <row r="562" spans="8:19" ht="27.6" x14ac:dyDescent="0.3">
      <c r="H562" s="32" t="s">
        <v>56</v>
      </c>
      <c r="I562" s="33" t="s">
        <v>20</v>
      </c>
      <c r="J562" s="34" t="s">
        <v>441</v>
      </c>
      <c r="K562" s="35" t="s">
        <v>290</v>
      </c>
      <c r="L562" s="33" t="s">
        <v>161</v>
      </c>
      <c r="M562" s="33">
        <v>6244</v>
      </c>
      <c r="N562" s="36"/>
      <c r="O562" s="33">
        <v>1</v>
      </c>
      <c r="P562" s="33">
        <f>IF(Tabela1[[#This Row],[Status]]="✔️",Tabela1[[#This Row],[Peso]],IF(Tabela1[[#This Row],[Status]]="✔️✔️",Tabela1[[#This Row],[Peso]]/2,0))</f>
        <v>0</v>
      </c>
      <c r="Q56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562" s="33" t="s">
        <v>130</v>
      </c>
      <c r="S562" s="37" t="s">
        <v>128</v>
      </c>
    </row>
    <row r="563" spans="8:19" ht="27.6" x14ac:dyDescent="0.3">
      <c r="H563" s="32" t="s">
        <v>56</v>
      </c>
      <c r="I563" s="33" t="s">
        <v>25</v>
      </c>
      <c r="J563" s="34" t="s">
        <v>28</v>
      </c>
      <c r="K563" s="35" t="s">
        <v>290</v>
      </c>
      <c r="L563" s="33" t="s">
        <v>293</v>
      </c>
      <c r="M563" s="33">
        <v>9884</v>
      </c>
      <c r="N563" s="36"/>
      <c r="O563" s="33">
        <v>3</v>
      </c>
      <c r="P563" s="33">
        <f>IF(Tabela1[[#This Row],[Status]]="✔️",Tabela1[[#This Row],[Peso]],IF(Tabela1[[#This Row],[Status]]="✔️✔️",Tabela1[[#This Row],[Peso]]/2,0))</f>
        <v>0</v>
      </c>
      <c r="Q56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63" s="33" t="s">
        <v>130</v>
      </c>
      <c r="S563" s="37" t="s">
        <v>128</v>
      </c>
    </row>
    <row r="564" spans="8:19" ht="27.6" x14ac:dyDescent="0.3">
      <c r="H564" s="32" t="s">
        <v>56</v>
      </c>
      <c r="I564" s="33" t="s">
        <v>25</v>
      </c>
      <c r="J564" s="34" t="s">
        <v>29</v>
      </c>
      <c r="K564" s="35" t="s">
        <v>0</v>
      </c>
      <c r="L564" s="33"/>
      <c r="M564" s="33"/>
      <c r="N564" s="36"/>
      <c r="O564" s="33">
        <v>3</v>
      </c>
      <c r="P564" s="33">
        <f>IF(Tabela1[[#This Row],[Status]]="✔️",Tabela1[[#This Row],[Peso]],IF(Tabela1[[#This Row],[Status]]="✔️✔️",Tabela1[[#This Row],[Peso]]/2,0))</f>
        <v>3</v>
      </c>
      <c r="Q56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64" s="33" t="s">
        <v>130</v>
      </c>
      <c r="S564" s="37" t="s">
        <v>128</v>
      </c>
    </row>
    <row r="565" spans="8:19" ht="27.6" x14ac:dyDescent="0.3">
      <c r="H565" s="32" t="s">
        <v>56</v>
      </c>
      <c r="I565" s="33" t="s">
        <v>25</v>
      </c>
      <c r="J565" s="34" t="s">
        <v>449</v>
      </c>
      <c r="K565" s="35" t="s">
        <v>0</v>
      </c>
      <c r="L565" s="33"/>
      <c r="M565" s="33"/>
      <c r="N565" s="36"/>
      <c r="O565" s="33">
        <v>3</v>
      </c>
      <c r="P565" s="33">
        <f>IF(Tabela1[[#This Row],[Status]]="✔️",Tabela1[[#This Row],[Peso]],IF(Tabela1[[#This Row],[Status]]="✔️✔️",Tabela1[[#This Row],[Peso]]/2,0))</f>
        <v>3</v>
      </c>
      <c r="Q56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65" s="33" t="s">
        <v>130</v>
      </c>
      <c r="S565" s="37" t="s">
        <v>128</v>
      </c>
    </row>
    <row r="566" spans="8:19" ht="41.4" x14ac:dyDescent="0.3">
      <c r="H566" s="32" t="s">
        <v>56</v>
      </c>
      <c r="I566" s="33" t="s">
        <v>41</v>
      </c>
      <c r="J566" s="34" t="s">
        <v>442</v>
      </c>
      <c r="K566" s="35" t="s">
        <v>290</v>
      </c>
      <c r="L566" s="33" t="s">
        <v>47</v>
      </c>
      <c r="M566" s="33">
        <v>3184</v>
      </c>
      <c r="N566" s="36"/>
      <c r="O566" s="33">
        <v>3</v>
      </c>
      <c r="P566" s="33">
        <f>IF(Tabela1[[#This Row],[Status]]="✔️",Tabela1[[#This Row],[Peso]],IF(Tabela1[[#This Row],[Status]]="✔️✔️",Tabela1[[#This Row],[Peso]]/2,0))</f>
        <v>0</v>
      </c>
      <c r="Q56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66" s="33" t="s">
        <v>130</v>
      </c>
      <c r="S566" s="37" t="s">
        <v>128</v>
      </c>
    </row>
    <row r="567" spans="8:19" ht="41.4" x14ac:dyDescent="0.3">
      <c r="H567" s="32" t="s">
        <v>56</v>
      </c>
      <c r="I567" s="33" t="s">
        <v>41</v>
      </c>
      <c r="J567" s="34" t="s">
        <v>443</v>
      </c>
      <c r="K567" s="35" t="s">
        <v>290</v>
      </c>
      <c r="L567" s="33" t="s">
        <v>47</v>
      </c>
      <c r="M567" s="33">
        <v>3184</v>
      </c>
      <c r="N567" s="36"/>
      <c r="O567" s="33">
        <v>2</v>
      </c>
      <c r="P567" s="33">
        <f>IF(Tabela1[[#This Row],[Status]]="✔️",Tabela1[[#This Row],[Peso]],IF(Tabela1[[#This Row],[Status]]="✔️✔️",Tabela1[[#This Row],[Peso]]/2,0))</f>
        <v>0</v>
      </c>
      <c r="Q56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567" s="33" t="s">
        <v>130</v>
      </c>
      <c r="S567" s="37" t="s">
        <v>128</v>
      </c>
    </row>
    <row r="568" spans="8:19" ht="27.6" x14ac:dyDescent="0.3">
      <c r="H568" s="32" t="s">
        <v>56</v>
      </c>
      <c r="I568" s="33" t="s">
        <v>10</v>
      </c>
      <c r="J568" s="34" t="s">
        <v>444</v>
      </c>
      <c r="K568" s="35" t="s">
        <v>0</v>
      </c>
      <c r="L568" s="33"/>
      <c r="M568" s="33"/>
      <c r="N568" s="36"/>
      <c r="O568" s="33">
        <v>3</v>
      </c>
      <c r="P568" s="33">
        <f>IF(Tabela1[[#This Row],[Status]]="✔️",Tabela1[[#This Row],[Peso]],IF(Tabela1[[#This Row],[Status]]="✔️✔️",Tabela1[[#This Row],[Peso]]/2,0))</f>
        <v>3</v>
      </c>
      <c r="Q56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68" s="33" t="s">
        <v>130</v>
      </c>
      <c r="S568" s="37" t="s">
        <v>128</v>
      </c>
    </row>
    <row r="569" spans="8:19" ht="27.6" x14ac:dyDescent="0.3">
      <c r="H569" s="32" t="s">
        <v>56</v>
      </c>
      <c r="I569" s="33" t="s">
        <v>10</v>
      </c>
      <c r="J569" s="34" t="s">
        <v>11</v>
      </c>
      <c r="K569" s="35" t="s">
        <v>0</v>
      </c>
      <c r="L569" s="33"/>
      <c r="M569" s="33"/>
      <c r="N569" s="36"/>
      <c r="O569" s="33">
        <v>3</v>
      </c>
      <c r="P569" s="33">
        <f>IF(Tabela1[[#This Row],[Status]]="✔️",Tabela1[[#This Row],[Peso]],IF(Tabela1[[#This Row],[Status]]="✔️✔️",Tabela1[[#This Row],[Peso]]/2,0))</f>
        <v>3</v>
      </c>
      <c r="Q56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69" s="33" t="s">
        <v>130</v>
      </c>
      <c r="S569" s="37" t="s">
        <v>128</v>
      </c>
    </row>
    <row r="570" spans="8:19" ht="27.6" x14ac:dyDescent="0.3">
      <c r="H570" s="32" t="s">
        <v>56</v>
      </c>
      <c r="I570" s="33" t="s">
        <v>10</v>
      </c>
      <c r="J570" s="34" t="s">
        <v>439</v>
      </c>
      <c r="K570" s="35" t="s">
        <v>0</v>
      </c>
      <c r="L570" s="33"/>
      <c r="M570" s="33"/>
      <c r="N570" s="36"/>
      <c r="O570" s="33">
        <v>3</v>
      </c>
      <c r="P570" s="33">
        <f>IF(Tabela1[[#This Row],[Status]]="✔️",Tabela1[[#This Row],[Peso]],IF(Tabela1[[#This Row],[Status]]="✔️✔️",Tabela1[[#This Row],[Peso]]/2,0))</f>
        <v>3</v>
      </c>
      <c r="Q57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70" s="33" t="s">
        <v>130</v>
      </c>
      <c r="S570" s="37" t="s">
        <v>128</v>
      </c>
    </row>
    <row r="571" spans="8:19" ht="27.6" x14ac:dyDescent="0.3">
      <c r="H571" s="32" t="s">
        <v>56</v>
      </c>
      <c r="I571" s="33" t="s">
        <v>10</v>
      </c>
      <c r="J571" s="34" t="s">
        <v>440</v>
      </c>
      <c r="K571" s="35" t="s">
        <v>0</v>
      </c>
      <c r="L571" s="33"/>
      <c r="M571" s="33"/>
      <c r="N571" s="36"/>
      <c r="O571" s="33">
        <v>3</v>
      </c>
      <c r="P571" s="33">
        <f>IF(Tabela1[[#This Row],[Status]]="✔️",Tabela1[[#This Row],[Peso]],IF(Tabela1[[#This Row],[Status]]="✔️✔️",Tabela1[[#This Row],[Peso]]/2,0))</f>
        <v>3</v>
      </c>
      <c r="Q57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71" s="33" t="s">
        <v>130</v>
      </c>
      <c r="S571" s="37" t="s">
        <v>128</v>
      </c>
    </row>
    <row r="572" spans="8:19" ht="27.6" x14ac:dyDescent="0.3">
      <c r="H572" s="32" t="s">
        <v>56</v>
      </c>
      <c r="I572" s="33" t="s">
        <v>12</v>
      </c>
      <c r="J572" s="34" t="s">
        <v>13</v>
      </c>
      <c r="K572" s="35" t="s">
        <v>0</v>
      </c>
      <c r="L572" s="33"/>
      <c r="M572" s="33"/>
      <c r="N572" s="36"/>
      <c r="O572" s="33">
        <v>2</v>
      </c>
      <c r="P572" s="33">
        <f>IF(Tabela1[[#This Row],[Status]]="✔️",Tabela1[[#This Row],[Peso]],IF(Tabela1[[#This Row],[Status]]="✔️✔️",Tabela1[[#This Row],[Peso]]/2,0))</f>
        <v>2</v>
      </c>
      <c r="Q572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572" s="33" t="s">
        <v>130</v>
      </c>
      <c r="S572" s="37" t="s">
        <v>128</v>
      </c>
    </row>
    <row r="573" spans="8:19" ht="27.6" x14ac:dyDescent="0.3">
      <c r="H573" s="32" t="s">
        <v>56</v>
      </c>
      <c r="I573" s="33" t="s">
        <v>14</v>
      </c>
      <c r="J573" s="34" t="s">
        <v>15</v>
      </c>
      <c r="K573" s="35" t="s">
        <v>290</v>
      </c>
      <c r="L573" s="33" t="s">
        <v>294</v>
      </c>
      <c r="M573" s="33">
        <v>5451</v>
      </c>
      <c r="N573" s="36"/>
      <c r="O573" s="33">
        <v>3</v>
      </c>
      <c r="P573" s="33">
        <f>IF(Tabela1[[#This Row],[Status]]="✔️",Tabela1[[#This Row],[Peso]],IF(Tabela1[[#This Row],[Status]]="✔️✔️",Tabela1[[#This Row],[Peso]]/2,0))</f>
        <v>0</v>
      </c>
      <c r="Q57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73" s="33" t="s">
        <v>130</v>
      </c>
      <c r="S573" s="37" t="s">
        <v>128</v>
      </c>
    </row>
    <row r="574" spans="8:19" ht="27.6" x14ac:dyDescent="0.3">
      <c r="H574" s="32" t="s">
        <v>56</v>
      </c>
      <c r="I574" s="33" t="s">
        <v>14</v>
      </c>
      <c r="J574" s="34" t="s">
        <v>16</v>
      </c>
      <c r="K574" s="35" t="s">
        <v>0</v>
      </c>
      <c r="L574" s="33"/>
      <c r="M574" s="33"/>
      <c r="N574" s="36"/>
      <c r="O574" s="33">
        <v>1</v>
      </c>
      <c r="P574" s="33">
        <f>IF(Tabela1[[#This Row],[Status]]="✔️",Tabela1[[#This Row],[Peso]],IF(Tabela1[[#This Row],[Status]]="✔️✔️",Tabela1[[#This Row],[Peso]]/2,0))</f>
        <v>1</v>
      </c>
      <c r="Q57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574" s="33" t="s">
        <v>130</v>
      </c>
      <c r="S574" s="37" t="s">
        <v>128</v>
      </c>
    </row>
    <row r="575" spans="8:19" ht="27.6" x14ac:dyDescent="0.3">
      <c r="H575" s="32" t="s">
        <v>56</v>
      </c>
      <c r="I575" s="33" t="s">
        <v>17</v>
      </c>
      <c r="J575" s="34" t="s">
        <v>18</v>
      </c>
      <c r="K575" s="35" t="s">
        <v>0</v>
      </c>
      <c r="L575" s="33"/>
      <c r="M575" s="33"/>
      <c r="N575" s="36"/>
      <c r="O575" s="33">
        <v>3</v>
      </c>
      <c r="P575" s="33">
        <f>IF(Tabela1[[#This Row],[Status]]="✔️",Tabela1[[#This Row],[Peso]],IF(Tabela1[[#This Row],[Status]]="✔️✔️",Tabela1[[#This Row],[Peso]]/2,0))</f>
        <v>3</v>
      </c>
      <c r="Q57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75" s="33" t="s">
        <v>130</v>
      </c>
      <c r="S575" s="37" t="s">
        <v>128</v>
      </c>
    </row>
    <row r="576" spans="8:19" ht="27.6" x14ac:dyDescent="0.3">
      <c r="H576" s="32" t="s">
        <v>56</v>
      </c>
      <c r="I576" s="33" t="s">
        <v>20</v>
      </c>
      <c r="J576" s="34" t="s">
        <v>21</v>
      </c>
      <c r="K576" s="35" t="s">
        <v>0</v>
      </c>
      <c r="L576" s="33"/>
      <c r="M576" s="33"/>
      <c r="N576" s="36"/>
      <c r="O576" s="33">
        <v>3</v>
      </c>
      <c r="P576" s="33">
        <f>IF(Tabela1[[#This Row],[Status]]="✔️",Tabela1[[#This Row],[Peso]],IF(Tabela1[[#This Row],[Status]]="✔️✔️",Tabela1[[#This Row],[Peso]]/2,0))</f>
        <v>3</v>
      </c>
      <c r="Q57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76" s="33" t="s">
        <v>130</v>
      </c>
      <c r="S576" s="37" t="s">
        <v>128</v>
      </c>
    </row>
    <row r="577" spans="8:19" ht="27.6" x14ac:dyDescent="0.3">
      <c r="H577" s="32" t="s">
        <v>56</v>
      </c>
      <c r="I577" s="33" t="s">
        <v>20</v>
      </c>
      <c r="J577" s="34" t="s">
        <v>441</v>
      </c>
      <c r="K577" s="35" t="s">
        <v>290</v>
      </c>
      <c r="L577" s="33" t="s">
        <v>161</v>
      </c>
      <c r="M577" s="33">
        <v>6244</v>
      </c>
      <c r="N577" s="36"/>
      <c r="O577" s="33">
        <v>1</v>
      </c>
      <c r="P577" s="33">
        <f>IF(Tabela1[[#This Row],[Status]]="✔️",Tabela1[[#This Row],[Peso]],IF(Tabela1[[#This Row],[Status]]="✔️✔️",Tabela1[[#This Row],[Peso]]/2,0))</f>
        <v>0</v>
      </c>
      <c r="Q57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577" s="33" t="s">
        <v>130</v>
      </c>
      <c r="S577" s="37" t="s">
        <v>128</v>
      </c>
    </row>
    <row r="578" spans="8:19" ht="27.6" x14ac:dyDescent="0.3">
      <c r="H578" s="32" t="s">
        <v>56</v>
      </c>
      <c r="I578" s="33" t="s">
        <v>25</v>
      </c>
      <c r="J578" s="34" t="s">
        <v>29</v>
      </c>
      <c r="K578" s="35" t="s">
        <v>0</v>
      </c>
      <c r="L578" s="33"/>
      <c r="M578" s="33"/>
      <c r="N578" s="36"/>
      <c r="O578" s="33">
        <v>3</v>
      </c>
      <c r="P578" s="33">
        <f>IF(Tabela1[[#This Row],[Status]]="✔️",Tabela1[[#This Row],[Peso]],IF(Tabela1[[#This Row],[Status]]="✔️✔️",Tabela1[[#This Row],[Peso]]/2,0))</f>
        <v>3</v>
      </c>
      <c r="Q57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78" s="33" t="s">
        <v>130</v>
      </c>
      <c r="S578" s="37" t="s">
        <v>128</v>
      </c>
    </row>
    <row r="579" spans="8:19" ht="27.6" x14ac:dyDescent="0.3">
      <c r="H579" s="32" t="s">
        <v>56</v>
      </c>
      <c r="I579" s="33" t="s">
        <v>25</v>
      </c>
      <c r="J579" s="34" t="s">
        <v>449</v>
      </c>
      <c r="K579" s="35" t="s">
        <v>0</v>
      </c>
      <c r="L579" s="33"/>
      <c r="M579" s="33"/>
      <c r="N579" s="36"/>
      <c r="O579" s="33">
        <v>3</v>
      </c>
      <c r="P579" s="33">
        <f>IF(Tabela1[[#This Row],[Status]]="✔️",Tabela1[[#This Row],[Peso]],IF(Tabela1[[#This Row],[Status]]="✔️✔️",Tabela1[[#This Row],[Peso]]/2,0))</f>
        <v>3</v>
      </c>
      <c r="Q57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79" s="33" t="s">
        <v>130</v>
      </c>
      <c r="S579" s="37" t="s">
        <v>128</v>
      </c>
    </row>
    <row r="580" spans="8:19" ht="27.6" x14ac:dyDescent="0.3">
      <c r="H580" s="32" t="s">
        <v>56</v>
      </c>
      <c r="I580" s="33" t="s">
        <v>10</v>
      </c>
      <c r="J580" s="34" t="s">
        <v>444</v>
      </c>
      <c r="K580" s="35" t="s">
        <v>0</v>
      </c>
      <c r="L580" s="33"/>
      <c r="M580" s="33"/>
      <c r="N580" s="36"/>
      <c r="O580" s="33">
        <v>3</v>
      </c>
      <c r="P580" s="33">
        <f>IF(Tabela1[[#This Row],[Status]]="✔️",Tabela1[[#This Row],[Peso]],IF(Tabela1[[#This Row],[Status]]="✔️✔️",Tabela1[[#This Row],[Peso]]/2,0))</f>
        <v>3</v>
      </c>
      <c r="Q58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80" s="33" t="s">
        <v>130</v>
      </c>
      <c r="S580" s="37" t="s">
        <v>128</v>
      </c>
    </row>
    <row r="581" spans="8:19" ht="41.4" x14ac:dyDescent="0.3">
      <c r="H581" s="32" t="s">
        <v>56</v>
      </c>
      <c r="I581" s="33" t="s">
        <v>41</v>
      </c>
      <c r="J581" s="34" t="s">
        <v>442</v>
      </c>
      <c r="K581" s="35" t="s">
        <v>290</v>
      </c>
      <c r="L581" s="33" t="s">
        <v>47</v>
      </c>
      <c r="M581" s="33">
        <v>3184</v>
      </c>
      <c r="N581" s="36"/>
      <c r="O581" s="33">
        <v>3</v>
      </c>
      <c r="P581" s="33">
        <f>IF(Tabela1[[#This Row],[Status]]="✔️",Tabela1[[#This Row],[Peso]],IF(Tabela1[[#This Row],[Status]]="✔️✔️",Tabela1[[#This Row],[Peso]]/2,0))</f>
        <v>0</v>
      </c>
      <c r="Q58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81" s="33" t="s">
        <v>130</v>
      </c>
      <c r="S581" s="37" t="s">
        <v>128</v>
      </c>
    </row>
    <row r="582" spans="8:19" ht="41.4" x14ac:dyDescent="0.3">
      <c r="H582" s="32" t="s">
        <v>56</v>
      </c>
      <c r="I582" s="33" t="s">
        <v>41</v>
      </c>
      <c r="J582" s="34" t="s">
        <v>443</v>
      </c>
      <c r="K582" s="35" t="s">
        <v>290</v>
      </c>
      <c r="L582" s="33" t="s">
        <v>47</v>
      </c>
      <c r="M582" s="33">
        <v>3184</v>
      </c>
      <c r="N582" s="36"/>
      <c r="O582" s="33">
        <v>2</v>
      </c>
      <c r="P582" s="33">
        <f>IF(Tabela1[[#This Row],[Status]]="✔️",Tabela1[[#This Row],[Peso]],IF(Tabela1[[#This Row],[Status]]="✔️✔️",Tabela1[[#This Row],[Peso]]/2,0))</f>
        <v>0</v>
      </c>
      <c r="Q582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582" s="33" t="s">
        <v>130</v>
      </c>
      <c r="S582" s="37" t="s">
        <v>128</v>
      </c>
    </row>
    <row r="583" spans="8:19" ht="36.6" customHeight="1" x14ac:dyDescent="0.3">
      <c r="H583" s="32" t="s">
        <v>56</v>
      </c>
      <c r="I583" s="33" t="s">
        <v>30</v>
      </c>
      <c r="J583" s="34" t="s">
        <v>438</v>
      </c>
      <c r="K583" s="35" t="s">
        <v>0</v>
      </c>
      <c r="L583" s="33"/>
      <c r="M583" s="33"/>
      <c r="N583" s="36"/>
      <c r="O583" s="33">
        <v>3</v>
      </c>
      <c r="P583" s="33">
        <f>IF(Tabela1[[#This Row],[Status]]="✔️",Tabela1[[#This Row],[Peso]],IF(Tabela1[[#This Row],[Status]]="✔️✔️",Tabela1[[#This Row],[Peso]]/2,0))</f>
        <v>3</v>
      </c>
      <c r="Q58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83" s="33" t="s">
        <v>187</v>
      </c>
      <c r="S583" s="37" t="s">
        <v>132</v>
      </c>
    </row>
    <row r="584" spans="8:19" ht="36.6" customHeight="1" x14ac:dyDescent="0.3">
      <c r="H584" s="32" t="s">
        <v>56</v>
      </c>
      <c r="I584" s="33" t="s">
        <v>10</v>
      </c>
      <c r="J584" s="34" t="s">
        <v>11</v>
      </c>
      <c r="K584" s="35" t="s">
        <v>0</v>
      </c>
      <c r="L584" s="33"/>
      <c r="M584" s="33"/>
      <c r="N584" s="36"/>
      <c r="O584" s="33">
        <v>3</v>
      </c>
      <c r="P584" s="33">
        <f>IF(Tabela1[[#This Row],[Status]]="✔️",Tabela1[[#This Row],[Peso]],IF(Tabela1[[#This Row],[Status]]="✔️✔️",Tabela1[[#This Row],[Peso]]/2,0))</f>
        <v>3</v>
      </c>
      <c r="Q58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84" s="33" t="s">
        <v>187</v>
      </c>
      <c r="S584" s="37" t="s">
        <v>132</v>
      </c>
    </row>
    <row r="585" spans="8:19" ht="36.6" customHeight="1" x14ac:dyDescent="0.3">
      <c r="H585" s="32" t="s">
        <v>56</v>
      </c>
      <c r="I585" s="33" t="s">
        <v>10</v>
      </c>
      <c r="J585" s="34" t="s">
        <v>439</v>
      </c>
      <c r="K585" s="35" t="s">
        <v>0</v>
      </c>
      <c r="L585" s="33"/>
      <c r="M585" s="33"/>
      <c r="N585" s="36"/>
      <c r="O585" s="33">
        <v>3</v>
      </c>
      <c r="P585" s="33">
        <f>IF(Tabela1[[#This Row],[Status]]="✔️",Tabela1[[#This Row],[Peso]],IF(Tabela1[[#This Row],[Status]]="✔️✔️",Tabela1[[#This Row],[Peso]]/2,0))</f>
        <v>3</v>
      </c>
      <c r="Q58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85" s="33" t="s">
        <v>187</v>
      </c>
      <c r="S585" s="37" t="s">
        <v>132</v>
      </c>
    </row>
    <row r="586" spans="8:19" ht="36.6" customHeight="1" x14ac:dyDescent="0.3">
      <c r="H586" s="32" t="s">
        <v>56</v>
      </c>
      <c r="I586" s="33" t="s">
        <v>10</v>
      </c>
      <c r="J586" s="34" t="s">
        <v>440</v>
      </c>
      <c r="K586" s="35" t="s">
        <v>0</v>
      </c>
      <c r="L586" s="33"/>
      <c r="M586" s="33"/>
      <c r="N586" s="36"/>
      <c r="O586" s="33">
        <v>3</v>
      </c>
      <c r="P586" s="33">
        <f>IF(Tabela1[[#This Row],[Status]]="✔️",Tabela1[[#This Row],[Peso]],IF(Tabela1[[#This Row],[Status]]="✔️✔️",Tabela1[[#This Row],[Peso]]/2,0))</f>
        <v>3</v>
      </c>
      <c r="Q58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86" s="33" t="s">
        <v>187</v>
      </c>
      <c r="S586" s="37" t="s">
        <v>132</v>
      </c>
    </row>
    <row r="587" spans="8:19" ht="36.6" customHeight="1" x14ac:dyDescent="0.3">
      <c r="H587" s="32" t="s">
        <v>56</v>
      </c>
      <c r="I587" s="33" t="s">
        <v>12</v>
      </c>
      <c r="J587" s="34" t="s">
        <v>13</v>
      </c>
      <c r="K587" s="35" t="s">
        <v>290</v>
      </c>
      <c r="L587" s="33" t="s">
        <v>221</v>
      </c>
      <c r="M587" s="33">
        <v>5178</v>
      </c>
      <c r="N587" s="36"/>
      <c r="O587" s="33">
        <v>2</v>
      </c>
      <c r="P587" s="33">
        <f>IF(Tabela1[[#This Row],[Status]]="✔️",Tabela1[[#This Row],[Peso]],IF(Tabela1[[#This Row],[Status]]="✔️✔️",Tabela1[[#This Row],[Peso]]/2,0))</f>
        <v>0</v>
      </c>
      <c r="Q58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587" s="33" t="s">
        <v>187</v>
      </c>
      <c r="S587" s="37" t="s">
        <v>132</v>
      </c>
    </row>
    <row r="588" spans="8:19" ht="36.6" customHeight="1" x14ac:dyDescent="0.3">
      <c r="H588" s="32" t="s">
        <v>56</v>
      </c>
      <c r="I588" s="33" t="s">
        <v>14</v>
      </c>
      <c r="J588" s="34" t="s">
        <v>15</v>
      </c>
      <c r="K588" s="35" t="s">
        <v>290</v>
      </c>
      <c r="L588" s="33" t="s">
        <v>231</v>
      </c>
      <c r="M588" s="33">
        <v>4225</v>
      </c>
      <c r="N588" s="36"/>
      <c r="O588" s="33">
        <v>3</v>
      </c>
      <c r="P588" s="33">
        <f>IF(Tabela1[[#This Row],[Status]]="✔️",Tabela1[[#This Row],[Peso]],IF(Tabela1[[#This Row],[Status]]="✔️✔️",Tabela1[[#This Row],[Peso]]/2,0))</f>
        <v>0</v>
      </c>
      <c r="Q58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88" s="33" t="s">
        <v>187</v>
      </c>
      <c r="S588" s="37" t="s">
        <v>132</v>
      </c>
    </row>
    <row r="589" spans="8:19" ht="36.6" customHeight="1" x14ac:dyDescent="0.3">
      <c r="H589" s="32" t="s">
        <v>56</v>
      </c>
      <c r="I589" s="33" t="s">
        <v>14</v>
      </c>
      <c r="J589" s="34" t="s">
        <v>16</v>
      </c>
      <c r="K589" s="35" t="s">
        <v>0</v>
      </c>
      <c r="L589" s="33"/>
      <c r="M589" s="33"/>
      <c r="N589" s="36"/>
      <c r="O589" s="33">
        <v>1</v>
      </c>
      <c r="P589" s="33">
        <f>IF(Tabela1[[#This Row],[Status]]="✔️",Tabela1[[#This Row],[Peso]],IF(Tabela1[[#This Row],[Status]]="✔️✔️",Tabela1[[#This Row],[Peso]]/2,0))</f>
        <v>1</v>
      </c>
      <c r="Q58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589" s="33" t="s">
        <v>187</v>
      </c>
      <c r="S589" s="37" t="s">
        <v>132</v>
      </c>
    </row>
    <row r="590" spans="8:19" ht="36.6" customHeight="1" x14ac:dyDescent="0.3">
      <c r="H590" s="32" t="s">
        <v>56</v>
      </c>
      <c r="I590" s="33" t="s">
        <v>17</v>
      </c>
      <c r="J590" s="34" t="s">
        <v>18</v>
      </c>
      <c r="K590" s="35" t="s">
        <v>0</v>
      </c>
      <c r="L590" s="33"/>
      <c r="M590" s="33"/>
      <c r="N590" s="36"/>
      <c r="O590" s="33">
        <v>3</v>
      </c>
      <c r="P590" s="33">
        <f>IF(Tabela1[[#This Row],[Status]]="✔️",Tabela1[[#This Row],[Peso]],IF(Tabela1[[#This Row],[Status]]="✔️✔️",Tabela1[[#This Row],[Peso]]/2,0))</f>
        <v>3</v>
      </c>
      <c r="Q59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90" s="33" t="s">
        <v>187</v>
      </c>
      <c r="S590" s="37" t="s">
        <v>132</v>
      </c>
    </row>
    <row r="591" spans="8:19" ht="36.6" customHeight="1" x14ac:dyDescent="0.3">
      <c r="H591" s="32" t="s">
        <v>56</v>
      </c>
      <c r="I591" s="33" t="s">
        <v>17</v>
      </c>
      <c r="J591" s="34" t="s">
        <v>19</v>
      </c>
      <c r="K591" s="35" t="s">
        <v>290</v>
      </c>
      <c r="L591" s="33" t="s">
        <v>232</v>
      </c>
      <c r="M591" s="33">
        <v>2480</v>
      </c>
      <c r="N591" s="36"/>
      <c r="O591" s="33">
        <v>1</v>
      </c>
      <c r="P591" s="33">
        <f>IF(Tabela1[[#This Row],[Status]]="✔️",Tabela1[[#This Row],[Peso]],IF(Tabela1[[#This Row],[Status]]="✔️✔️",Tabela1[[#This Row],[Peso]]/2,0))</f>
        <v>0</v>
      </c>
      <c r="Q59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591" s="33" t="s">
        <v>187</v>
      </c>
      <c r="S591" s="37" t="s">
        <v>132</v>
      </c>
    </row>
    <row r="592" spans="8:19" ht="36.6" customHeight="1" x14ac:dyDescent="0.3">
      <c r="H592" s="32" t="s">
        <v>56</v>
      </c>
      <c r="I592" s="33" t="s">
        <v>20</v>
      </c>
      <c r="J592" s="34" t="s">
        <v>21</v>
      </c>
      <c r="K592" s="35" t="s">
        <v>290</v>
      </c>
      <c r="L592" s="33" t="s">
        <v>233</v>
      </c>
      <c r="M592" s="33">
        <v>9552</v>
      </c>
      <c r="N592" s="36"/>
      <c r="O592" s="33">
        <v>3</v>
      </c>
      <c r="P592" s="33">
        <f>IF(Tabela1[[#This Row],[Status]]="✔️",Tabela1[[#This Row],[Peso]],IF(Tabela1[[#This Row],[Status]]="✔️✔️",Tabela1[[#This Row],[Peso]]/2,0))</f>
        <v>0</v>
      </c>
      <c r="Q59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92" s="33" t="s">
        <v>187</v>
      </c>
      <c r="S592" s="37" t="s">
        <v>132</v>
      </c>
    </row>
    <row r="593" spans="8:19" ht="36.6" customHeight="1" x14ac:dyDescent="0.3">
      <c r="H593" s="32" t="s">
        <v>56</v>
      </c>
      <c r="I593" s="33" t="s">
        <v>20</v>
      </c>
      <c r="J593" s="34" t="s">
        <v>441</v>
      </c>
      <c r="K593" s="35" t="s">
        <v>290</v>
      </c>
      <c r="L593" s="33" t="s">
        <v>234</v>
      </c>
      <c r="M593" s="33">
        <v>7447</v>
      </c>
      <c r="N593" s="36"/>
      <c r="O593" s="33">
        <v>1</v>
      </c>
      <c r="P593" s="33">
        <f>IF(Tabela1[[#This Row],[Status]]="✔️",Tabela1[[#This Row],[Peso]],IF(Tabela1[[#This Row],[Status]]="✔️✔️",Tabela1[[#This Row],[Peso]]/2,0))</f>
        <v>0</v>
      </c>
      <c r="Q59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593" s="33" t="s">
        <v>187</v>
      </c>
      <c r="S593" s="37" t="s">
        <v>132</v>
      </c>
    </row>
    <row r="594" spans="8:19" ht="36.6" customHeight="1" x14ac:dyDescent="0.3">
      <c r="H594" s="32" t="s">
        <v>56</v>
      </c>
      <c r="I594" s="33" t="s">
        <v>25</v>
      </c>
      <c r="J594" s="34" t="s">
        <v>28</v>
      </c>
      <c r="K594" s="35" t="s">
        <v>290</v>
      </c>
      <c r="L594" s="33" t="s">
        <v>235</v>
      </c>
      <c r="M594" s="33">
        <v>3445</v>
      </c>
      <c r="N594" s="36"/>
      <c r="O594" s="33">
        <v>3</v>
      </c>
      <c r="P594" s="33">
        <f>IF(Tabela1[[#This Row],[Status]]="✔️",Tabela1[[#This Row],[Peso]],IF(Tabela1[[#This Row],[Status]]="✔️✔️",Tabela1[[#This Row],[Peso]]/2,0))</f>
        <v>0</v>
      </c>
      <c r="Q59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94" s="33" t="s">
        <v>187</v>
      </c>
      <c r="S594" s="37" t="s">
        <v>132</v>
      </c>
    </row>
    <row r="595" spans="8:19" ht="36.6" customHeight="1" x14ac:dyDescent="0.3">
      <c r="H595" s="32" t="s">
        <v>56</v>
      </c>
      <c r="I595" s="33" t="s">
        <v>25</v>
      </c>
      <c r="J595" s="34" t="s">
        <v>29</v>
      </c>
      <c r="K595" s="35" t="s">
        <v>0</v>
      </c>
      <c r="L595" s="33"/>
      <c r="M595" s="33"/>
      <c r="N595" s="36"/>
      <c r="O595" s="33">
        <v>3</v>
      </c>
      <c r="P595" s="33">
        <f>IF(Tabela1[[#This Row],[Status]]="✔️",Tabela1[[#This Row],[Peso]],IF(Tabela1[[#This Row],[Status]]="✔️✔️",Tabela1[[#This Row],[Peso]]/2,0))</f>
        <v>3</v>
      </c>
      <c r="Q59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95" s="33" t="s">
        <v>187</v>
      </c>
      <c r="S595" s="37" t="s">
        <v>132</v>
      </c>
    </row>
    <row r="596" spans="8:19" ht="36.6" customHeight="1" x14ac:dyDescent="0.3">
      <c r="H596" s="32" t="s">
        <v>56</v>
      </c>
      <c r="I596" s="33" t="s">
        <v>25</v>
      </c>
      <c r="J596" s="34" t="s">
        <v>449</v>
      </c>
      <c r="K596" s="35" t="s">
        <v>0</v>
      </c>
      <c r="L596" s="33"/>
      <c r="M596" s="33"/>
      <c r="N596" s="36"/>
      <c r="O596" s="33">
        <v>3</v>
      </c>
      <c r="P596" s="33">
        <f>IF(Tabela1[[#This Row],[Status]]="✔️",Tabela1[[#This Row],[Peso]],IF(Tabela1[[#This Row],[Status]]="✔️✔️",Tabela1[[#This Row],[Peso]]/2,0))</f>
        <v>3</v>
      </c>
      <c r="Q59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96" s="33" t="s">
        <v>187</v>
      </c>
      <c r="S596" s="37" t="s">
        <v>132</v>
      </c>
    </row>
    <row r="597" spans="8:19" ht="36.6" customHeight="1" x14ac:dyDescent="0.3">
      <c r="H597" s="32" t="s">
        <v>56</v>
      </c>
      <c r="I597" s="33" t="s">
        <v>41</v>
      </c>
      <c r="J597" s="34" t="s">
        <v>442</v>
      </c>
      <c r="K597" s="35" t="s">
        <v>290</v>
      </c>
      <c r="L597" s="33" t="s">
        <v>236</v>
      </c>
      <c r="M597" s="33">
        <v>9106</v>
      </c>
      <c r="N597" s="36"/>
      <c r="O597" s="33">
        <v>3</v>
      </c>
      <c r="P597" s="33">
        <f>IF(Tabela1[[#This Row],[Status]]="✔️",Tabela1[[#This Row],[Peso]],IF(Tabela1[[#This Row],[Status]]="✔️✔️",Tabela1[[#This Row],[Peso]]/2,0))</f>
        <v>0</v>
      </c>
      <c r="Q59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97" s="33" t="s">
        <v>187</v>
      </c>
      <c r="S597" s="37" t="s">
        <v>132</v>
      </c>
    </row>
    <row r="598" spans="8:19" ht="36.6" customHeight="1" x14ac:dyDescent="0.3">
      <c r="H598" s="32" t="s">
        <v>56</v>
      </c>
      <c r="I598" s="33" t="s">
        <v>41</v>
      </c>
      <c r="J598" s="34" t="s">
        <v>443</v>
      </c>
      <c r="K598" s="35" t="s">
        <v>290</v>
      </c>
      <c r="L598" s="33" t="s">
        <v>236</v>
      </c>
      <c r="M598" s="33">
        <v>9106</v>
      </c>
      <c r="N598" s="36"/>
      <c r="O598" s="33">
        <v>2</v>
      </c>
      <c r="P598" s="33">
        <f>IF(Tabela1[[#This Row],[Status]]="✔️",Tabela1[[#This Row],[Peso]],IF(Tabela1[[#This Row],[Status]]="✔️✔️",Tabela1[[#This Row],[Peso]]/2,0))</f>
        <v>0</v>
      </c>
      <c r="Q598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598" s="33" t="s">
        <v>187</v>
      </c>
      <c r="S598" s="37" t="s">
        <v>132</v>
      </c>
    </row>
    <row r="599" spans="8:19" ht="36.6" customHeight="1" x14ac:dyDescent="0.3">
      <c r="H599" s="32" t="s">
        <v>56</v>
      </c>
      <c r="I599" s="33" t="s">
        <v>10</v>
      </c>
      <c r="J599" s="34" t="s">
        <v>444</v>
      </c>
      <c r="K599" s="35" t="s">
        <v>290</v>
      </c>
      <c r="L599" s="33" t="s">
        <v>157</v>
      </c>
      <c r="M599" s="33">
        <v>8967</v>
      </c>
      <c r="N599" s="36"/>
      <c r="O599" s="33">
        <v>3</v>
      </c>
      <c r="P599" s="33">
        <f>IF(Tabela1[[#This Row],[Status]]="✔️",Tabela1[[#This Row],[Peso]],IF(Tabela1[[#This Row],[Status]]="✔️✔️",Tabela1[[#This Row],[Peso]]/2,0))</f>
        <v>0</v>
      </c>
      <c r="Q59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99" s="33" t="s">
        <v>187</v>
      </c>
      <c r="S599" s="37" t="s">
        <v>132</v>
      </c>
    </row>
    <row r="600" spans="8:19" ht="27.6" x14ac:dyDescent="0.3">
      <c r="H600" s="32" t="s">
        <v>56</v>
      </c>
      <c r="I600" s="33" t="s">
        <v>14</v>
      </c>
      <c r="J600" s="34" t="s">
        <v>15</v>
      </c>
      <c r="K600" s="35" t="s">
        <v>290</v>
      </c>
      <c r="L600" s="33" t="s">
        <v>343</v>
      </c>
      <c r="M600" s="33"/>
      <c r="N600" s="36"/>
      <c r="O600" s="33">
        <v>3</v>
      </c>
      <c r="P600" s="33">
        <f>IF(Tabela1[[#This Row],[Status]]="✔️",Tabela1[[#This Row],[Peso]],IF(Tabela1[[#This Row],[Status]]="✔️✔️",Tabela1[[#This Row],[Peso]]/2,0))</f>
        <v>0</v>
      </c>
      <c r="Q60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00" s="33" t="s">
        <v>264</v>
      </c>
      <c r="S600" s="37" t="s">
        <v>263</v>
      </c>
    </row>
    <row r="601" spans="8:19" ht="27.6" x14ac:dyDescent="0.3">
      <c r="H601" s="32" t="s">
        <v>56</v>
      </c>
      <c r="I601" s="33" t="s">
        <v>14</v>
      </c>
      <c r="J601" s="34" t="s">
        <v>16</v>
      </c>
      <c r="K601" s="35" t="s">
        <v>290</v>
      </c>
      <c r="L601" s="33" t="s">
        <v>344</v>
      </c>
      <c r="M601" s="33"/>
      <c r="N601" s="36"/>
      <c r="O601" s="33">
        <v>1</v>
      </c>
      <c r="P601" s="33">
        <f>IF(Tabela1[[#This Row],[Status]]="✔️",Tabela1[[#This Row],[Peso]],IF(Tabela1[[#This Row],[Status]]="✔️✔️",Tabela1[[#This Row],[Peso]]/2,0))</f>
        <v>0</v>
      </c>
      <c r="Q60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601" s="33" t="s">
        <v>264</v>
      </c>
      <c r="S601" s="37" t="s">
        <v>263</v>
      </c>
    </row>
    <row r="602" spans="8:19" ht="27.6" x14ac:dyDescent="0.3">
      <c r="H602" s="32" t="s">
        <v>56</v>
      </c>
      <c r="I602" s="33" t="s">
        <v>10</v>
      </c>
      <c r="J602" s="34" t="s">
        <v>11</v>
      </c>
      <c r="K602" s="35" t="s">
        <v>290</v>
      </c>
      <c r="L602" s="33"/>
      <c r="M602" s="33"/>
      <c r="N602" s="36"/>
      <c r="O602" s="33">
        <v>3</v>
      </c>
      <c r="P602" s="33">
        <f>IF(Tabela1[[#This Row],[Status]]="✔️",Tabela1[[#This Row],[Peso]],IF(Tabela1[[#This Row],[Status]]="✔️✔️",Tabela1[[#This Row],[Peso]]/2,0))</f>
        <v>0</v>
      </c>
      <c r="Q60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02" s="33" t="s">
        <v>264</v>
      </c>
      <c r="S602" s="37" t="s">
        <v>263</v>
      </c>
    </row>
    <row r="603" spans="8:19" ht="27.6" x14ac:dyDescent="0.3">
      <c r="H603" s="32" t="s">
        <v>56</v>
      </c>
      <c r="I603" s="33" t="s">
        <v>10</v>
      </c>
      <c r="J603" s="34" t="s">
        <v>316</v>
      </c>
      <c r="K603" s="35" t="s">
        <v>290</v>
      </c>
      <c r="L603" s="33"/>
      <c r="M603" s="33"/>
      <c r="N603" s="36"/>
      <c r="O603" s="33">
        <v>3</v>
      </c>
      <c r="P603" s="33">
        <f>IF(Tabela1[[#This Row],[Status]]="✔️",Tabela1[[#This Row],[Peso]],IF(Tabela1[[#This Row],[Status]]="✔️✔️",Tabela1[[#This Row],[Peso]]/2,0))</f>
        <v>0</v>
      </c>
      <c r="Q60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03" s="33" t="s">
        <v>264</v>
      </c>
      <c r="S603" s="37" t="s">
        <v>263</v>
      </c>
    </row>
    <row r="604" spans="8:19" ht="27.6" x14ac:dyDescent="0.3">
      <c r="H604" s="32" t="s">
        <v>56</v>
      </c>
      <c r="I604" s="33" t="s">
        <v>10</v>
      </c>
      <c r="J604" s="34" t="s">
        <v>450</v>
      </c>
      <c r="K604" s="35" t="s">
        <v>290</v>
      </c>
      <c r="L604" s="33"/>
      <c r="M604" s="33"/>
      <c r="N604" s="36"/>
      <c r="O604" s="33">
        <v>3</v>
      </c>
      <c r="P604" s="33">
        <f>IF(Tabela1[[#This Row],[Status]]="✔️",Tabela1[[#This Row],[Peso]],IF(Tabela1[[#This Row],[Status]]="✔️✔️",Tabela1[[#This Row],[Peso]]/2,0))</f>
        <v>0</v>
      </c>
      <c r="Q60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04" s="33" t="s">
        <v>264</v>
      </c>
      <c r="S604" s="37" t="s">
        <v>263</v>
      </c>
    </row>
    <row r="605" spans="8:19" ht="27.6" x14ac:dyDescent="0.3">
      <c r="H605" s="32" t="s">
        <v>56</v>
      </c>
      <c r="I605" s="33" t="s">
        <v>10</v>
      </c>
      <c r="J605" s="34" t="s">
        <v>451</v>
      </c>
      <c r="K605" s="35" t="s">
        <v>1</v>
      </c>
      <c r="L605" s="33"/>
      <c r="M605" s="33"/>
      <c r="N605" s="36"/>
      <c r="O605" s="33">
        <v>3</v>
      </c>
      <c r="P605" s="33">
        <f>IF(Tabela1[[#This Row],[Status]]="✔️",Tabela1[[#This Row],[Peso]],IF(Tabela1[[#This Row],[Status]]="✔️✔️",Tabela1[[#This Row],[Peso]]/2,0))</f>
        <v>0</v>
      </c>
      <c r="Q60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05" s="33" t="s">
        <v>264</v>
      </c>
      <c r="S605" s="37" t="s">
        <v>263</v>
      </c>
    </row>
    <row r="606" spans="8:19" ht="27.6" x14ac:dyDescent="0.3">
      <c r="H606" s="32" t="s">
        <v>56</v>
      </c>
      <c r="I606" s="33" t="s">
        <v>12</v>
      </c>
      <c r="J606" s="34" t="s">
        <v>13</v>
      </c>
      <c r="K606" s="35" t="s">
        <v>290</v>
      </c>
      <c r="L606" s="33"/>
      <c r="M606" s="33"/>
      <c r="N606" s="36"/>
      <c r="O606" s="33">
        <v>2</v>
      </c>
      <c r="P606" s="33">
        <f>IF(Tabela1[[#This Row],[Status]]="✔️",Tabela1[[#This Row],[Peso]],IF(Tabela1[[#This Row],[Status]]="✔️✔️",Tabela1[[#This Row],[Peso]]/2,0))</f>
        <v>0</v>
      </c>
      <c r="Q60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606" s="33" t="s">
        <v>264</v>
      </c>
      <c r="S606" s="37" t="s">
        <v>263</v>
      </c>
    </row>
    <row r="607" spans="8:19" ht="27.6" x14ac:dyDescent="0.3">
      <c r="H607" s="32" t="s">
        <v>56</v>
      </c>
      <c r="I607" s="33" t="s">
        <v>17</v>
      </c>
      <c r="J607" s="34" t="s">
        <v>18</v>
      </c>
      <c r="K607" s="35" t="s">
        <v>1</v>
      </c>
      <c r="L607" s="33"/>
      <c r="M607" s="33"/>
      <c r="N607" s="36"/>
      <c r="O607" s="33">
        <v>3</v>
      </c>
      <c r="P607" s="33">
        <f>IF(Tabela1[[#This Row],[Status]]="✔️",Tabela1[[#This Row],[Peso]],IF(Tabela1[[#This Row],[Status]]="✔️✔️",Tabela1[[#This Row],[Peso]]/2,0))</f>
        <v>0</v>
      </c>
      <c r="Q60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07" s="33" t="s">
        <v>264</v>
      </c>
      <c r="S607" s="37" t="s">
        <v>263</v>
      </c>
    </row>
    <row r="608" spans="8:19" ht="27.6" x14ac:dyDescent="0.3">
      <c r="H608" s="32" t="s">
        <v>56</v>
      </c>
      <c r="I608" s="33" t="s">
        <v>17</v>
      </c>
      <c r="J608" s="34" t="s">
        <v>19</v>
      </c>
      <c r="K608" s="35" t="s">
        <v>0</v>
      </c>
      <c r="L608" s="33"/>
      <c r="M608" s="33"/>
      <c r="N608" s="36"/>
      <c r="O608" s="33">
        <v>1</v>
      </c>
      <c r="P608" s="33">
        <f>IF(Tabela1[[#This Row],[Status]]="✔️",Tabela1[[#This Row],[Peso]],IF(Tabela1[[#This Row],[Status]]="✔️✔️",Tabela1[[#This Row],[Peso]]/2,0))</f>
        <v>1</v>
      </c>
      <c r="Q60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608" s="33" t="s">
        <v>264</v>
      </c>
      <c r="S608" s="37" t="s">
        <v>263</v>
      </c>
    </row>
    <row r="609" spans="8:19" ht="27.6" x14ac:dyDescent="0.3">
      <c r="H609" s="32" t="s">
        <v>56</v>
      </c>
      <c r="I609" s="33" t="s">
        <v>20</v>
      </c>
      <c r="J609" s="34" t="s">
        <v>21</v>
      </c>
      <c r="K609" s="35" t="s">
        <v>1</v>
      </c>
      <c r="L609" s="33"/>
      <c r="M609" s="33"/>
      <c r="N609" s="36"/>
      <c r="O609" s="33">
        <v>3</v>
      </c>
      <c r="P609" s="33">
        <f>IF(Tabela1[[#This Row],[Status]]="✔️",Tabela1[[#This Row],[Peso]],IF(Tabela1[[#This Row],[Status]]="✔️✔️",Tabela1[[#This Row],[Peso]]/2,0))</f>
        <v>0</v>
      </c>
      <c r="Q60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09" s="33" t="s">
        <v>264</v>
      </c>
      <c r="S609" s="37" t="s">
        <v>263</v>
      </c>
    </row>
    <row r="610" spans="8:19" ht="27.6" x14ac:dyDescent="0.3">
      <c r="H610" s="32" t="s">
        <v>56</v>
      </c>
      <c r="I610" s="33" t="s">
        <v>20</v>
      </c>
      <c r="J610" s="34" t="s">
        <v>452</v>
      </c>
      <c r="K610" s="35" t="s">
        <v>290</v>
      </c>
      <c r="L610" s="33"/>
      <c r="M610" s="33"/>
      <c r="N610" s="36"/>
      <c r="O610" s="33">
        <v>1</v>
      </c>
      <c r="P610" s="33">
        <f>IF(Tabela1[[#This Row],[Status]]="✔️",Tabela1[[#This Row],[Peso]],IF(Tabela1[[#This Row],[Status]]="✔️✔️",Tabela1[[#This Row],[Peso]]/2,0))</f>
        <v>0</v>
      </c>
      <c r="Q61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610" s="33" t="s">
        <v>264</v>
      </c>
      <c r="S610" s="37" t="s">
        <v>263</v>
      </c>
    </row>
    <row r="611" spans="8:19" ht="27.6" x14ac:dyDescent="0.3">
      <c r="H611" s="32" t="s">
        <v>56</v>
      </c>
      <c r="I611" s="33" t="s">
        <v>22</v>
      </c>
      <c r="J611" s="34" t="s">
        <v>23</v>
      </c>
      <c r="K611" s="35" t="s">
        <v>290</v>
      </c>
      <c r="L611" s="33" t="s">
        <v>345</v>
      </c>
      <c r="M611" s="33"/>
      <c r="N611" s="36"/>
      <c r="O611" s="33">
        <v>1</v>
      </c>
      <c r="P611" s="33">
        <f>IF(Tabela1[[#This Row],[Status]]="✔️",Tabela1[[#This Row],[Peso]],IF(Tabela1[[#This Row],[Status]]="✔️✔️",Tabela1[[#This Row],[Peso]]/2,0))</f>
        <v>0</v>
      </c>
      <c r="Q61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611" s="33" t="s">
        <v>264</v>
      </c>
      <c r="S611" s="37" t="s">
        <v>263</v>
      </c>
    </row>
    <row r="612" spans="8:19" ht="27.6" x14ac:dyDescent="0.3">
      <c r="H612" s="32" t="s">
        <v>56</v>
      </c>
      <c r="I612" s="33" t="s">
        <v>22</v>
      </c>
      <c r="J612" s="34" t="s">
        <v>453</v>
      </c>
      <c r="K612" s="35" t="s">
        <v>290</v>
      </c>
      <c r="L612" s="33" t="s">
        <v>346</v>
      </c>
      <c r="M612" s="33"/>
      <c r="N612" s="36"/>
      <c r="O612" s="33">
        <v>1</v>
      </c>
      <c r="P612" s="33">
        <f>IF(Tabela1[[#This Row],[Status]]="✔️",Tabela1[[#This Row],[Peso]],IF(Tabela1[[#This Row],[Status]]="✔️✔️",Tabela1[[#This Row],[Peso]]/2,0))</f>
        <v>0</v>
      </c>
      <c r="Q61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612" s="33" t="s">
        <v>264</v>
      </c>
      <c r="S612" s="37" t="s">
        <v>263</v>
      </c>
    </row>
    <row r="613" spans="8:19" ht="27.6" x14ac:dyDescent="0.3">
      <c r="H613" s="32" t="s">
        <v>56</v>
      </c>
      <c r="I613" s="33" t="s">
        <v>25</v>
      </c>
      <c r="J613" s="34" t="s">
        <v>454</v>
      </c>
      <c r="K613" s="35" t="s">
        <v>290</v>
      </c>
      <c r="L613" s="33"/>
      <c r="M613" s="33"/>
      <c r="N613" s="36"/>
      <c r="O613" s="33">
        <v>3</v>
      </c>
      <c r="P613" s="33">
        <f>IF(Tabela1[[#This Row],[Status]]="✔️",Tabela1[[#This Row],[Peso]],IF(Tabela1[[#This Row],[Status]]="✔️✔️",Tabela1[[#This Row],[Peso]]/2,0))</f>
        <v>0</v>
      </c>
      <c r="Q61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13" s="33" t="s">
        <v>264</v>
      </c>
      <c r="S613" s="37" t="s">
        <v>263</v>
      </c>
    </row>
    <row r="614" spans="8:19" ht="27.6" x14ac:dyDescent="0.3">
      <c r="H614" s="32" t="s">
        <v>56</v>
      </c>
      <c r="I614" s="33" t="s">
        <v>25</v>
      </c>
      <c r="J614" s="34" t="s">
        <v>340</v>
      </c>
      <c r="K614" s="35" t="s">
        <v>0</v>
      </c>
      <c r="L614" s="33"/>
      <c r="M614" s="33"/>
      <c r="N614" s="36"/>
      <c r="O614" s="33">
        <v>3</v>
      </c>
      <c r="P614" s="33">
        <f>IF(Tabela1[[#This Row],[Status]]="✔️",Tabela1[[#This Row],[Peso]],IF(Tabela1[[#This Row],[Status]]="✔️✔️",Tabela1[[#This Row],[Peso]]/2,0))</f>
        <v>3</v>
      </c>
      <c r="Q61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14" s="33" t="s">
        <v>264</v>
      </c>
      <c r="S614" s="37" t="s">
        <v>263</v>
      </c>
    </row>
    <row r="615" spans="8:19" ht="27.6" x14ac:dyDescent="0.3">
      <c r="H615" s="32" t="s">
        <v>56</v>
      </c>
      <c r="I615" s="33" t="s">
        <v>30</v>
      </c>
      <c r="J615" s="34" t="s">
        <v>455</v>
      </c>
      <c r="K615" s="35" t="s">
        <v>290</v>
      </c>
      <c r="L615" s="33"/>
      <c r="M615" s="33"/>
      <c r="N615" s="36"/>
      <c r="O615" s="33">
        <v>3</v>
      </c>
      <c r="P615" s="33">
        <f>IF(Tabela1[[#This Row],[Status]]="✔️",Tabela1[[#This Row],[Peso]],IF(Tabela1[[#This Row],[Status]]="✔️✔️",Tabela1[[#This Row],[Peso]]/2,0))</f>
        <v>0</v>
      </c>
      <c r="Q61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15" s="33" t="s">
        <v>264</v>
      </c>
      <c r="S615" s="37" t="s">
        <v>263</v>
      </c>
    </row>
    <row r="616" spans="8:19" ht="27.6" x14ac:dyDescent="0.3">
      <c r="H616" s="32" t="s">
        <v>56</v>
      </c>
      <c r="I616" s="33" t="s">
        <v>25</v>
      </c>
      <c r="J616" s="34" t="s">
        <v>456</v>
      </c>
      <c r="K616" s="35" t="s">
        <v>0</v>
      </c>
      <c r="L616" s="33"/>
      <c r="M616" s="33"/>
      <c r="N616" s="36"/>
      <c r="O616" s="33">
        <v>3</v>
      </c>
      <c r="P616" s="33">
        <f>IF(Tabela1[[#This Row],[Status]]="✔️",Tabela1[[#This Row],[Peso]],IF(Tabela1[[#This Row],[Status]]="✔️✔️",Tabela1[[#This Row],[Peso]]/2,0))</f>
        <v>3</v>
      </c>
      <c r="Q61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16" s="33" t="s">
        <v>264</v>
      </c>
      <c r="S616" s="37" t="s">
        <v>263</v>
      </c>
    </row>
    <row r="617" spans="8:19" ht="41.4" x14ac:dyDescent="0.3">
      <c r="H617" s="32" t="s">
        <v>56</v>
      </c>
      <c r="I617" s="33" t="s">
        <v>41</v>
      </c>
      <c r="J617" s="34" t="s">
        <v>457</v>
      </c>
      <c r="K617" s="35" t="s">
        <v>1</v>
      </c>
      <c r="L617" s="33"/>
      <c r="M617" s="33"/>
      <c r="N617" s="36"/>
      <c r="O617" s="33">
        <v>3</v>
      </c>
      <c r="P617" s="33">
        <f>IF(Tabela1[[#This Row],[Status]]="✔️",Tabela1[[#This Row],[Peso]],IF(Tabela1[[#This Row],[Status]]="✔️✔️",Tabela1[[#This Row],[Peso]]/2,0))</f>
        <v>0</v>
      </c>
      <c r="Q61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17" s="33" t="s">
        <v>264</v>
      </c>
      <c r="S617" s="37" t="s">
        <v>263</v>
      </c>
    </row>
    <row r="618" spans="8:19" ht="41.4" x14ac:dyDescent="0.3">
      <c r="H618" s="32" t="s">
        <v>56</v>
      </c>
      <c r="I618" s="33" t="s">
        <v>41</v>
      </c>
      <c r="J618" s="34" t="s">
        <v>458</v>
      </c>
      <c r="K618" s="35" t="s">
        <v>1</v>
      </c>
      <c r="L618" s="33"/>
      <c r="M618" s="33"/>
      <c r="N618" s="36"/>
      <c r="O618" s="33">
        <v>2</v>
      </c>
      <c r="P618" s="33">
        <f>IF(Tabela1[[#This Row],[Status]]="✔️",Tabela1[[#This Row],[Peso]],IF(Tabela1[[#This Row],[Status]]="✔️✔️",Tabela1[[#This Row],[Peso]]/2,0))</f>
        <v>0</v>
      </c>
      <c r="Q61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18" s="33" t="s">
        <v>264</v>
      </c>
      <c r="S618" s="37" t="s">
        <v>263</v>
      </c>
    </row>
    <row r="619" spans="8:19" ht="27.6" x14ac:dyDescent="0.3">
      <c r="H619" s="32" t="s">
        <v>133</v>
      </c>
      <c r="I619" s="33" t="s">
        <v>30</v>
      </c>
      <c r="J619" s="34" t="s">
        <v>438</v>
      </c>
      <c r="K619" s="35" t="s">
        <v>0</v>
      </c>
      <c r="L619" s="33"/>
      <c r="M619" s="33"/>
      <c r="N619" s="36"/>
      <c r="O619" s="33">
        <v>3</v>
      </c>
      <c r="P619" s="33">
        <f>IF(Tabela1[[#This Row],[Status]]="✔️",Tabela1[[#This Row],[Peso]],IF(Tabela1[[#This Row],[Status]]="✔️✔️",Tabela1[[#This Row],[Peso]]/2,0))</f>
        <v>3</v>
      </c>
      <c r="Q61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19" s="33" t="s">
        <v>264</v>
      </c>
      <c r="S619" s="37" t="s">
        <v>263</v>
      </c>
    </row>
    <row r="620" spans="8:19" ht="27.6" x14ac:dyDescent="0.3">
      <c r="H620" s="32" t="s">
        <v>133</v>
      </c>
      <c r="I620" s="33" t="s">
        <v>10</v>
      </c>
      <c r="J620" s="34" t="s">
        <v>444</v>
      </c>
      <c r="K620" s="35" t="s">
        <v>290</v>
      </c>
      <c r="L620" s="33" t="s">
        <v>167</v>
      </c>
      <c r="M620" s="33"/>
      <c r="N620" s="36"/>
      <c r="O620" s="33">
        <v>3</v>
      </c>
      <c r="P620" s="33">
        <f>IF(Tabela1[[#This Row],[Status]]="✔️",Tabela1[[#This Row],[Peso]],IF(Tabela1[[#This Row],[Status]]="✔️✔️",Tabela1[[#This Row],[Peso]]/2,0))</f>
        <v>0</v>
      </c>
      <c r="Q62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20" s="33" t="s">
        <v>264</v>
      </c>
      <c r="S620" s="37" t="s">
        <v>263</v>
      </c>
    </row>
    <row r="621" spans="8:19" ht="27.6" x14ac:dyDescent="0.3">
      <c r="H621" s="32" t="s">
        <v>133</v>
      </c>
      <c r="I621" s="33" t="s">
        <v>10</v>
      </c>
      <c r="J621" s="34" t="s">
        <v>11</v>
      </c>
      <c r="K621" s="35" t="s">
        <v>290</v>
      </c>
      <c r="L621" s="33"/>
      <c r="M621" s="33"/>
      <c r="N621" s="36"/>
      <c r="O621" s="33">
        <v>3</v>
      </c>
      <c r="P621" s="33">
        <f>IF(Tabela1[[#This Row],[Status]]="✔️",Tabela1[[#This Row],[Peso]],IF(Tabela1[[#This Row],[Status]]="✔️✔️",Tabela1[[#This Row],[Peso]]/2,0))</f>
        <v>0</v>
      </c>
      <c r="Q62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21" s="33" t="s">
        <v>264</v>
      </c>
      <c r="S621" s="37" t="s">
        <v>263</v>
      </c>
    </row>
    <row r="622" spans="8:19" ht="27.6" x14ac:dyDescent="0.3">
      <c r="H622" s="32" t="s">
        <v>133</v>
      </c>
      <c r="I622" s="33" t="s">
        <v>30</v>
      </c>
      <c r="J622" s="34" t="s">
        <v>438</v>
      </c>
      <c r="K622" s="35" t="s">
        <v>1</v>
      </c>
      <c r="L622" s="33"/>
      <c r="M622" s="33"/>
      <c r="N622" s="36"/>
      <c r="O622" s="33">
        <v>3</v>
      </c>
      <c r="P622" s="33">
        <f>IF(Tabela1[[#This Row],[Status]]="✔️",Tabela1[[#This Row],[Peso]],IF(Tabela1[[#This Row],[Status]]="✔️✔️",Tabela1[[#This Row],[Peso]]/2,0))</f>
        <v>0</v>
      </c>
      <c r="Q62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22" s="33" t="s">
        <v>130</v>
      </c>
      <c r="S622" s="37" t="s">
        <v>132</v>
      </c>
    </row>
    <row r="623" spans="8:19" ht="27.6" x14ac:dyDescent="0.3">
      <c r="H623" s="32" t="s">
        <v>133</v>
      </c>
      <c r="I623" s="33" t="s">
        <v>10</v>
      </c>
      <c r="J623" s="34" t="s">
        <v>11</v>
      </c>
      <c r="K623" s="35" t="s">
        <v>290</v>
      </c>
      <c r="L623" s="33"/>
      <c r="M623" s="33">
        <v>6808</v>
      </c>
      <c r="N623" s="36"/>
      <c r="O623" s="33">
        <v>3</v>
      </c>
      <c r="P623" s="33">
        <f>IF(Tabela1[[#This Row],[Status]]="✔️",Tabela1[[#This Row],[Peso]],IF(Tabela1[[#This Row],[Status]]="✔️✔️",Tabela1[[#This Row],[Peso]]/2,0))</f>
        <v>0</v>
      </c>
      <c r="Q62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23" s="33" t="s">
        <v>130</v>
      </c>
      <c r="S623" s="37" t="s">
        <v>132</v>
      </c>
    </row>
    <row r="624" spans="8:19" ht="27.6" x14ac:dyDescent="0.3">
      <c r="H624" s="32" t="s">
        <v>133</v>
      </c>
      <c r="I624" s="33" t="s">
        <v>30</v>
      </c>
      <c r="J624" s="34" t="s">
        <v>438</v>
      </c>
      <c r="K624" s="35" t="s">
        <v>0</v>
      </c>
      <c r="L624" s="33"/>
      <c r="M624" s="33"/>
      <c r="N624" s="36"/>
      <c r="O624" s="33">
        <v>3</v>
      </c>
      <c r="P624" s="33">
        <f>IF(Tabela1[[#This Row],[Status]]="✔️",Tabela1[[#This Row],[Peso]],IF(Tabela1[[#This Row],[Status]]="✔️✔️",Tabela1[[#This Row],[Peso]]/2,0))</f>
        <v>3</v>
      </c>
      <c r="Q62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24" s="33" t="s">
        <v>130</v>
      </c>
      <c r="S624" s="37" t="s">
        <v>128</v>
      </c>
    </row>
    <row r="625" spans="8:19" ht="27.6" x14ac:dyDescent="0.3">
      <c r="H625" s="32" t="s">
        <v>133</v>
      </c>
      <c r="I625" s="33" t="s">
        <v>10</v>
      </c>
      <c r="J625" s="34" t="s">
        <v>444</v>
      </c>
      <c r="K625" s="35" t="s">
        <v>0</v>
      </c>
      <c r="L625" s="33" t="s">
        <v>167</v>
      </c>
      <c r="M625" s="33"/>
      <c r="N625" s="36"/>
      <c r="O625" s="33">
        <v>3</v>
      </c>
      <c r="P625" s="33">
        <f>IF(Tabela1[[#This Row],[Status]]="✔️",Tabela1[[#This Row],[Peso]],IF(Tabela1[[#This Row],[Status]]="✔️✔️",Tabela1[[#This Row],[Peso]]/2,0))</f>
        <v>3</v>
      </c>
      <c r="Q62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25" s="33" t="s">
        <v>130</v>
      </c>
      <c r="S625" s="37" t="s">
        <v>132</v>
      </c>
    </row>
    <row r="626" spans="8:19" ht="27.6" x14ac:dyDescent="0.3">
      <c r="H626" s="32" t="s">
        <v>133</v>
      </c>
      <c r="I626" s="33" t="s">
        <v>10</v>
      </c>
      <c r="J626" s="34" t="s">
        <v>444</v>
      </c>
      <c r="K626" s="35" t="s">
        <v>0</v>
      </c>
      <c r="L626" s="33" t="s">
        <v>167</v>
      </c>
      <c r="M626" s="33"/>
      <c r="N626" s="36"/>
      <c r="O626" s="33">
        <v>3</v>
      </c>
      <c r="P626" s="33">
        <f>IF(Tabela1[[#This Row],[Status]]="✔️",Tabela1[[#This Row],[Peso]],IF(Tabela1[[#This Row],[Status]]="✔️✔️",Tabela1[[#This Row],[Peso]]/2,0))</f>
        <v>3</v>
      </c>
      <c r="Q62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26" s="33" t="s">
        <v>130</v>
      </c>
      <c r="S626" s="37" t="s">
        <v>128</v>
      </c>
    </row>
    <row r="627" spans="8:19" ht="27.6" x14ac:dyDescent="0.3">
      <c r="H627" s="32" t="s">
        <v>133</v>
      </c>
      <c r="I627" s="33" t="s">
        <v>10</v>
      </c>
      <c r="J627" s="34" t="s">
        <v>11</v>
      </c>
      <c r="K627" s="35" t="s">
        <v>290</v>
      </c>
      <c r="L627" s="33" t="s">
        <v>288</v>
      </c>
      <c r="M627" s="33">
        <v>6808</v>
      </c>
      <c r="N627" s="36"/>
      <c r="O627" s="33">
        <v>3</v>
      </c>
      <c r="P627" s="33">
        <f>IF(Tabela1[[#This Row],[Status]]="✔️",Tabela1[[#This Row],[Peso]],IF(Tabela1[[#This Row],[Status]]="✔️✔️",Tabela1[[#This Row],[Peso]]/2,0))</f>
        <v>0</v>
      </c>
      <c r="Q62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27" s="33" t="s">
        <v>130</v>
      </c>
      <c r="S627" s="37" t="s">
        <v>128</v>
      </c>
    </row>
    <row r="628" spans="8:19" ht="41.4" x14ac:dyDescent="0.3">
      <c r="H628" s="32" t="s">
        <v>133</v>
      </c>
      <c r="I628" s="33" t="s">
        <v>30</v>
      </c>
      <c r="J628" s="34" t="s">
        <v>438</v>
      </c>
      <c r="K628" s="35" t="s">
        <v>0</v>
      </c>
      <c r="L628" s="33"/>
      <c r="M628" s="33"/>
      <c r="N628" s="36"/>
      <c r="O628" s="33">
        <v>3</v>
      </c>
      <c r="P628" s="33">
        <f>IF(Tabela1[[#This Row],[Status]]="✔️",Tabela1[[#This Row],[Peso]],IF(Tabela1[[#This Row],[Status]]="✔️✔️",Tabela1[[#This Row],[Peso]]/2,0))</f>
        <v>3</v>
      </c>
      <c r="Q62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28" s="33" t="s">
        <v>187</v>
      </c>
      <c r="S628" s="37" t="s">
        <v>132</v>
      </c>
    </row>
    <row r="629" spans="8:19" ht="41.4" x14ac:dyDescent="0.3">
      <c r="H629" s="32" t="s">
        <v>133</v>
      </c>
      <c r="I629" s="33" t="s">
        <v>10</v>
      </c>
      <c r="J629" s="34" t="s">
        <v>11</v>
      </c>
      <c r="K629" s="35" t="s">
        <v>290</v>
      </c>
      <c r="L629" s="33" t="s">
        <v>227</v>
      </c>
      <c r="M629" s="33">
        <v>8191</v>
      </c>
      <c r="N629" s="36"/>
      <c r="O629" s="33">
        <v>3</v>
      </c>
      <c r="P629" s="33">
        <f>IF(Tabela1[[#This Row],[Status]]="✔️",Tabela1[[#This Row],[Peso]],IF(Tabela1[[#This Row],[Status]]="✔️✔️",Tabela1[[#This Row],[Peso]]/2,0))</f>
        <v>0</v>
      </c>
      <c r="Q62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29" s="33" t="s">
        <v>187</v>
      </c>
      <c r="S629" s="37" t="s">
        <v>132</v>
      </c>
    </row>
    <row r="630" spans="8:19" ht="41.4" x14ac:dyDescent="0.3">
      <c r="H630" s="32" t="s">
        <v>133</v>
      </c>
      <c r="I630" s="33" t="s">
        <v>10</v>
      </c>
      <c r="J630" s="34" t="s">
        <v>439</v>
      </c>
      <c r="K630" s="35" t="s">
        <v>1</v>
      </c>
      <c r="L630" s="33"/>
      <c r="M630" s="33"/>
      <c r="N630" s="36"/>
      <c r="O630" s="33">
        <v>3</v>
      </c>
      <c r="P630" s="33">
        <f>IF(Tabela1[[#This Row],[Status]]="✔️",Tabela1[[#This Row],[Peso]],IF(Tabela1[[#This Row],[Status]]="✔️✔️",Tabela1[[#This Row],[Peso]]/2,0))</f>
        <v>0</v>
      </c>
      <c r="Q63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30" s="33" t="s">
        <v>187</v>
      </c>
      <c r="S630" s="37" t="s">
        <v>132</v>
      </c>
    </row>
    <row r="631" spans="8:19" ht="41.4" x14ac:dyDescent="0.3">
      <c r="H631" s="32" t="s">
        <v>133</v>
      </c>
      <c r="I631" s="33" t="s">
        <v>10</v>
      </c>
      <c r="J631" s="34" t="s">
        <v>440</v>
      </c>
      <c r="K631" s="35" t="s">
        <v>1</v>
      </c>
      <c r="L631" s="33"/>
      <c r="M631" s="33"/>
      <c r="N631" s="36"/>
      <c r="O631" s="33">
        <v>3</v>
      </c>
      <c r="P631" s="33">
        <f>IF(Tabela1[[#This Row],[Status]]="✔️",Tabela1[[#This Row],[Peso]],IF(Tabela1[[#This Row],[Status]]="✔️✔️",Tabela1[[#This Row],[Peso]]/2,0))</f>
        <v>0</v>
      </c>
      <c r="Q63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31" s="33" t="s">
        <v>187</v>
      </c>
      <c r="S631" s="37" t="s">
        <v>132</v>
      </c>
    </row>
    <row r="632" spans="8:19" ht="41.4" x14ac:dyDescent="0.3">
      <c r="H632" s="32" t="s">
        <v>133</v>
      </c>
      <c r="I632" s="33" t="s">
        <v>12</v>
      </c>
      <c r="J632" s="34" t="s">
        <v>13</v>
      </c>
      <c r="K632" s="35" t="s">
        <v>1</v>
      </c>
      <c r="L632" s="33"/>
      <c r="M632" s="33"/>
      <c r="N632" s="36"/>
      <c r="O632" s="33">
        <v>2</v>
      </c>
      <c r="P632" s="33">
        <f>IF(Tabela1[[#This Row],[Status]]="✔️",Tabela1[[#This Row],[Peso]],IF(Tabela1[[#This Row],[Status]]="✔️✔️",Tabela1[[#This Row],[Peso]]/2,0))</f>
        <v>0</v>
      </c>
      <c r="Q63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32" s="33" t="s">
        <v>187</v>
      </c>
      <c r="S632" s="37" t="s">
        <v>132</v>
      </c>
    </row>
    <row r="633" spans="8:19" ht="41.4" x14ac:dyDescent="0.3">
      <c r="H633" s="32" t="s">
        <v>133</v>
      </c>
      <c r="I633" s="33" t="s">
        <v>14</v>
      </c>
      <c r="J633" s="34" t="s">
        <v>15</v>
      </c>
      <c r="K633" s="35" t="s">
        <v>1</v>
      </c>
      <c r="L633" s="33"/>
      <c r="M633" s="33"/>
      <c r="N633" s="36"/>
      <c r="O633" s="33">
        <v>3</v>
      </c>
      <c r="P633" s="33">
        <f>IF(Tabela1[[#This Row],[Status]]="✔️",Tabela1[[#This Row],[Peso]],IF(Tabela1[[#This Row],[Status]]="✔️✔️",Tabela1[[#This Row],[Peso]]/2,0))</f>
        <v>0</v>
      </c>
      <c r="Q63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33" s="33" t="s">
        <v>187</v>
      </c>
      <c r="S633" s="37" t="s">
        <v>132</v>
      </c>
    </row>
    <row r="634" spans="8:19" ht="41.4" x14ac:dyDescent="0.3">
      <c r="H634" s="32" t="s">
        <v>133</v>
      </c>
      <c r="I634" s="33" t="s">
        <v>14</v>
      </c>
      <c r="J634" s="34" t="s">
        <v>16</v>
      </c>
      <c r="K634" s="35" t="s">
        <v>1</v>
      </c>
      <c r="L634" s="33"/>
      <c r="M634" s="33"/>
      <c r="N634" s="36"/>
      <c r="O634" s="33">
        <v>1</v>
      </c>
      <c r="P634" s="33">
        <f>IF(Tabela1[[#This Row],[Status]]="✔️",Tabela1[[#This Row],[Peso]],IF(Tabela1[[#This Row],[Status]]="✔️✔️",Tabela1[[#This Row],[Peso]]/2,0))</f>
        <v>0</v>
      </c>
      <c r="Q63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34" s="33" t="s">
        <v>187</v>
      </c>
      <c r="S634" s="37" t="s">
        <v>132</v>
      </c>
    </row>
    <row r="635" spans="8:19" ht="41.4" x14ac:dyDescent="0.3">
      <c r="H635" s="32" t="s">
        <v>133</v>
      </c>
      <c r="I635" s="33" t="s">
        <v>17</v>
      </c>
      <c r="J635" s="34" t="s">
        <v>18</v>
      </c>
      <c r="K635" s="35" t="s">
        <v>1</v>
      </c>
      <c r="L635" s="33"/>
      <c r="M635" s="33"/>
      <c r="N635" s="36"/>
      <c r="O635" s="33">
        <v>3</v>
      </c>
      <c r="P635" s="33">
        <f>IF(Tabela1[[#This Row],[Status]]="✔️",Tabela1[[#This Row],[Peso]],IF(Tabela1[[#This Row],[Status]]="✔️✔️",Tabela1[[#This Row],[Peso]]/2,0))</f>
        <v>0</v>
      </c>
      <c r="Q63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35" s="33" t="s">
        <v>187</v>
      </c>
      <c r="S635" s="37" t="s">
        <v>132</v>
      </c>
    </row>
    <row r="636" spans="8:19" ht="41.4" x14ac:dyDescent="0.3">
      <c r="H636" s="32" t="s">
        <v>133</v>
      </c>
      <c r="I636" s="33" t="s">
        <v>17</v>
      </c>
      <c r="J636" s="34" t="s">
        <v>19</v>
      </c>
      <c r="K636" s="35" t="s">
        <v>1</v>
      </c>
      <c r="L636" s="33"/>
      <c r="M636" s="33"/>
      <c r="N636" s="36"/>
      <c r="O636" s="33">
        <v>1</v>
      </c>
      <c r="P636" s="33">
        <f>IF(Tabela1[[#This Row],[Status]]="✔️",Tabela1[[#This Row],[Peso]],IF(Tabela1[[#This Row],[Status]]="✔️✔️",Tabela1[[#This Row],[Peso]]/2,0))</f>
        <v>0</v>
      </c>
      <c r="Q63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36" s="33" t="s">
        <v>187</v>
      </c>
      <c r="S636" s="37" t="s">
        <v>132</v>
      </c>
    </row>
    <row r="637" spans="8:19" ht="41.4" x14ac:dyDescent="0.3">
      <c r="H637" s="32" t="s">
        <v>133</v>
      </c>
      <c r="I637" s="33" t="s">
        <v>20</v>
      </c>
      <c r="J637" s="34" t="s">
        <v>21</v>
      </c>
      <c r="K637" s="35" t="s">
        <v>1</v>
      </c>
      <c r="L637" s="33"/>
      <c r="M637" s="33"/>
      <c r="N637" s="36"/>
      <c r="O637" s="33">
        <v>3</v>
      </c>
      <c r="P637" s="33">
        <f>IF(Tabela1[[#This Row],[Status]]="✔️",Tabela1[[#This Row],[Peso]],IF(Tabela1[[#This Row],[Status]]="✔️✔️",Tabela1[[#This Row],[Peso]]/2,0))</f>
        <v>0</v>
      </c>
      <c r="Q63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37" s="33" t="s">
        <v>187</v>
      </c>
      <c r="S637" s="37" t="s">
        <v>132</v>
      </c>
    </row>
    <row r="638" spans="8:19" ht="41.4" x14ac:dyDescent="0.3">
      <c r="H638" s="32" t="s">
        <v>133</v>
      </c>
      <c r="I638" s="33" t="s">
        <v>20</v>
      </c>
      <c r="J638" s="34" t="s">
        <v>441</v>
      </c>
      <c r="K638" s="35" t="s">
        <v>1</v>
      </c>
      <c r="L638" s="33"/>
      <c r="M638" s="33"/>
      <c r="N638" s="36"/>
      <c r="O638" s="33">
        <v>1</v>
      </c>
      <c r="P638" s="33">
        <f>IF(Tabela1[[#This Row],[Status]]="✔️",Tabela1[[#This Row],[Peso]],IF(Tabela1[[#This Row],[Status]]="✔️✔️",Tabela1[[#This Row],[Peso]]/2,0))</f>
        <v>0</v>
      </c>
      <c r="Q63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38" s="33" t="s">
        <v>187</v>
      </c>
      <c r="S638" s="37" t="s">
        <v>132</v>
      </c>
    </row>
    <row r="639" spans="8:19" ht="41.4" x14ac:dyDescent="0.3">
      <c r="H639" s="32" t="s">
        <v>133</v>
      </c>
      <c r="I639" s="33" t="s">
        <v>25</v>
      </c>
      <c r="J639" s="34" t="s">
        <v>28</v>
      </c>
      <c r="K639" s="35" t="s">
        <v>1</v>
      </c>
      <c r="L639" s="33"/>
      <c r="M639" s="33"/>
      <c r="N639" s="36"/>
      <c r="O639" s="33">
        <v>3</v>
      </c>
      <c r="P639" s="33">
        <f>IF(Tabela1[[#This Row],[Status]]="✔️",Tabela1[[#This Row],[Peso]],IF(Tabela1[[#This Row],[Status]]="✔️✔️",Tabela1[[#This Row],[Peso]]/2,0))</f>
        <v>0</v>
      </c>
      <c r="Q63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39" s="33" t="s">
        <v>187</v>
      </c>
      <c r="S639" s="37" t="s">
        <v>132</v>
      </c>
    </row>
    <row r="640" spans="8:19" ht="41.4" x14ac:dyDescent="0.3">
      <c r="H640" s="32" t="s">
        <v>133</v>
      </c>
      <c r="I640" s="33" t="s">
        <v>25</v>
      </c>
      <c r="J640" s="34" t="s">
        <v>29</v>
      </c>
      <c r="K640" s="35" t="s">
        <v>1</v>
      </c>
      <c r="L640" s="33"/>
      <c r="M640" s="33"/>
      <c r="N640" s="36"/>
      <c r="O640" s="33">
        <v>3</v>
      </c>
      <c r="P640" s="33">
        <f>IF(Tabela1[[#This Row],[Status]]="✔️",Tabela1[[#This Row],[Peso]],IF(Tabela1[[#This Row],[Status]]="✔️✔️",Tabela1[[#This Row],[Peso]]/2,0))</f>
        <v>0</v>
      </c>
      <c r="Q64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40" s="33" t="s">
        <v>187</v>
      </c>
      <c r="S640" s="37" t="s">
        <v>132</v>
      </c>
    </row>
    <row r="641" spans="8:19" ht="41.4" x14ac:dyDescent="0.3">
      <c r="H641" s="32" t="s">
        <v>133</v>
      </c>
      <c r="I641" s="33" t="s">
        <v>25</v>
      </c>
      <c r="J641" s="34" t="s">
        <v>449</v>
      </c>
      <c r="K641" s="35" t="s">
        <v>1</v>
      </c>
      <c r="L641" s="33"/>
      <c r="M641" s="33"/>
      <c r="N641" s="36"/>
      <c r="O641" s="33">
        <v>3</v>
      </c>
      <c r="P641" s="33">
        <f>IF(Tabela1[[#This Row],[Status]]="✔️",Tabela1[[#This Row],[Peso]],IF(Tabela1[[#This Row],[Status]]="✔️✔️",Tabela1[[#This Row],[Peso]]/2,0))</f>
        <v>0</v>
      </c>
      <c r="Q64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41" s="33" t="s">
        <v>187</v>
      </c>
      <c r="S641" s="37" t="s">
        <v>132</v>
      </c>
    </row>
    <row r="642" spans="8:19" ht="41.4" x14ac:dyDescent="0.3">
      <c r="H642" s="32" t="s">
        <v>133</v>
      </c>
      <c r="I642" s="33" t="s">
        <v>41</v>
      </c>
      <c r="J642" s="34" t="s">
        <v>442</v>
      </c>
      <c r="K642" s="35" t="s">
        <v>1</v>
      </c>
      <c r="L642" s="33"/>
      <c r="M642" s="33"/>
      <c r="N642" s="36"/>
      <c r="O642" s="33">
        <v>3</v>
      </c>
      <c r="P642" s="33">
        <f>IF(Tabela1[[#This Row],[Status]]="✔️",Tabela1[[#This Row],[Peso]],IF(Tabela1[[#This Row],[Status]]="✔️✔️",Tabela1[[#This Row],[Peso]]/2,0))</f>
        <v>0</v>
      </c>
      <c r="Q64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42" s="33" t="s">
        <v>187</v>
      </c>
      <c r="S642" s="37" t="s">
        <v>132</v>
      </c>
    </row>
    <row r="643" spans="8:19" ht="41.4" x14ac:dyDescent="0.3">
      <c r="H643" s="32" t="s">
        <v>133</v>
      </c>
      <c r="I643" s="33" t="s">
        <v>41</v>
      </c>
      <c r="J643" s="34" t="s">
        <v>443</v>
      </c>
      <c r="K643" s="35" t="s">
        <v>1</v>
      </c>
      <c r="L643" s="33"/>
      <c r="M643" s="33"/>
      <c r="N643" s="36"/>
      <c r="O643" s="33">
        <v>2</v>
      </c>
      <c r="P643" s="33">
        <f>IF(Tabela1[[#This Row],[Status]]="✔️",Tabela1[[#This Row],[Peso]],IF(Tabela1[[#This Row],[Status]]="✔️✔️",Tabela1[[#This Row],[Peso]]/2,0))</f>
        <v>0</v>
      </c>
      <c r="Q64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43" s="33" t="s">
        <v>187</v>
      </c>
      <c r="S643" s="37" t="s">
        <v>132</v>
      </c>
    </row>
    <row r="644" spans="8:19" ht="41.4" x14ac:dyDescent="0.3">
      <c r="H644" s="32" t="s">
        <v>133</v>
      </c>
      <c r="I644" s="33" t="s">
        <v>10</v>
      </c>
      <c r="J644" s="34" t="s">
        <v>444</v>
      </c>
      <c r="K644" s="35" t="s">
        <v>290</v>
      </c>
      <c r="L644" s="33" t="s">
        <v>227</v>
      </c>
      <c r="M644" s="33">
        <v>8191</v>
      </c>
      <c r="N644" s="36"/>
      <c r="O644" s="33">
        <v>3</v>
      </c>
      <c r="P644" s="33">
        <f>IF(Tabela1[[#This Row],[Status]]="✔️",Tabela1[[#This Row],[Peso]],IF(Tabela1[[#This Row],[Status]]="✔️✔️",Tabela1[[#This Row],[Peso]]/2,0))</f>
        <v>0</v>
      </c>
      <c r="Q64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44" s="33" t="s">
        <v>187</v>
      </c>
      <c r="S644" s="37" t="s">
        <v>132</v>
      </c>
    </row>
    <row r="645" spans="8:19" ht="27.6" x14ac:dyDescent="0.3">
      <c r="H645" s="32" t="s">
        <v>133</v>
      </c>
      <c r="I645" s="33" t="s">
        <v>14</v>
      </c>
      <c r="J645" s="34" t="s">
        <v>15</v>
      </c>
      <c r="K645" s="35" t="s">
        <v>290</v>
      </c>
      <c r="L645" s="33" t="s">
        <v>328</v>
      </c>
      <c r="M645" s="33">
        <v>9529</v>
      </c>
      <c r="N645" s="36"/>
      <c r="O645" s="33">
        <v>3</v>
      </c>
      <c r="P645" s="33">
        <f>IF(Tabela1[[#This Row],[Status]]="✔️",Tabela1[[#This Row],[Peso]],IF(Tabela1[[#This Row],[Status]]="✔️✔️",Tabela1[[#This Row],[Peso]]/2,0))</f>
        <v>0</v>
      </c>
      <c r="Q64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45" s="33" t="s">
        <v>264</v>
      </c>
      <c r="S645" s="37" t="s">
        <v>263</v>
      </c>
    </row>
    <row r="646" spans="8:19" ht="27.6" x14ac:dyDescent="0.3">
      <c r="H646" s="32" t="s">
        <v>133</v>
      </c>
      <c r="I646" s="33" t="s">
        <v>14</v>
      </c>
      <c r="J646" s="34" t="s">
        <v>16</v>
      </c>
      <c r="K646" s="35" t="s">
        <v>0</v>
      </c>
      <c r="L646" s="33"/>
      <c r="M646" s="33"/>
      <c r="N646" s="36"/>
      <c r="O646" s="33">
        <v>1</v>
      </c>
      <c r="P646" s="33">
        <f>IF(Tabela1[[#This Row],[Status]]="✔️",Tabela1[[#This Row],[Peso]],IF(Tabela1[[#This Row],[Status]]="✔️✔️",Tabela1[[#This Row],[Peso]]/2,0))</f>
        <v>1</v>
      </c>
      <c r="Q64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646" s="33" t="s">
        <v>264</v>
      </c>
      <c r="S646" s="37" t="s">
        <v>263</v>
      </c>
    </row>
    <row r="647" spans="8:19" ht="27.6" x14ac:dyDescent="0.3">
      <c r="H647" s="32" t="s">
        <v>133</v>
      </c>
      <c r="I647" s="33" t="s">
        <v>30</v>
      </c>
      <c r="J647" s="34" t="s">
        <v>455</v>
      </c>
      <c r="K647" s="35" t="s">
        <v>0</v>
      </c>
      <c r="L647" s="33"/>
      <c r="M647" s="33"/>
      <c r="N647" s="36"/>
      <c r="O647" s="33">
        <v>3</v>
      </c>
      <c r="P647" s="33">
        <f>IF(Tabela1[[#This Row],[Status]]="✔️",Tabela1[[#This Row],[Peso]],IF(Tabela1[[#This Row],[Status]]="✔️✔️",Tabela1[[#This Row],[Peso]]/2,0))</f>
        <v>3</v>
      </c>
      <c r="Q64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47" s="33" t="s">
        <v>264</v>
      </c>
      <c r="S647" s="37" t="s">
        <v>263</v>
      </c>
    </row>
    <row r="648" spans="8:19" ht="27.6" x14ac:dyDescent="0.3">
      <c r="H648" s="32" t="s">
        <v>133</v>
      </c>
      <c r="I648" s="33" t="s">
        <v>25</v>
      </c>
      <c r="J648" s="34" t="s">
        <v>456</v>
      </c>
      <c r="K648" s="35" t="s">
        <v>290</v>
      </c>
      <c r="L648" s="33" t="s">
        <v>337</v>
      </c>
      <c r="M648" s="33">
        <v>6214</v>
      </c>
      <c r="N648" s="36"/>
      <c r="O648" s="33">
        <v>3</v>
      </c>
      <c r="P648" s="33">
        <f>IF(Tabela1[[#This Row],[Status]]="✔️",Tabela1[[#This Row],[Peso]],IF(Tabela1[[#This Row],[Status]]="✔️✔️",Tabela1[[#This Row],[Peso]]/2,0))</f>
        <v>0</v>
      </c>
      <c r="Q64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48" s="33" t="s">
        <v>264</v>
      </c>
      <c r="S648" s="37" t="s">
        <v>263</v>
      </c>
    </row>
    <row r="649" spans="8:19" ht="27.6" x14ac:dyDescent="0.3">
      <c r="H649" s="32" t="s">
        <v>133</v>
      </c>
      <c r="I649" s="33" t="s">
        <v>14</v>
      </c>
      <c r="J649" s="34" t="s">
        <v>15</v>
      </c>
      <c r="K649" s="35" t="s">
        <v>1</v>
      </c>
      <c r="L649" s="33"/>
      <c r="M649" s="33"/>
      <c r="N649" s="36"/>
      <c r="O649" s="33">
        <v>3</v>
      </c>
      <c r="P649" s="33">
        <f>IF(Tabela1[[#This Row],[Status]]="✔️",Tabela1[[#This Row],[Peso]],IF(Tabela1[[#This Row],[Status]]="✔️✔️",Tabela1[[#This Row],[Peso]]/2,0))</f>
        <v>0</v>
      </c>
      <c r="Q64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49" s="33" t="s">
        <v>264</v>
      </c>
      <c r="S649" s="37" t="s">
        <v>263</v>
      </c>
    </row>
    <row r="650" spans="8:19" ht="27.6" x14ac:dyDescent="0.3">
      <c r="H650" s="32" t="s">
        <v>133</v>
      </c>
      <c r="I650" s="33" t="s">
        <v>14</v>
      </c>
      <c r="J650" s="34" t="s">
        <v>16</v>
      </c>
      <c r="K650" s="35" t="s">
        <v>290</v>
      </c>
      <c r="L650" s="33"/>
      <c r="M650" s="33"/>
      <c r="N650" s="36"/>
      <c r="O650" s="33">
        <v>1</v>
      </c>
      <c r="P650" s="33">
        <f>IF(Tabela1[[#This Row],[Status]]="✔️",Tabela1[[#This Row],[Peso]],IF(Tabela1[[#This Row],[Status]]="✔️✔️",Tabela1[[#This Row],[Peso]]/2,0))</f>
        <v>0</v>
      </c>
      <c r="Q65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650" s="33" t="s">
        <v>264</v>
      </c>
      <c r="S650" s="37" t="s">
        <v>263</v>
      </c>
    </row>
    <row r="651" spans="8:19" ht="27.6" x14ac:dyDescent="0.3">
      <c r="H651" s="32" t="s">
        <v>133</v>
      </c>
      <c r="I651" s="33" t="s">
        <v>30</v>
      </c>
      <c r="J651" s="34" t="s">
        <v>455</v>
      </c>
      <c r="K651" s="35" t="s">
        <v>0</v>
      </c>
      <c r="L651" s="33"/>
      <c r="M651" s="33"/>
      <c r="N651" s="36"/>
      <c r="O651" s="33">
        <v>3</v>
      </c>
      <c r="P651" s="33">
        <f>IF(Tabela1[[#This Row],[Status]]="✔️",Tabela1[[#This Row],[Peso]],IF(Tabela1[[#This Row],[Status]]="✔️✔️",Tabela1[[#This Row],[Peso]]/2,0))</f>
        <v>3</v>
      </c>
      <c r="Q65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51" s="33" t="s">
        <v>264</v>
      </c>
      <c r="S651" s="37" t="s">
        <v>263</v>
      </c>
    </row>
    <row r="652" spans="8:19" ht="27.6" x14ac:dyDescent="0.3">
      <c r="H652" s="32" t="s">
        <v>133</v>
      </c>
      <c r="I652" s="33" t="s">
        <v>25</v>
      </c>
      <c r="J652" s="34" t="s">
        <v>456</v>
      </c>
      <c r="K652" s="35" t="s">
        <v>0</v>
      </c>
      <c r="L652" s="33"/>
      <c r="M652" s="33"/>
      <c r="N652" s="36"/>
      <c r="O652" s="33">
        <v>3</v>
      </c>
      <c r="P652" s="33">
        <f>IF(Tabela1[[#This Row],[Status]]="✔️",Tabela1[[#This Row],[Peso]],IF(Tabela1[[#This Row],[Status]]="✔️✔️",Tabela1[[#This Row],[Peso]]/2,0))</f>
        <v>3</v>
      </c>
      <c r="Q65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52" s="33" t="s">
        <v>264</v>
      </c>
      <c r="S652" s="37" t="s">
        <v>263</v>
      </c>
    </row>
    <row r="653" spans="8:19" ht="27.6" x14ac:dyDescent="0.3">
      <c r="H653" s="32" t="s">
        <v>62</v>
      </c>
      <c r="I653" s="33" t="s">
        <v>30</v>
      </c>
      <c r="J653" s="34" t="s">
        <v>438</v>
      </c>
      <c r="K653" s="35" t="s">
        <v>0</v>
      </c>
      <c r="L653" s="33"/>
      <c r="M653" s="33"/>
      <c r="N653" s="36"/>
      <c r="O653" s="33">
        <v>3</v>
      </c>
      <c r="P653" s="33">
        <f>IF(Tabela1[[#This Row],[Status]]="✔️",Tabela1[[#This Row],[Peso]],IF(Tabela1[[#This Row],[Status]]="✔️✔️",Tabela1[[#This Row],[Peso]]/2,0))</f>
        <v>3</v>
      </c>
      <c r="Q65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53" s="33" t="s">
        <v>127</v>
      </c>
      <c r="S653" s="37" t="s">
        <v>128</v>
      </c>
    </row>
    <row r="654" spans="8:19" ht="27.6" x14ac:dyDescent="0.3">
      <c r="H654" s="32" t="s">
        <v>62</v>
      </c>
      <c r="I654" s="33" t="s">
        <v>10</v>
      </c>
      <c r="J654" s="34" t="s">
        <v>11</v>
      </c>
      <c r="K654" s="35" t="s">
        <v>0</v>
      </c>
      <c r="L654" s="33"/>
      <c r="M654" s="33"/>
      <c r="N654" s="36"/>
      <c r="O654" s="33">
        <v>3</v>
      </c>
      <c r="P654" s="33">
        <f>IF(Tabela1[[#This Row],[Status]]="✔️",Tabela1[[#This Row],[Peso]],IF(Tabela1[[#This Row],[Status]]="✔️✔️",Tabela1[[#This Row],[Peso]]/2,0))</f>
        <v>3</v>
      </c>
      <c r="Q65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54" s="33" t="s">
        <v>127</v>
      </c>
      <c r="S654" s="37" t="s">
        <v>128</v>
      </c>
    </row>
    <row r="655" spans="8:19" ht="27.6" x14ac:dyDescent="0.3">
      <c r="H655" s="32" t="s">
        <v>62</v>
      </c>
      <c r="I655" s="33" t="s">
        <v>10</v>
      </c>
      <c r="J655" s="34" t="s">
        <v>439</v>
      </c>
      <c r="K655" s="35" t="s">
        <v>0</v>
      </c>
      <c r="L655" s="33"/>
      <c r="M655" s="33"/>
      <c r="N655" s="36"/>
      <c r="O655" s="33">
        <v>3</v>
      </c>
      <c r="P655" s="33">
        <f>IF(Tabela1[[#This Row],[Status]]="✔️",Tabela1[[#This Row],[Peso]],IF(Tabela1[[#This Row],[Status]]="✔️✔️",Tabela1[[#This Row],[Peso]]/2,0))</f>
        <v>3</v>
      </c>
      <c r="Q65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55" s="33" t="s">
        <v>127</v>
      </c>
      <c r="S655" s="37" t="s">
        <v>128</v>
      </c>
    </row>
    <row r="656" spans="8:19" ht="27.6" x14ac:dyDescent="0.3">
      <c r="H656" s="32" t="s">
        <v>62</v>
      </c>
      <c r="I656" s="33" t="s">
        <v>10</v>
      </c>
      <c r="J656" s="34" t="s">
        <v>440</v>
      </c>
      <c r="K656" s="35" t="s">
        <v>0</v>
      </c>
      <c r="L656" s="33"/>
      <c r="M656" s="33"/>
      <c r="N656" s="36"/>
      <c r="O656" s="33">
        <v>3</v>
      </c>
      <c r="P656" s="33">
        <f>IF(Tabela1[[#This Row],[Status]]="✔️",Tabela1[[#This Row],[Peso]],IF(Tabela1[[#This Row],[Status]]="✔️✔️",Tabela1[[#This Row],[Peso]]/2,0))</f>
        <v>3</v>
      </c>
      <c r="Q65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56" s="33" t="s">
        <v>127</v>
      </c>
      <c r="S656" s="37" t="s">
        <v>128</v>
      </c>
    </row>
    <row r="657" spans="8:19" ht="27.6" x14ac:dyDescent="0.3">
      <c r="H657" s="32" t="s">
        <v>62</v>
      </c>
      <c r="I657" s="33" t="s">
        <v>12</v>
      </c>
      <c r="J657" s="34" t="s">
        <v>13</v>
      </c>
      <c r="K657" s="35" t="s">
        <v>290</v>
      </c>
      <c r="L657" s="33" t="s">
        <v>65</v>
      </c>
      <c r="M657" s="33">
        <v>2955</v>
      </c>
      <c r="N657" s="36"/>
      <c r="O657" s="33">
        <v>2</v>
      </c>
      <c r="P657" s="33">
        <f>IF(Tabela1[[#This Row],[Status]]="✔️",Tabela1[[#This Row],[Peso]],IF(Tabela1[[#This Row],[Status]]="✔️✔️",Tabela1[[#This Row],[Peso]]/2,0))</f>
        <v>0</v>
      </c>
      <c r="Q65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657" s="33" t="s">
        <v>127</v>
      </c>
      <c r="S657" s="37" t="s">
        <v>128</v>
      </c>
    </row>
    <row r="658" spans="8:19" ht="27.6" x14ac:dyDescent="0.3">
      <c r="H658" s="32" t="s">
        <v>62</v>
      </c>
      <c r="I658" s="33" t="s">
        <v>14</v>
      </c>
      <c r="J658" s="34" t="s">
        <v>15</v>
      </c>
      <c r="K658" s="35" t="s">
        <v>0</v>
      </c>
      <c r="L658" s="33"/>
      <c r="M658" s="33"/>
      <c r="N658" s="36"/>
      <c r="O658" s="33">
        <v>3</v>
      </c>
      <c r="P658" s="33">
        <f>IF(Tabela1[[#This Row],[Status]]="✔️",Tabela1[[#This Row],[Peso]],IF(Tabela1[[#This Row],[Status]]="✔️✔️",Tabela1[[#This Row],[Peso]]/2,0))</f>
        <v>3</v>
      </c>
      <c r="Q65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58" s="33" t="s">
        <v>127</v>
      </c>
      <c r="S658" s="37" t="s">
        <v>128</v>
      </c>
    </row>
    <row r="659" spans="8:19" ht="27.6" x14ac:dyDescent="0.3">
      <c r="H659" s="32" t="s">
        <v>62</v>
      </c>
      <c r="I659" s="33" t="s">
        <v>14</v>
      </c>
      <c r="J659" s="34" t="s">
        <v>16</v>
      </c>
      <c r="K659" s="35" t="s">
        <v>0</v>
      </c>
      <c r="L659" s="33"/>
      <c r="M659" s="33"/>
      <c r="N659" s="36"/>
      <c r="O659" s="33">
        <v>1</v>
      </c>
      <c r="P659" s="33">
        <f>IF(Tabela1[[#This Row],[Status]]="✔️",Tabela1[[#This Row],[Peso]],IF(Tabela1[[#This Row],[Status]]="✔️✔️",Tabela1[[#This Row],[Peso]]/2,0))</f>
        <v>1</v>
      </c>
      <c r="Q65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659" s="33" t="s">
        <v>127</v>
      </c>
      <c r="S659" s="37" t="s">
        <v>128</v>
      </c>
    </row>
    <row r="660" spans="8:19" ht="27.6" x14ac:dyDescent="0.3">
      <c r="H660" s="32" t="s">
        <v>62</v>
      </c>
      <c r="I660" s="33" t="s">
        <v>17</v>
      </c>
      <c r="J660" s="34" t="s">
        <v>18</v>
      </c>
      <c r="K660" s="35" t="s">
        <v>0</v>
      </c>
      <c r="L660" s="33" t="s">
        <v>66</v>
      </c>
      <c r="M660" s="33"/>
      <c r="N660" s="36"/>
      <c r="O660" s="33">
        <v>3</v>
      </c>
      <c r="P660" s="33">
        <f>IF(Tabela1[[#This Row],[Status]]="✔️",Tabela1[[#This Row],[Peso]],IF(Tabela1[[#This Row],[Status]]="✔️✔️",Tabela1[[#This Row],[Peso]]/2,0))</f>
        <v>3</v>
      </c>
      <c r="Q66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60" s="33" t="s">
        <v>127</v>
      </c>
      <c r="S660" s="37" t="s">
        <v>128</v>
      </c>
    </row>
    <row r="661" spans="8:19" ht="27.6" x14ac:dyDescent="0.3">
      <c r="H661" s="32" t="s">
        <v>62</v>
      </c>
      <c r="I661" s="33" t="s">
        <v>17</v>
      </c>
      <c r="J661" s="34" t="s">
        <v>19</v>
      </c>
      <c r="K661" s="35" t="s">
        <v>290</v>
      </c>
      <c r="L661" s="33" t="s">
        <v>63</v>
      </c>
      <c r="M661" s="33">
        <v>1026</v>
      </c>
      <c r="N661" s="36"/>
      <c r="O661" s="33">
        <v>3</v>
      </c>
      <c r="P661" s="33">
        <f>IF(Tabela1[[#This Row],[Status]]="✔️",Tabela1[[#This Row],[Peso]],IF(Tabela1[[#This Row],[Status]]="✔️✔️",Tabela1[[#This Row],[Peso]]/2,0))</f>
        <v>0</v>
      </c>
      <c r="Q66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61" s="33" t="s">
        <v>127</v>
      </c>
      <c r="S661" s="37" t="s">
        <v>128</v>
      </c>
    </row>
    <row r="662" spans="8:19" ht="27.6" x14ac:dyDescent="0.3">
      <c r="H662" s="32" t="s">
        <v>62</v>
      </c>
      <c r="I662" s="33" t="s">
        <v>20</v>
      </c>
      <c r="J662" s="34" t="s">
        <v>21</v>
      </c>
      <c r="K662" s="35" t="s">
        <v>0</v>
      </c>
      <c r="L662" s="33"/>
      <c r="M662" s="33"/>
      <c r="N662" s="36"/>
      <c r="O662" s="33">
        <v>3</v>
      </c>
      <c r="P662" s="33">
        <f>IF(Tabela1[[#This Row],[Status]]="✔️",Tabela1[[#This Row],[Peso]],IF(Tabela1[[#This Row],[Status]]="✔️✔️",Tabela1[[#This Row],[Peso]]/2,0))</f>
        <v>3</v>
      </c>
      <c r="Q66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62" s="33" t="s">
        <v>127</v>
      </c>
      <c r="S662" s="37" t="s">
        <v>128</v>
      </c>
    </row>
    <row r="663" spans="8:19" ht="27.6" x14ac:dyDescent="0.3">
      <c r="H663" s="32" t="s">
        <v>62</v>
      </c>
      <c r="I663" s="33" t="s">
        <v>20</v>
      </c>
      <c r="J663" s="34" t="s">
        <v>441</v>
      </c>
      <c r="K663" s="35" t="s">
        <v>290</v>
      </c>
      <c r="L663" s="33" t="s">
        <v>59</v>
      </c>
      <c r="M663" s="33">
        <v>9087</v>
      </c>
      <c r="N663" s="36"/>
      <c r="O663" s="33">
        <v>1</v>
      </c>
      <c r="P663" s="33">
        <f>IF(Tabela1[[#This Row],[Status]]="✔️",Tabela1[[#This Row],[Peso]],IF(Tabela1[[#This Row],[Status]]="✔️✔️",Tabela1[[#This Row],[Peso]]/2,0))</f>
        <v>0</v>
      </c>
      <c r="Q66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663" s="33" t="s">
        <v>127</v>
      </c>
      <c r="S663" s="37" t="s">
        <v>128</v>
      </c>
    </row>
    <row r="664" spans="8:19" ht="27.6" x14ac:dyDescent="0.3">
      <c r="H664" s="32" t="s">
        <v>62</v>
      </c>
      <c r="I664" s="33" t="s">
        <v>25</v>
      </c>
      <c r="J664" s="34" t="s">
        <v>28</v>
      </c>
      <c r="K664" s="35" t="s">
        <v>290</v>
      </c>
      <c r="L664" s="33" t="s">
        <v>53</v>
      </c>
      <c r="M664" s="33">
        <v>6076</v>
      </c>
      <c r="N664" s="36"/>
      <c r="O664" s="33">
        <v>3</v>
      </c>
      <c r="P664" s="33">
        <f>IF(Tabela1[[#This Row],[Status]]="✔️",Tabela1[[#This Row],[Peso]],IF(Tabela1[[#This Row],[Status]]="✔️✔️",Tabela1[[#This Row],[Peso]]/2,0))</f>
        <v>0</v>
      </c>
      <c r="Q66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64" s="33" t="s">
        <v>127</v>
      </c>
      <c r="S664" s="37" t="s">
        <v>128</v>
      </c>
    </row>
    <row r="665" spans="8:19" ht="27.6" x14ac:dyDescent="0.3">
      <c r="H665" s="32" t="s">
        <v>62</v>
      </c>
      <c r="I665" s="33" t="s">
        <v>25</v>
      </c>
      <c r="J665" s="34" t="s">
        <v>29</v>
      </c>
      <c r="K665" s="35" t="s">
        <v>0</v>
      </c>
      <c r="L665" s="33"/>
      <c r="M665" s="33"/>
      <c r="N665" s="36"/>
      <c r="O665" s="33">
        <v>3</v>
      </c>
      <c r="P665" s="33">
        <f>IF(Tabela1[[#This Row],[Status]]="✔️",Tabela1[[#This Row],[Peso]],IF(Tabela1[[#This Row],[Status]]="✔️✔️",Tabela1[[#This Row],[Peso]]/2,0))</f>
        <v>3</v>
      </c>
      <c r="Q66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65" s="33" t="s">
        <v>127</v>
      </c>
      <c r="S665" s="37" t="s">
        <v>128</v>
      </c>
    </row>
    <row r="666" spans="8:19" ht="27.6" x14ac:dyDescent="0.3">
      <c r="H666" s="32" t="s">
        <v>62</v>
      </c>
      <c r="I666" s="33" t="s">
        <v>25</v>
      </c>
      <c r="J666" s="34" t="s">
        <v>459</v>
      </c>
      <c r="K666" s="35" t="s">
        <v>0</v>
      </c>
      <c r="L666" s="33"/>
      <c r="M666" s="33"/>
      <c r="N666" s="36"/>
      <c r="O666" s="33">
        <v>3</v>
      </c>
      <c r="P666" s="33">
        <f>IF(Tabela1[[#This Row],[Status]]="✔️",Tabela1[[#This Row],[Peso]],IF(Tabela1[[#This Row],[Status]]="✔️✔️",Tabela1[[#This Row],[Peso]]/2,0))</f>
        <v>3</v>
      </c>
      <c r="Q66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66" s="33" t="s">
        <v>127</v>
      </c>
      <c r="S666" s="37" t="s">
        <v>128</v>
      </c>
    </row>
    <row r="667" spans="8:19" ht="41.4" x14ac:dyDescent="0.3">
      <c r="H667" s="32" t="s">
        <v>62</v>
      </c>
      <c r="I667" s="33" t="s">
        <v>41</v>
      </c>
      <c r="J667" s="34" t="s">
        <v>442</v>
      </c>
      <c r="K667" s="35" t="s">
        <v>290</v>
      </c>
      <c r="L667" s="33" t="s">
        <v>47</v>
      </c>
      <c r="M667" s="33">
        <v>8115</v>
      </c>
      <c r="N667" s="36"/>
      <c r="O667" s="33">
        <v>3</v>
      </c>
      <c r="P667" s="33">
        <f>IF(Tabela1[[#This Row],[Status]]="✔️",Tabela1[[#This Row],[Peso]],IF(Tabela1[[#This Row],[Status]]="✔️✔️",Tabela1[[#This Row],[Peso]]/2,0))</f>
        <v>0</v>
      </c>
      <c r="Q66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67" s="33" t="s">
        <v>127</v>
      </c>
      <c r="S667" s="37" t="s">
        <v>128</v>
      </c>
    </row>
    <row r="668" spans="8:19" ht="41.4" x14ac:dyDescent="0.3">
      <c r="H668" s="32" t="s">
        <v>62</v>
      </c>
      <c r="I668" s="33" t="s">
        <v>41</v>
      </c>
      <c r="J668" s="34" t="s">
        <v>443</v>
      </c>
      <c r="K668" s="35" t="s">
        <v>290</v>
      </c>
      <c r="L668" s="33" t="s">
        <v>47</v>
      </c>
      <c r="M668" s="33">
        <v>8115</v>
      </c>
      <c r="N668" s="36"/>
      <c r="O668" s="33">
        <v>2</v>
      </c>
      <c r="P668" s="33">
        <f>IF(Tabela1[[#This Row],[Status]]="✔️",Tabela1[[#This Row],[Peso]],IF(Tabela1[[#This Row],[Status]]="✔️✔️",Tabela1[[#This Row],[Peso]]/2,0))</f>
        <v>0</v>
      </c>
      <c r="Q668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668" s="33" t="s">
        <v>127</v>
      </c>
      <c r="S668" s="37" t="s">
        <v>128</v>
      </c>
    </row>
    <row r="669" spans="8:19" ht="27.6" x14ac:dyDescent="0.3">
      <c r="H669" s="32" t="s">
        <v>62</v>
      </c>
      <c r="I669" s="33" t="s">
        <v>10</v>
      </c>
      <c r="J669" s="34" t="s">
        <v>444</v>
      </c>
      <c r="K669" s="35" t="s">
        <v>290</v>
      </c>
      <c r="L669" s="33" t="s">
        <v>64</v>
      </c>
      <c r="M669" s="33">
        <v>5214</v>
      </c>
      <c r="N669" s="36"/>
      <c r="O669" s="33">
        <v>3</v>
      </c>
      <c r="P669" s="33">
        <f>IF(Tabela1[[#This Row],[Status]]="✔️",Tabela1[[#This Row],[Peso]],IF(Tabela1[[#This Row],[Status]]="✔️✔️",Tabela1[[#This Row],[Peso]]/2,0))</f>
        <v>0</v>
      </c>
      <c r="Q66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69" s="33" t="s">
        <v>127</v>
      </c>
      <c r="S669" s="37" t="s">
        <v>128</v>
      </c>
    </row>
    <row r="670" spans="8:19" ht="27.6" x14ac:dyDescent="0.3">
      <c r="H670" s="32" t="s">
        <v>62</v>
      </c>
      <c r="I670" s="33" t="s">
        <v>30</v>
      </c>
      <c r="J670" s="34" t="s">
        <v>438</v>
      </c>
      <c r="K670" s="35" t="s">
        <v>0</v>
      </c>
      <c r="L670" s="33"/>
      <c r="M670" s="33"/>
      <c r="N670" s="36"/>
      <c r="O670" s="33">
        <v>3</v>
      </c>
      <c r="P670" s="33">
        <f>IF(Tabela1[[#This Row],[Status]]="✔️",Tabela1[[#This Row],[Peso]],IF(Tabela1[[#This Row],[Status]]="✔️✔️",Tabela1[[#This Row],[Peso]]/2,0))</f>
        <v>3</v>
      </c>
      <c r="Q67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70" s="33" t="s">
        <v>130</v>
      </c>
      <c r="S670" s="37" t="s">
        <v>128</v>
      </c>
    </row>
    <row r="671" spans="8:19" ht="27.6" x14ac:dyDescent="0.3">
      <c r="H671" s="32" t="s">
        <v>62</v>
      </c>
      <c r="I671" s="33" t="s">
        <v>10</v>
      </c>
      <c r="J671" s="34" t="s">
        <v>444</v>
      </c>
      <c r="K671" s="35" t="s">
        <v>290</v>
      </c>
      <c r="L671" s="33" t="s">
        <v>64</v>
      </c>
      <c r="M671" s="33">
        <v>5214</v>
      </c>
      <c r="N671" s="36"/>
      <c r="O671" s="33">
        <v>3</v>
      </c>
      <c r="P671" s="33">
        <f>IF(Tabela1[[#This Row],[Status]]="✔️",Tabela1[[#This Row],[Peso]],IF(Tabela1[[#This Row],[Status]]="✔️✔️",Tabela1[[#This Row],[Peso]]/2,0))</f>
        <v>0</v>
      </c>
      <c r="Q67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71" s="33" t="s">
        <v>130</v>
      </c>
      <c r="S671" s="37" t="s">
        <v>128</v>
      </c>
    </row>
    <row r="672" spans="8:19" ht="27.6" x14ac:dyDescent="0.3">
      <c r="H672" s="32" t="s">
        <v>62</v>
      </c>
      <c r="I672" s="33" t="s">
        <v>10</v>
      </c>
      <c r="J672" s="34" t="s">
        <v>11</v>
      </c>
      <c r="K672" s="35" t="s">
        <v>0</v>
      </c>
      <c r="L672" s="33"/>
      <c r="M672" s="33"/>
      <c r="N672" s="36"/>
      <c r="O672" s="33">
        <v>3</v>
      </c>
      <c r="P672" s="33">
        <f>IF(Tabela1[[#This Row],[Status]]="✔️",Tabela1[[#This Row],[Peso]],IF(Tabela1[[#This Row],[Status]]="✔️✔️",Tabela1[[#This Row],[Peso]]/2,0))</f>
        <v>3</v>
      </c>
      <c r="Q67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72" s="33" t="s">
        <v>130</v>
      </c>
      <c r="S672" s="37" t="s">
        <v>128</v>
      </c>
    </row>
    <row r="673" spans="8:19" ht="27.6" x14ac:dyDescent="0.3">
      <c r="H673" s="32" t="s">
        <v>62</v>
      </c>
      <c r="I673" s="33" t="s">
        <v>10</v>
      </c>
      <c r="J673" s="34" t="s">
        <v>439</v>
      </c>
      <c r="K673" s="35" t="s">
        <v>0</v>
      </c>
      <c r="L673" s="33"/>
      <c r="M673" s="33"/>
      <c r="N673" s="36"/>
      <c r="O673" s="33">
        <v>3</v>
      </c>
      <c r="P673" s="33">
        <f>IF(Tabela1[[#This Row],[Status]]="✔️",Tabela1[[#This Row],[Peso]],IF(Tabela1[[#This Row],[Status]]="✔️✔️",Tabela1[[#This Row],[Peso]]/2,0))</f>
        <v>3</v>
      </c>
      <c r="Q67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73" s="33" t="s">
        <v>130</v>
      </c>
      <c r="S673" s="37" t="s">
        <v>128</v>
      </c>
    </row>
    <row r="674" spans="8:19" ht="27.6" x14ac:dyDescent="0.3">
      <c r="H674" s="32" t="s">
        <v>62</v>
      </c>
      <c r="I674" s="33" t="s">
        <v>10</v>
      </c>
      <c r="J674" s="34" t="s">
        <v>440</v>
      </c>
      <c r="K674" s="35" t="s">
        <v>0</v>
      </c>
      <c r="L674" s="33"/>
      <c r="M674" s="33"/>
      <c r="N674" s="36"/>
      <c r="O674" s="33">
        <v>3</v>
      </c>
      <c r="P674" s="33">
        <f>IF(Tabela1[[#This Row],[Status]]="✔️",Tabela1[[#This Row],[Peso]],IF(Tabela1[[#This Row],[Status]]="✔️✔️",Tabela1[[#This Row],[Peso]]/2,0))</f>
        <v>3</v>
      </c>
      <c r="Q67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74" s="33" t="s">
        <v>130</v>
      </c>
      <c r="S674" s="37" t="s">
        <v>128</v>
      </c>
    </row>
    <row r="675" spans="8:19" ht="27.6" x14ac:dyDescent="0.3">
      <c r="H675" s="32" t="s">
        <v>62</v>
      </c>
      <c r="I675" s="33" t="s">
        <v>12</v>
      </c>
      <c r="J675" s="34" t="s">
        <v>13</v>
      </c>
      <c r="K675" s="35" t="s">
        <v>0</v>
      </c>
      <c r="L675" s="33"/>
      <c r="M675" s="33"/>
      <c r="N675" s="36"/>
      <c r="O675" s="33">
        <v>2</v>
      </c>
      <c r="P675" s="33">
        <f>IF(Tabela1[[#This Row],[Status]]="✔️",Tabela1[[#This Row],[Peso]],IF(Tabela1[[#This Row],[Status]]="✔️✔️",Tabela1[[#This Row],[Peso]]/2,0))</f>
        <v>2</v>
      </c>
      <c r="Q675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675" s="33" t="s">
        <v>130</v>
      </c>
      <c r="S675" s="37" t="s">
        <v>128</v>
      </c>
    </row>
    <row r="676" spans="8:19" ht="27.6" x14ac:dyDescent="0.3">
      <c r="H676" s="32" t="s">
        <v>62</v>
      </c>
      <c r="I676" s="33" t="s">
        <v>14</v>
      </c>
      <c r="J676" s="34" t="s">
        <v>15</v>
      </c>
      <c r="K676" s="35" t="s">
        <v>290</v>
      </c>
      <c r="L676" s="33" t="s">
        <v>298</v>
      </c>
      <c r="M676" s="33">
        <v>5451</v>
      </c>
      <c r="N676" s="36"/>
      <c r="O676" s="33">
        <v>3</v>
      </c>
      <c r="P676" s="33">
        <f>IF(Tabela1[[#This Row],[Status]]="✔️",Tabela1[[#This Row],[Peso]],IF(Tabela1[[#This Row],[Status]]="✔️✔️",Tabela1[[#This Row],[Peso]]/2,0))</f>
        <v>0</v>
      </c>
      <c r="Q67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76" s="33" t="s">
        <v>130</v>
      </c>
      <c r="S676" s="37" t="s">
        <v>128</v>
      </c>
    </row>
    <row r="677" spans="8:19" ht="27.6" x14ac:dyDescent="0.3">
      <c r="H677" s="32" t="s">
        <v>62</v>
      </c>
      <c r="I677" s="33" t="s">
        <v>14</v>
      </c>
      <c r="J677" s="34" t="s">
        <v>16</v>
      </c>
      <c r="K677" s="35" t="s">
        <v>0</v>
      </c>
      <c r="L677" s="33"/>
      <c r="M677" s="33"/>
      <c r="N677" s="36"/>
      <c r="O677" s="33">
        <v>1</v>
      </c>
      <c r="P677" s="33">
        <f>IF(Tabela1[[#This Row],[Status]]="✔️",Tabela1[[#This Row],[Peso]],IF(Tabela1[[#This Row],[Status]]="✔️✔️",Tabela1[[#This Row],[Peso]]/2,0))</f>
        <v>1</v>
      </c>
      <c r="Q67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677" s="33" t="s">
        <v>130</v>
      </c>
      <c r="S677" s="37" t="s">
        <v>128</v>
      </c>
    </row>
    <row r="678" spans="8:19" ht="27.6" x14ac:dyDescent="0.3">
      <c r="H678" s="32" t="s">
        <v>62</v>
      </c>
      <c r="I678" s="33" t="s">
        <v>17</v>
      </c>
      <c r="J678" s="34" t="s">
        <v>18</v>
      </c>
      <c r="K678" s="35" t="s">
        <v>0</v>
      </c>
      <c r="L678" s="33"/>
      <c r="M678" s="33"/>
      <c r="N678" s="36"/>
      <c r="O678" s="33">
        <v>3</v>
      </c>
      <c r="P678" s="33">
        <f>IF(Tabela1[[#This Row],[Status]]="✔️",Tabela1[[#This Row],[Peso]],IF(Tabela1[[#This Row],[Status]]="✔️✔️",Tabela1[[#This Row],[Peso]]/2,0))</f>
        <v>3</v>
      </c>
      <c r="Q67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78" s="33" t="s">
        <v>130</v>
      </c>
      <c r="S678" s="37" t="s">
        <v>128</v>
      </c>
    </row>
    <row r="679" spans="8:19" ht="27.6" x14ac:dyDescent="0.3">
      <c r="H679" s="32" t="s">
        <v>62</v>
      </c>
      <c r="I679" s="33" t="s">
        <v>17</v>
      </c>
      <c r="J679" s="34" t="s">
        <v>19</v>
      </c>
      <c r="K679" s="35" t="s">
        <v>290</v>
      </c>
      <c r="L679" s="33"/>
      <c r="M679" s="33">
        <v>3182</v>
      </c>
      <c r="N679" s="36"/>
      <c r="O679" s="33">
        <v>3</v>
      </c>
      <c r="P679" s="33">
        <f>IF(Tabela1[[#This Row],[Status]]="✔️",Tabela1[[#This Row],[Peso]],IF(Tabela1[[#This Row],[Status]]="✔️✔️",Tabela1[[#This Row],[Peso]]/2,0))</f>
        <v>0</v>
      </c>
      <c r="Q67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79" s="33" t="s">
        <v>130</v>
      </c>
      <c r="S679" s="37" t="s">
        <v>128</v>
      </c>
    </row>
    <row r="680" spans="8:19" ht="27.6" x14ac:dyDescent="0.3">
      <c r="H680" s="32" t="s">
        <v>62</v>
      </c>
      <c r="I680" s="33" t="s">
        <v>20</v>
      </c>
      <c r="J680" s="34" t="s">
        <v>21</v>
      </c>
      <c r="K680" s="35" t="s">
        <v>0</v>
      </c>
      <c r="L680" s="33"/>
      <c r="M680" s="33"/>
      <c r="N680" s="36"/>
      <c r="O680" s="33">
        <v>3</v>
      </c>
      <c r="P680" s="33">
        <f>IF(Tabela1[[#This Row],[Status]]="✔️",Tabela1[[#This Row],[Peso]],IF(Tabela1[[#This Row],[Status]]="✔️✔️",Tabela1[[#This Row],[Peso]]/2,0))</f>
        <v>3</v>
      </c>
      <c r="Q68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80" s="33" t="s">
        <v>130</v>
      </c>
      <c r="S680" s="37" t="s">
        <v>128</v>
      </c>
    </row>
    <row r="681" spans="8:19" ht="27.6" x14ac:dyDescent="0.3">
      <c r="H681" s="32" t="s">
        <v>62</v>
      </c>
      <c r="I681" s="33" t="s">
        <v>20</v>
      </c>
      <c r="J681" s="34" t="s">
        <v>441</v>
      </c>
      <c r="K681" s="35" t="s">
        <v>290</v>
      </c>
      <c r="L681" s="33" t="s">
        <v>161</v>
      </c>
      <c r="M681" s="33">
        <v>9087</v>
      </c>
      <c r="N681" s="36"/>
      <c r="O681" s="33">
        <v>1</v>
      </c>
      <c r="P681" s="33">
        <f>IF(Tabela1[[#This Row],[Status]]="✔️",Tabela1[[#This Row],[Peso]],IF(Tabela1[[#This Row],[Status]]="✔️✔️",Tabela1[[#This Row],[Peso]]/2,0))</f>
        <v>0</v>
      </c>
      <c r="Q68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681" s="33" t="s">
        <v>130</v>
      </c>
      <c r="S681" s="37" t="s">
        <v>128</v>
      </c>
    </row>
    <row r="682" spans="8:19" ht="27.6" x14ac:dyDescent="0.3">
      <c r="H682" s="32" t="s">
        <v>62</v>
      </c>
      <c r="I682" s="33" t="s">
        <v>25</v>
      </c>
      <c r="J682" s="34" t="s">
        <v>28</v>
      </c>
      <c r="K682" s="35" t="s">
        <v>290</v>
      </c>
      <c r="L682" s="33" t="s">
        <v>293</v>
      </c>
      <c r="M682" s="33">
        <v>6076</v>
      </c>
      <c r="N682" s="36"/>
      <c r="O682" s="33">
        <v>3</v>
      </c>
      <c r="P682" s="33">
        <f>IF(Tabela1[[#This Row],[Status]]="✔️",Tabela1[[#This Row],[Peso]],IF(Tabela1[[#This Row],[Status]]="✔️✔️",Tabela1[[#This Row],[Peso]]/2,0))</f>
        <v>0</v>
      </c>
      <c r="Q68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82" s="33" t="s">
        <v>130</v>
      </c>
      <c r="S682" s="37" t="s">
        <v>128</v>
      </c>
    </row>
    <row r="683" spans="8:19" ht="27.6" x14ac:dyDescent="0.3">
      <c r="H683" s="32" t="s">
        <v>62</v>
      </c>
      <c r="I683" s="33" t="s">
        <v>25</v>
      </c>
      <c r="J683" s="34" t="s">
        <v>29</v>
      </c>
      <c r="K683" s="35" t="s">
        <v>0</v>
      </c>
      <c r="L683" s="33"/>
      <c r="M683" s="33"/>
      <c r="N683" s="36"/>
      <c r="O683" s="33">
        <v>3</v>
      </c>
      <c r="P683" s="33">
        <f>IF(Tabela1[[#This Row],[Status]]="✔️",Tabela1[[#This Row],[Peso]],IF(Tabela1[[#This Row],[Status]]="✔️✔️",Tabela1[[#This Row],[Peso]]/2,0))</f>
        <v>3</v>
      </c>
      <c r="Q68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83" s="33" t="s">
        <v>130</v>
      </c>
      <c r="S683" s="37" t="s">
        <v>128</v>
      </c>
    </row>
    <row r="684" spans="8:19" ht="27.6" x14ac:dyDescent="0.3">
      <c r="H684" s="32" t="s">
        <v>62</v>
      </c>
      <c r="I684" s="33" t="s">
        <v>25</v>
      </c>
      <c r="J684" s="34" t="s">
        <v>449</v>
      </c>
      <c r="K684" s="35" t="s">
        <v>0</v>
      </c>
      <c r="L684" s="33"/>
      <c r="M684" s="33"/>
      <c r="N684" s="36"/>
      <c r="O684" s="33">
        <v>3</v>
      </c>
      <c r="P684" s="33">
        <f>IF(Tabela1[[#This Row],[Status]]="✔️",Tabela1[[#This Row],[Peso]],IF(Tabela1[[#This Row],[Status]]="✔️✔️",Tabela1[[#This Row],[Peso]]/2,0))</f>
        <v>3</v>
      </c>
      <c r="Q68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84" s="33" t="s">
        <v>130</v>
      </c>
      <c r="S684" s="37" t="s">
        <v>128</v>
      </c>
    </row>
    <row r="685" spans="8:19" ht="41.4" x14ac:dyDescent="0.3">
      <c r="H685" s="32" t="s">
        <v>62</v>
      </c>
      <c r="I685" s="33" t="s">
        <v>41</v>
      </c>
      <c r="J685" s="34" t="s">
        <v>442</v>
      </c>
      <c r="K685" s="35" t="s">
        <v>290</v>
      </c>
      <c r="L685" s="33" t="s">
        <v>47</v>
      </c>
      <c r="M685" s="33">
        <v>8115</v>
      </c>
      <c r="N685" s="36"/>
      <c r="O685" s="33">
        <v>3</v>
      </c>
      <c r="P685" s="33">
        <f>IF(Tabela1[[#This Row],[Status]]="✔️",Tabela1[[#This Row],[Peso]],IF(Tabela1[[#This Row],[Status]]="✔️✔️",Tabela1[[#This Row],[Peso]]/2,0))</f>
        <v>0</v>
      </c>
      <c r="Q68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85" s="33" t="s">
        <v>130</v>
      </c>
      <c r="S685" s="37" t="s">
        <v>128</v>
      </c>
    </row>
    <row r="686" spans="8:19" ht="41.4" x14ac:dyDescent="0.3">
      <c r="H686" s="32" t="s">
        <v>62</v>
      </c>
      <c r="I686" s="33" t="s">
        <v>41</v>
      </c>
      <c r="J686" s="34" t="s">
        <v>443</v>
      </c>
      <c r="K686" s="35" t="s">
        <v>290</v>
      </c>
      <c r="L686" s="33" t="s">
        <v>47</v>
      </c>
      <c r="M686" s="33">
        <v>8115</v>
      </c>
      <c r="N686" s="36"/>
      <c r="O686" s="33">
        <v>2</v>
      </c>
      <c r="P686" s="33">
        <f>IF(Tabela1[[#This Row],[Status]]="✔️",Tabela1[[#This Row],[Peso]],IF(Tabela1[[#This Row],[Status]]="✔️✔️",Tabela1[[#This Row],[Peso]]/2,0))</f>
        <v>0</v>
      </c>
      <c r="Q68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686" s="33" t="s">
        <v>130</v>
      </c>
      <c r="S686" s="37" t="s">
        <v>128</v>
      </c>
    </row>
    <row r="687" spans="8:19" ht="27.6" x14ac:dyDescent="0.3">
      <c r="H687" s="32" t="s">
        <v>62</v>
      </c>
      <c r="I687" s="33" t="s">
        <v>14</v>
      </c>
      <c r="J687" s="34" t="s">
        <v>15</v>
      </c>
      <c r="K687" s="35" t="s">
        <v>290</v>
      </c>
      <c r="L687" s="33" t="s">
        <v>336</v>
      </c>
      <c r="M687" s="33"/>
      <c r="N687" s="36"/>
      <c r="O687" s="33">
        <v>3</v>
      </c>
      <c r="P687" s="33">
        <f>IF(Tabela1[[#This Row],[Status]]="✔️",Tabela1[[#This Row],[Peso]],IF(Tabela1[[#This Row],[Status]]="✔️✔️",Tabela1[[#This Row],[Peso]]/2,0))</f>
        <v>0</v>
      </c>
      <c r="Q68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87" s="33" t="s">
        <v>264</v>
      </c>
      <c r="S687" s="37" t="s">
        <v>263</v>
      </c>
    </row>
    <row r="688" spans="8:19" ht="27.6" x14ac:dyDescent="0.3">
      <c r="H688" s="32" t="s">
        <v>62</v>
      </c>
      <c r="I688" s="33" t="s">
        <v>14</v>
      </c>
      <c r="J688" s="34" t="s">
        <v>16</v>
      </c>
      <c r="K688" s="35" t="s">
        <v>290</v>
      </c>
      <c r="L688" s="33" t="s">
        <v>336</v>
      </c>
      <c r="M688" s="33"/>
      <c r="N688" s="36"/>
      <c r="O688" s="33">
        <v>1</v>
      </c>
      <c r="P688" s="33">
        <f>IF(Tabela1[[#This Row],[Status]]="✔️",Tabela1[[#This Row],[Peso]],IF(Tabela1[[#This Row],[Status]]="✔️✔️",Tabela1[[#This Row],[Peso]]/2,0))</f>
        <v>0</v>
      </c>
      <c r="Q68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688" s="33" t="s">
        <v>264</v>
      </c>
      <c r="S688" s="37" t="s">
        <v>263</v>
      </c>
    </row>
    <row r="689" spans="8:19" ht="27.6" x14ac:dyDescent="0.3">
      <c r="H689" s="32" t="s">
        <v>62</v>
      </c>
      <c r="I689" s="33" t="s">
        <v>10</v>
      </c>
      <c r="J689" s="34" t="s">
        <v>11</v>
      </c>
      <c r="K689" s="35" t="s">
        <v>1</v>
      </c>
      <c r="L689" s="33" t="s">
        <v>329</v>
      </c>
      <c r="M689" s="33"/>
      <c r="N689" s="36"/>
      <c r="O689" s="33">
        <v>3</v>
      </c>
      <c r="P689" s="33">
        <f>IF(Tabela1[[#This Row],[Status]]="✔️",Tabela1[[#This Row],[Peso]],IF(Tabela1[[#This Row],[Status]]="✔️✔️",Tabela1[[#This Row],[Peso]]/2,0))</f>
        <v>0</v>
      </c>
      <c r="Q68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89" s="33" t="s">
        <v>264</v>
      </c>
      <c r="S689" s="37" t="s">
        <v>263</v>
      </c>
    </row>
    <row r="690" spans="8:19" ht="27.6" x14ac:dyDescent="0.3">
      <c r="H690" s="32" t="s">
        <v>62</v>
      </c>
      <c r="I690" s="33" t="s">
        <v>10</v>
      </c>
      <c r="J690" s="34" t="s">
        <v>460</v>
      </c>
      <c r="K690" s="35" t="s">
        <v>1</v>
      </c>
      <c r="L690" s="33" t="s">
        <v>329</v>
      </c>
      <c r="M690" s="33"/>
      <c r="N690" s="36"/>
      <c r="O690" s="33">
        <v>3</v>
      </c>
      <c r="P690" s="33">
        <f>IF(Tabela1[[#This Row],[Status]]="✔️",Tabela1[[#This Row],[Peso]],IF(Tabela1[[#This Row],[Status]]="✔️✔️",Tabela1[[#This Row],[Peso]]/2,0))</f>
        <v>0</v>
      </c>
      <c r="Q69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90" s="33" t="s">
        <v>264</v>
      </c>
      <c r="S690" s="37" t="s">
        <v>263</v>
      </c>
    </row>
    <row r="691" spans="8:19" ht="27.6" x14ac:dyDescent="0.3">
      <c r="H691" s="32" t="s">
        <v>62</v>
      </c>
      <c r="I691" s="33" t="s">
        <v>10</v>
      </c>
      <c r="J691" s="34" t="s">
        <v>451</v>
      </c>
      <c r="K691" s="35" t="s">
        <v>1</v>
      </c>
      <c r="L691" s="33" t="s">
        <v>329</v>
      </c>
      <c r="M691" s="33"/>
      <c r="N691" s="36"/>
      <c r="O691" s="33">
        <v>3</v>
      </c>
      <c r="P691" s="33">
        <f>IF(Tabela1[[#This Row],[Status]]="✔️",Tabela1[[#This Row],[Peso]],IF(Tabela1[[#This Row],[Status]]="✔️✔️",Tabela1[[#This Row],[Peso]]/2,0))</f>
        <v>0</v>
      </c>
      <c r="Q69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91" s="33" t="s">
        <v>264</v>
      </c>
      <c r="S691" s="37" t="s">
        <v>263</v>
      </c>
    </row>
    <row r="692" spans="8:19" ht="27.6" x14ac:dyDescent="0.3">
      <c r="H692" s="52" t="s">
        <v>62</v>
      </c>
      <c r="I692" s="53" t="s">
        <v>12</v>
      </c>
      <c r="J692" s="34" t="s">
        <v>13</v>
      </c>
      <c r="K692" s="35" t="s">
        <v>290</v>
      </c>
      <c r="L692" s="53" t="s">
        <v>333</v>
      </c>
      <c r="M692" s="53"/>
      <c r="N692" s="36"/>
      <c r="O692" s="53">
        <v>2</v>
      </c>
      <c r="P692" s="33">
        <f>IF(Tabela1[[#This Row],[Status]]="✔️",Tabela1[[#This Row],[Peso]],IF(Tabela1[[#This Row],[Status]]="✔️✔️",Tabela1[[#This Row],[Peso]]/2,0))</f>
        <v>0</v>
      </c>
      <c r="Q692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692" s="33" t="s">
        <v>264</v>
      </c>
      <c r="S692" s="37" t="s">
        <v>263</v>
      </c>
    </row>
    <row r="693" spans="8:19" ht="27.6" x14ac:dyDescent="0.3">
      <c r="H693" s="32" t="s">
        <v>62</v>
      </c>
      <c r="I693" s="33" t="s">
        <v>17</v>
      </c>
      <c r="J693" s="34" t="s">
        <v>18</v>
      </c>
      <c r="K693" s="35" t="s">
        <v>0</v>
      </c>
      <c r="L693" s="33" t="s">
        <v>330</v>
      </c>
      <c r="M693" s="33"/>
      <c r="N693" s="36"/>
      <c r="O693" s="33">
        <v>3</v>
      </c>
      <c r="P693" s="33">
        <f>IF(Tabela1[[#This Row],[Status]]="✔️",Tabela1[[#This Row],[Peso]],IF(Tabela1[[#This Row],[Status]]="✔️✔️",Tabela1[[#This Row],[Peso]]/2,0))</f>
        <v>3</v>
      </c>
      <c r="Q69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93" s="33" t="s">
        <v>264</v>
      </c>
      <c r="S693" s="37" t="s">
        <v>263</v>
      </c>
    </row>
    <row r="694" spans="8:19" ht="27.6" x14ac:dyDescent="0.3">
      <c r="H694" s="32" t="s">
        <v>62</v>
      </c>
      <c r="I694" s="33" t="s">
        <v>17</v>
      </c>
      <c r="J694" s="34" t="s">
        <v>19</v>
      </c>
      <c r="K694" s="35" t="s">
        <v>0</v>
      </c>
      <c r="L694" s="33" t="s">
        <v>330</v>
      </c>
      <c r="M694" s="33"/>
      <c r="N694" s="36"/>
      <c r="O694" s="33">
        <v>3</v>
      </c>
      <c r="P694" s="33">
        <f>IF(Tabela1[[#This Row],[Status]]="✔️",Tabela1[[#This Row],[Peso]],IF(Tabela1[[#This Row],[Status]]="✔️✔️",Tabela1[[#This Row],[Peso]]/2,0))</f>
        <v>3</v>
      </c>
      <c r="Q69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94" s="33" t="s">
        <v>264</v>
      </c>
      <c r="S694" s="37" t="s">
        <v>263</v>
      </c>
    </row>
    <row r="695" spans="8:19" ht="27.6" x14ac:dyDescent="0.3">
      <c r="H695" s="32" t="s">
        <v>62</v>
      </c>
      <c r="I695" s="33" t="s">
        <v>20</v>
      </c>
      <c r="J695" s="34" t="s">
        <v>21</v>
      </c>
      <c r="K695" s="35" t="s">
        <v>0</v>
      </c>
      <c r="L695" s="33" t="s">
        <v>331</v>
      </c>
      <c r="M695" s="33"/>
      <c r="N695" s="36"/>
      <c r="O695" s="33">
        <v>3</v>
      </c>
      <c r="P695" s="33">
        <f>IF(Tabela1[[#This Row],[Status]]="✔️",Tabela1[[#This Row],[Peso]],IF(Tabela1[[#This Row],[Status]]="✔️✔️",Tabela1[[#This Row],[Peso]]/2,0))</f>
        <v>3</v>
      </c>
      <c r="Q69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95" s="33" t="s">
        <v>264</v>
      </c>
      <c r="S695" s="37" t="s">
        <v>263</v>
      </c>
    </row>
    <row r="696" spans="8:19" ht="27.6" x14ac:dyDescent="0.3">
      <c r="H696" s="32" t="s">
        <v>62</v>
      </c>
      <c r="I696" s="33" t="s">
        <v>20</v>
      </c>
      <c r="J696" s="34" t="s">
        <v>452</v>
      </c>
      <c r="K696" s="35" t="s">
        <v>290</v>
      </c>
      <c r="L696" s="33" t="s">
        <v>334</v>
      </c>
      <c r="M696" s="33"/>
      <c r="N696" s="36"/>
      <c r="O696" s="33">
        <v>1</v>
      </c>
      <c r="P696" s="33">
        <f>IF(Tabela1[[#This Row],[Status]]="✔️",Tabela1[[#This Row],[Peso]],IF(Tabela1[[#This Row],[Status]]="✔️✔️",Tabela1[[#This Row],[Peso]]/2,0))</f>
        <v>0</v>
      </c>
      <c r="Q69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696" s="33" t="s">
        <v>264</v>
      </c>
      <c r="S696" s="37" t="s">
        <v>263</v>
      </c>
    </row>
    <row r="697" spans="8:19" ht="27.6" x14ac:dyDescent="0.3">
      <c r="H697" s="32" t="s">
        <v>62</v>
      </c>
      <c r="I697" s="33" t="s">
        <v>25</v>
      </c>
      <c r="J697" s="34" t="s">
        <v>28</v>
      </c>
      <c r="K697" s="35" t="s">
        <v>290</v>
      </c>
      <c r="L697" s="33" t="s">
        <v>335</v>
      </c>
      <c r="M697" s="33"/>
      <c r="N697" s="36"/>
      <c r="O697" s="33">
        <v>3</v>
      </c>
      <c r="P697" s="33">
        <f>IF(Tabela1[[#This Row],[Status]]="✔️",Tabela1[[#This Row],[Peso]],IF(Tabela1[[#This Row],[Status]]="✔️✔️",Tabela1[[#This Row],[Peso]]/2,0))</f>
        <v>0</v>
      </c>
      <c r="Q69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97" s="33" t="s">
        <v>264</v>
      </c>
      <c r="S697" s="37" t="s">
        <v>263</v>
      </c>
    </row>
    <row r="698" spans="8:19" ht="27.6" x14ac:dyDescent="0.3">
      <c r="H698" s="32" t="s">
        <v>62</v>
      </c>
      <c r="I698" s="33" t="s">
        <v>25</v>
      </c>
      <c r="J698" s="34" t="s">
        <v>29</v>
      </c>
      <c r="K698" s="35" t="s">
        <v>0</v>
      </c>
      <c r="L698" s="33"/>
      <c r="M698" s="33"/>
      <c r="N698" s="36"/>
      <c r="O698" s="33">
        <v>3</v>
      </c>
      <c r="P698" s="33">
        <f>IF(Tabela1[[#This Row],[Status]]="✔️",Tabela1[[#This Row],[Peso]],IF(Tabela1[[#This Row],[Status]]="✔️✔️",Tabela1[[#This Row],[Peso]]/2,0))</f>
        <v>3</v>
      </c>
      <c r="Q69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98" s="33" t="s">
        <v>264</v>
      </c>
      <c r="S698" s="37" t="s">
        <v>263</v>
      </c>
    </row>
    <row r="699" spans="8:19" ht="27.6" x14ac:dyDescent="0.3">
      <c r="H699" s="32" t="s">
        <v>62</v>
      </c>
      <c r="I699" s="33" t="s">
        <v>25</v>
      </c>
      <c r="J699" s="34" t="s">
        <v>461</v>
      </c>
      <c r="K699" s="35" t="s">
        <v>290</v>
      </c>
      <c r="L699" s="33" t="s">
        <v>332</v>
      </c>
      <c r="M699" s="33">
        <v>8441</v>
      </c>
      <c r="N699" s="36"/>
      <c r="O699" s="33">
        <v>3</v>
      </c>
      <c r="P699" s="33">
        <f>IF(Tabela1[[#This Row],[Status]]="✔️",Tabela1[[#This Row],[Peso]],IF(Tabela1[[#This Row],[Status]]="✔️✔️",Tabela1[[#This Row],[Peso]]/2,0))</f>
        <v>0</v>
      </c>
      <c r="Q69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99" s="33" t="s">
        <v>264</v>
      </c>
      <c r="S699" s="37" t="s">
        <v>263</v>
      </c>
    </row>
    <row r="700" spans="8:19" ht="27.6" x14ac:dyDescent="0.3">
      <c r="H700" s="32" t="s">
        <v>62</v>
      </c>
      <c r="I700" s="33" t="s">
        <v>30</v>
      </c>
      <c r="J700" s="34" t="s">
        <v>462</v>
      </c>
      <c r="K700" s="35" t="s">
        <v>0</v>
      </c>
      <c r="L700" s="33"/>
      <c r="M700" s="33"/>
      <c r="N700" s="36"/>
      <c r="O700" s="33">
        <v>3</v>
      </c>
      <c r="P700" s="33">
        <f>IF(Tabela1[[#This Row],[Status]]="✔️",Tabela1[[#This Row],[Peso]],IF(Tabela1[[#This Row],[Status]]="✔️✔️",Tabela1[[#This Row],[Peso]]/2,0))</f>
        <v>3</v>
      </c>
      <c r="Q70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00" s="33" t="s">
        <v>264</v>
      </c>
      <c r="S700" s="37" t="s">
        <v>263</v>
      </c>
    </row>
    <row r="701" spans="8:19" ht="41.4" x14ac:dyDescent="0.3">
      <c r="H701" s="32" t="s">
        <v>62</v>
      </c>
      <c r="I701" s="33" t="s">
        <v>41</v>
      </c>
      <c r="J701" s="34" t="s">
        <v>457</v>
      </c>
      <c r="K701" s="35" t="s">
        <v>1</v>
      </c>
      <c r="L701" s="33"/>
      <c r="M701" s="33"/>
      <c r="N701" s="36"/>
      <c r="O701" s="33">
        <v>3</v>
      </c>
      <c r="P701" s="33">
        <f>IF(Tabela1[[#This Row],[Status]]="✔️",Tabela1[[#This Row],[Peso]],IF(Tabela1[[#This Row],[Status]]="✔️✔️",Tabela1[[#This Row],[Peso]]/2,0))</f>
        <v>0</v>
      </c>
      <c r="Q70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01" s="33" t="s">
        <v>264</v>
      </c>
      <c r="S701" s="37" t="s">
        <v>263</v>
      </c>
    </row>
    <row r="702" spans="8:19" ht="41.4" x14ac:dyDescent="0.3">
      <c r="H702" s="32" t="s">
        <v>62</v>
      </c>
      <c r="I702" s="33" t="s">
        <v>41</v>
      </c>
      <c r="J702" s="34" t="s">
        <v>458</v>
      </c>
      <c r="K702" s="35" t="s">
        <v>1</v>
      </c>
      <c r="L702" s="33"/>
      <c r="M702" s="33"/>
      <c r="N702" s="36"/>
      <c r="O702" s="33">
        <v>2</v>
      </c>
      <c r="P702" s="33">
        <f>IF(Tabela1[[#This Row],[Status]]="✔️",Tabela1[[#This Row],[Peso]],IF(Tabela1[[#This Row],[Status]]="✔️✔️",Tabela1[[#This Row],[Peso]]/2,0))</f>
        <v>0</v>
      </c>
      <c r="Q70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02" s="33" t="s">
        <v>264</v>
      </c>
      <c r="S702" s="37" t="s">
        <v>263</v>
      </c>
    </row>
    <row r="703" spans="8:19" ht="27.6" x14ac:dyDescent="0.3">
      <c r="H703" s="32" t="s">
        <v>55</v>
      </c>
      <c r="I703" s="33" t="s">
        <v>10</v>
      </c>
      <c r="J703" s="34" t="s">
        <v>11</v>
      </c>
      <c r="K703" s="35" t="s">
        <v>0</v>
      </c>
      <c r="L703" s="33"/>
      <c r="M703" s="33"/>
      <c r="N703" s="36"/>
      <c r="O703" s="33">
        <v>3</v>
      </c>
      <c r="P703" s="33">
        <f>IF(Tabela1[[#This Row],[Status]]="✔️",Tabela1[[#This Row],[Peso]],IF(Tabela1[[#This Row],[Status]]="✔️✔️",Tabela1[[#This Row],[Peso]]/2,0))</f>
        <v>3</v>
      </c>
      <c r="Q70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03" s="33" t="s">
        <v>127</v>
      </c>
      <c r="S703" s="37" t="s">
        <v>128</v>
      </c>
    </row>
    <row r="704" spans="8:19" ht="27.6" x14ac:dyDescent="0.3">
      <c r="H704" s="32" t="s">
        <v>55</v>
      </c>
      <c r="I704" s="33" t="s">
        <v>12</v>
      </c>
      <c r="J704" s="34" t="s">
        <v>13</v>
      </c>
      <c r="K704" s="35" t="s">
        <v>0</v>
      </c>
      <c r="L704" s="33"/>
      <c r="M704" s="33"/>
      <c r="N704" s="36"/>
      <c r="O704" s="33">
        <v>2</v>
      </c>
      <c r="P704" s="33">
        <f>IF(Tabela1[[#This Row],[Status]]="✔️",Tabela1[[#This Row],[Peso]],IF(Tabela1[[#This Row],[Status]]="✔️✔️",Tabela1[[#This Row],[Peso]]/2,0))</f>
        <v>2</v>
      </c>
      <c r="Q70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704" s="33" t="s">
        <v>127</v>
      </c>
      <c r="S704" s="37" t="s">
        <v>128</v>
      </c>
    </row>
    <row r="705" spans="8:19" ht="27.6" x14ac:dyDescent="0.3">
      <c r="H705" s="32" t="s">
        <v>55</v>
      </c>
      <c r="I705" s="33" t="s">
        <v>14</v>
      </c>
      <c r="J705" s="34" t="s">
        <v>15</v>
      </c>
      <c r="K705" s="35" t="s">
        <v>0</v>
      </c>
      <c r="L705" s="33"/>
      <c r="M705" s="33"/>
      <c r="N705" s="36"/>
      <c r="O705" s="33">
        <v>3</v>
      </c>
      <c r="P705" s="33">
        <f>IF(Tabela1[[#This Row],[Status]]="✔️",Tabela1[[#This Row],[Peso]],IF(Tabela1[[#This Row],[Status]]="✔️✔️",Tabela1[[#This Row],[Peso]]/2,0))</f>
        <v>3</v>
      </c>
      <c r="Q70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05" s="33" t="s">
        <v>127</v>
      </c>
      <c r="S705" s="37" t="s">
        <v>128</v>
      </c>
    </row>
    <row r="706" spans="8:19" ht="27.6" x14ac:dyDescent="0.3">
      <c r="H706" s="32" t="s">
        <v>55</v>
      </c>
      <c r="I706" s="33" t="s">
        <v>17</v>
      </c>
      <c r="J706" s="34" t="s">
        <v>18</v>
      </c>
      <c r="K706" s="35" t="s">
        <v>0</v>
      </c>
      <c r="L706" s="33"/>
      <c r="M706" s="33"/>
      <c r="N706" s="36"/>
      <c r="O706" s="33">
        <v>3</v>
      </c>
      <c r="P706" s="33">
        <f>IF(Tabela1[[#This Row],[Status]]="✔️",Tabela1[[#This Row],[Peso]],IF(Tabela1[[#This Row],[Status]]="✔️✔️",Tabela1[[#This Row],[Peso]]/2,0))</f>
        <v>3</v>
      </c>
      <c r="Q70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06" s="33" t="s">
        <v>127</v>
      </c>
      <c r="S706" s="37" t="s">
        <v>128</v>
      </c>
    </row>
    <row r="707" spans="8:19" ht="27.6" x14ac:dyDescent="0.3">
      <c r="H707" s="32" t="s">
        <v>55</v>
      </c>
      <c r="I707" s="33" t="s">
        <v>17</v>
      </c>
      <c r="J707" s="34" t="s">
        <v>19</v>
      </c>
      <c r="K707" s="35" t="s">
        <v>290</v>
      </c>
      <c r="L707" s="33" t="s">
        <v>68</v>
      </c>
      <c r="M707" s="33">
        <v>3955</v>
      </c>
      <c r="N707" s="36"/>
      <c r="O707" s="33">
        <v>3</v>
      </c>
      <c r="P707" s="33">
        <f>IF(Tabela1[[#This Row],[Status]]="✔️",Tabela1[[#This Row],[Peso]],IF(Tabela1[[#This Row],[Status]]="✔️✔️",Tabela1[[#This Row],[Peso]]/2,0))</f>
        <v>0</v>
      </c>
      <c r="Q70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07" s="33" t="s">
        <v>127</v>
      </c>
      <c r="S707" s="37" t="s">
        <v>128</v>
      </c>
    </row>
    <row r="708" spans="8:19" ht="41.4" x14ac:dyDescent="0.3">
      <c r="H708" s="32" t="s">
        <v>55</v>
      </c>
      <c r="I708" s="33" t="s">
        <v>41</v>
      </c>
      <c r="J708" s="34" t="s">
        <v>442</v>
      </c>
      <c r="K708" s="35" t="s">
        <v>290</v>
      </c>
      <c r="L708" s="33" t="s">
        <v>47</v>
      </c>
      <c r="M708" s="33">
        <v>8115</v>
      </c>
      <c r="N708" s="36"/>
      <c r="O708" s="33">
        <v>3</v>
      </c>
      <c r="P708" s="33">
        <f>IF(Tabela1[[#This Row],[Status]]="✔️",Tabela1[[#This Row],[Peso]],IF(Tabela1[[#This Row],[Status]]="✔️✔️",Tabela1[[#This Row],[Peso]]/2,0))</f>
        <v>0</v>
      </c>
      <c r="Q70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08" s="33" t="s">
        <v>127</v>
      </c>
      <c r="S708" s="37" t="s">
        <v>128</v>
      </c>
    </row>
    <row r="709" spans="8:19" ht="41.4" x14ac:dyDescent="0.3">
      <c r="H709" s="32" t="s">
        <v>55</v>
      </c>
      <c r="I709" s="33" t="s">
        <v>41</v>
      </c>
      <c r="J709" s="34" t="s">
        <v>443</v>
      </c>
      <c r="K709" s="35" t="s">
        <v>290</v>
      </c>
      <c r="L709" s="33" t="s">
        <v>47</v>
      </c>
      <c r="M709" s="33">
        <v>8115</v>
      </c>
      <c r="N709" s="36"/>
      <c r="O709" s="33">
        <v>2</v>
      </c>
      <c r="P709" s="33">
        <f>IF(Tabela1[[#This Row],[Status]]="✔️",Tabela1[[#This Row],[Peso]],IF(Tabela1[[#This Row],[Status]]="✔️✔️",Tabela1[[#This Row],[Peso]]/2,0))</f>
        <v>0</v>
      </c>
      <c r="Q70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709" s="33" t="s">
        <v>127</v>
      </c>
      <c r="S709" s="37" t="s">
        <v>128</v>
      </c>
    </row>
    <row r="710" spans="8:19" ht="27.6" x14ac:dyDescent="0.3">
      <c r="H710" s="32" t="s">
        <v>55</v>
      </c>
      <c r="I710" s="33" t="s">
        <v>30</v>
      </c>
      <c r="J710" s="34" t="s">
        <v>438</v>
      </c>
      <c r="K710" s="35" t="s">
        <v>0</v>
      </c>
      <c r="L710" s="33"/>
      <c r="M710" s="33"/>
      <c r="N710" s="36"/>
      <c r="O710" s="33">
        <v>3</v>
      </c>
      <c r="P710" s="33">
        <f>IF(Tabela1[[#This Row],[Status]]="✔️",Tabela1[[#This Row],[Peso]],IF(Tabela1[[#This Row],[Status]]="✔️✔️",Tabela1[[#This Row],[Peso]]/2,0))</f>
        <v>3</v>
      </c>
      <c r="Q71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10" s="33" t="s">
        <v>130</v>
      </c>
      <c r="S710" s="37" t="s">
        <v>132</v>
      </c>
    </row>
    <row r="711" spans="8:19" ht="27.6" x14ac:dyDescent="0.3">
      <c r="H711" s="32" t="s">
        <v>55</v>
      </c>
      <c r="I711" s="33" t="s">
        <v>10</v>
      </c>
      <c r="J711" s="34" t="s">
        <v>11</v>
      </c>
      <c r="K711" s="35" t="s">
        <v>290</v>
      </c>
      <c r="L711" s="33" t="s">
        <v>164</v>
      </c>
      <c r="M711" s="33">
        <v>7439</v>
      </c>
      <c r="N711" s="36"/>
      <c r="O711" s="33">
        <v>3</v>
      </c>
      <c r="P711" s="33">
        <f>IF(Tabela1[[#This Row],[Status]]="✔️",Tabela1[[#This Row],[Peso]],IF(Tabela1[[#This Row],[Status]]="✔️✔️",Tabela1[[#This Row],[Peso]]/2,0))</f>
        <v>0</v>
      </c>
      <c r="Q71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11" s="33" t="s">
        <v>130</v>
      </c>
      <c r="S711" s="37" t="s">
        <v>132</v>
      </c>
    </row>
    <row r="712" spans="8:19" ht="27.6" x14ac:dyDescent="0.3">
      <c r="H712" s="32" t="s">
        <v>55</v>
      </c>
      <c r="I712" s="33" t="s">
        <v>10</v>
      </c>
      <c r="J712" s="34" t="s">
        <v>439</v>
      </c>
      <c r="K712" s="35" t="s">
        <v>1</v>
      </c>
      <c r="L712" s="33"/>
      <c r="M712" s="33"/>
      <c r="N712" s="36"/>
      <c r="O712" s="33">
        <v>3</v>
      </c>
      <c r="P712" s="33">
        <f>IF(Tabela1[[#This Row],[Status]]="✔️",Tabela1[[#This Row],[Peso]],IF(Tabela1[[#This Row],[Status]]="✔️✔️",Tabela1[[#This Row],[Peso]]/2,0))</f>
        <v>0</v>
      </c>
      <c r="Q71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12" s="33" t="s">
        <v>130</v>
      </c>
      <c r="S712" s="37" t="s">
        <v>132</v>
      </c>
    </row>
    <row r="713" spans="8:19" ht="27.6" x14ac:dyDescent="0.3">
      <c r="H713" s="32" t="s">
        <v>55</v>
      </c>
      <c r="I713" s="33" t="s">
        <v>10</v>
      </c>
      <c r="J713" s="34" t="s">
        <v>440</v>
      </c>
      <c r="K713" s="35" t="s">
        <v>1</v>
      </c>
      <c r="L713" s="33"/>
      <c r="M713" s="33"/>
      <c r="N713" s="36"/>
      <c r="O713" s="33">
        <v>3</v>
      </c>
      <c r="P713" s="33">
        <f>IF(Tabela1[[#This Row],[Status]]="✔️",Tabela1[[#This Row],[Peso]],IF(Tabela1[[#This Row],[Status]]="✔️✔️",Tabela1[[#This Row],[Peso]]/2,0))</f>
        <v>0</v>
      </c>
      <c r="Q71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13" s="33" t="s">
        <v>130</v>
      </c>
      <c r="S713" s="37" t="s">
        <v>132</v>
      </c>
    </row>
    <row r="714" spans="8:19" ht="27.6" x14ac:dyDescent="0.3">
      <c r="H714" s="32" t="s">
        <v>55</v>
      </c>
      <c r="I714" s="33" t="s">
        <v>12</v>
      </c>
      <c r="J714" s="34" t="s">
        <v>13</v>
      </c>
      <c r="K714" s="35" t="s">
        <v>0</v>
      </c>
      <c r="L714" s="33"/>
      <c r="M714" s="33"/>
      <c r="N714" s="36"/>
      <c r="O714" s="33">
        <v>2</v>
      </c>
      <c r="P714" s="33">
        <f>IF(Tabela1[[#This Row],[Status]]="✔️",Tabela1[[#This Row],[Peso]],IF(Tabela1[[#This Row],[Status]]="✔️✔️",Tabela1[[#This Row],[Peso]]/2,0))</f>
        <v>2</v>
      </c>
      <c r="Q71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714" s="33" t="s">
        <v>130</v>
      </c>
      <c r="S714" s="37" t="s">
        <v>132</v>
      </c>
    </row>
    <row r="715" spans="8:19" ht="27.6" x14ac:dyDescent="0.3">
      <c r="H715" s="32" t="s">
        <v>55</v>
      </c>
      <c r="I715" s="33" t="s">
        <v>14</v>
      </c>
      <c r="J715" s="34" t="s">
        <v>15</v>
      </c>
      <c r="K715" s="35" t="s">
        <v>290</v>
      </c>
      <c r="L715" s="33" t="s">
        <v>165</v>
      </c>
      <c r="M715" s="33">
        <v>5405</v>
      </c>
      <c r="N715" s="36"/>
      <c r="O715" s="33">
        <v>3</v>
      </c>
      <c r="P715" s="33">
        <f>IF(Tabela1[[#This Row],[Status]]="✔️",Tabela1[[#This Row],[Peso]],IF(Tabela1[[#This Row],[Status]]="✔️✔️",Tabela1[[#This Row],[Peso]]/2,0))</f>
        <v>0</v>
      </c>
      <c r="Q71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15" s="33" t="s">
        <v>130</v>
      </c>
      <c r="S715" s="37" t="s">
        <v>132</v>
      </c>
    </row>
    <row r="716" spans="8:19" ht="27.6" x14ac:dyDescent="0.3">
      <c r="H716" s="32" t="s">
        <v>55</v>
      </c>
      <c r="I716" s="33" t="s">
        <v>14</v>
      </c>
      <c r="J716" s="34" t="s">
        <v>16</v>
      </c>
      <c r="K716" s="35" t="s">
        <v>290</v>
      </c>
      <c r="L716" s="33" t="s">
        <v>165</v>
      </c>
      <c r="M716" s="33">
        <v>5405</v>
      </c>
      <c r="N716" s="36"/>
      <c r="O716" s="33">
        <v>1</v>
      </c>
      <c r="P716" s="33">
        <f>IF(Tabela1[[#This Row],[Status]]="✔️",Tabela1[[#This Row],[Peso]],IF(Tabela1[[#This Row],[Status]]="✔️✔️",Tabela1[[#This Row],[Peso]]/2,0))</f>
        <v>0</v>
      </c>
      <c r="Q71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716" s="33" t="s">
        <v>130</v>
      </c>
      <c r="S716" s="37" t="s">
        <v>132</v>
      </c>
    </row>
    <row r="717" spans="8:19" ht="27.6" x14ac:dyDescent="0.3">
      <c r="H717" s="32" t="s">
        <v>55</v>
      </c>
      <c r="I717" s="33" t="s">
        <v>17</v>
      </c>
      <c r="J717" s="34" t="s">
        <v>18</v>
      </c>
      <c r="K717" s="35" t="s">
        <v>0</v>
      </c>
      <c r="L717" s="33"/>
      <c r="M717" s="33"/>
      <c r="N717" s="36"/>
      <c r="O717" s="33">
        <v>3</v>
      </c>
      <c r="P717" s="33">
        <f>IF(Tabela1[[#This Row],[Status]]="✔️",Tabela1[[#This Row],[Peso]],IF(Tabela1[[#This Row],[Status]]="✔️✔️",Tabela1[[#This Row],[Peso]]/2,0))</f>
        <v>3</v>
      </c>
      <c r="Q71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17" s="33" t="s">
        <v>130</v>
      </c>
      <c r="S717" s="37" t="s">
        <v>132</v>
      </c>
    </row>
    <row r="718" spans="8:19" ht="27.6" x14ac:dyDescent="0.3">
      <c r="H718" s="32" t="s">
        <v>55</v>
      </c>
      <c r="I718" s="33" t="s">
        <v>17</v>
      </c>
      <c r="J718" s="34" t="s">
        <v>19</v>
      </c>
      <c r="K718" s="35" t="s">
        <v>290</v>
      </c>
      <c r="L718" s="33" t="s">
        <v>166</v>
      </c>
      <c r="M718" s="33">
        <v>2939</v>
      </c>
      <c r="N718" s="36"/>
      <c r="O718" s="33">
        <v>3</v>
      </c>
      <c r="P718" s="33">
        <f>IF(Tabela1[[#This Row],[Status]]="✔️",Tabela1[[#This Row],[Peso]],IF(Tabela1[[#This Row],[Status]]="✔️✔️",Tabela1[[#This Row],[Peso]]/2,0))</f>
        <v>0</v>
      </c>
      <c r="Q71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18" s="33" t="s">
        <v>130</v>
      </c>
      <c r="S718" s="37" t="s">
        <v>132</v>
      </c>
    </row>
    <row r="719" spans="8:19" ht="27.6" x14ac:dyDescent="0.3">
      <c r="H719" s="32" t="s">
        <v>55</v>
      </c>
      <c r="I719" s="33" t="s">
        <v>20</v>
      </c>
      <c r="J719" s="34" t="s">
        <v>21</v>
      </c>
      <c r="K719" s="35" t="s">
        <v>1</v>
      </c>
      <c r="L719" s="33"/>
      <c r="M719" s="33"/>
      <c r="N719" s="36"/>
      <c r="O719" s="33">
        <v>3</v>
      </c>
      <c r="P719" s="33">
        <f>IF(Tabela1[[#This Row],[Status]]="✔️",Tabela1[[#This Row],[Peso]],IF(Tabela1[[#This Row],[Status]]="✔️✔️",Tabela1[[#This Row],[Peso]]/2,0))</f>
        <v>0</v>
      </c>
      <c r="Q71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19" s="33" t="s">
        <v>130</v>
      </c>
      <c r="S719" s="37" t="s">
        <v>132</v>
      </c>
    </row>
    <row r="720" spans="8:19" ht="27.6" x14ac:dyDescent="0.3">
      <c r="H720" s="32" t="s">
        <v>55</v>
      </c>
      <c r="I720" s="33" t="s">
        <v>20</v>
      </c>
      <c r="J720" s="34" t="s">
        <v>441</v>
      </c>
      <c r="K720" s="35" t="s">
        <v>1</v>
      </c>
      <c r="L720" s="33"/>
      <c r="M720" s="33"/>
      <c r="N720" s="36"/>
      <c r="O720" s="33">
        <v>1</v>
      </c>
      <c r="P720" s="33">
        <f>IF(Tabela1[[#This Row],[Status]]="✔️",Tabela1[[#This Row],[Peso]],IF(Tabela1[[#This Row],[Status]]="✔️✔️",Tabela1[[#This Row],[Peso]]/2,0))</f>
        <v>0</v>
      </c>
      <c r="Q72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20" s="33" t="s">
        <v>130</v>
      </c>
      <c r="S720" s="37" t="s">
        <v>132</v>
      </c>
    </row>
    <row r="721" spans="8:19" ht="27.6" x14ac:dyDescent="0.3">
      <c r="H721" s="32" t="s">
        <v>55</v>
      </c>
      <c r="I721" s="33" t="s">
        <v>25</v>
      </c>
      <c r="J721" s="34" t="s">
        <v>28</v>
      </c>
      <c r="K721" s="35" t="s">
        <v>0</v>
      </c>
      <c r="L721" s="33"/>
      <c r="M721" s="33"/>
      <c r="N721" s="36"/>
      <c r="O721" s="33">
        <v>3</v>
      </c>
      <c r="P721" s="33">
        <f>IF(Tabela1[[#This Row],[Status]]="✔️",Tabela1[[#This Row],[Peso]],IF(Tabela1[[#This Row],[Status]]="✔️✔️",Tabela1[[#This Row],[Peso]]/2,0))</f>
        <v>3</v>
      </c>
      <c r="Q72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21" s="33" t="s">
        <v>130</v>
      </c>
      <c r="S721" s="37" t="s">
        <v>132</v>
      </c>
    </row>
    <row r="722" spans="8:19" ht="27.6" x14ac:dyDescent="0.3">
      <c r="H722" s="32" t="s">
        <v>55</v>
      </c>
      <c r="I722" s="33" t="s">
        <v>25</v>
      </c>
      <c r="J722" s="34" t="s">
        <v>29</v>
      </c>
      <c r="K722" s="35" t="s">
        <v>1</v>
      </c>
      <c r="L722" s="33"/>
      <c r="M722" s="33"/>
      <c r="N722" s="36"/>
      <c r="O722" s="33">
        <v>3</v>
      </c>
      <c r="P722" s="33">
        <f>IF(Tabela1[[#This Row],[Status]]="✔️",Tabela1[[#This Row],[Peso]],IF(Tabela1[[#This Row],[Status]]="✔️✔️",Tabela1[[#This Row],[Peso]]/2,0))</f>
        <v>0</v>
      </c>
      <c r="Q72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22" s="33" t="s">
        <v>130</v>
      </c>
      <c r="S722" s="37" t="s">
        <v>132</v>
      </c>
    </row>
    <row r="723" spans="8:19" ht="27.6" x14ac:dyDescent="0.3">
      <c r="H723" s="32" t="s">
        <v>55</v>
      </c>
      <c r="I723" s="33" t="s">
        <v>25</v>
      </c>
      <c r="J723" s="34" t="s">
        <v>449</v>
      </c>
      <c r="K723" s="35" t="s">
        <v>0</v>
      </c>
      <c r="L723" s="33"/>
      <c r="M723" s="33"/>
      <c r="N723" s="36"/>
      <c r="O723" s="33">
        <v>3</v>
      </c>
      <c r="P723" s="33">
        <f>IF(Tabela1[[#This Row],[Status]]="✔️",Tabela1[[#This Row],[Peso]],IF(Tabela1[[#This Row],[Status]]="✔️✔️",Tabela1[[#This Row],[Peso]]/2,0))</f>
        <v>3</v>
      </c>
      <c r="Q72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23" s="33" t="s">
        <v>130</v>
      </c>
      <c r="S723" s="37" t="s">
        <v>132</v>
      </c>
    </row>
    <row r="724" spans="8:19" ht="41.4" x14ac:dyDescent="0.3">
      <c r="H724" s="32" t="s">
        <v>55</v>
      </c>
      <c r="I724" s="33" t="s">
        <v>41</v>
      </c>
      <c r="J724" s="34" t="s">
        <v>442</v>
      </c>
      <c r="K724" s="35" t="s">
        <v>290</v>
      </c>
      <c r="L724" s="33" t="s">
        <v>47</v>
      </c>
      <c r="M724" s="33">
        <v>3184</v>
      </c>
      <c r="N724" s="36"/>
      <c r="O724" s="33">
        <v>3</v>
      </c>
      <c r="P724" s="33">
        <f>IF(Tabela1[[#This Row],[Status]]="✔️",Tabela1[[#This Row],[Peso]],IF(Tabela1[[#This Row],[Status]]="✔️✔️",Tabela1[[#This Row],[Peso]]/2,0))</f>
        <v>0</v>
      </c>
      <c r="Q72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24" s="33" t="s">
        <v>130</v>
      </c>
      <c r="S724" s="37" t="s">
        <v>132</v>
      </c>
    </row>
    <row r="725" spans="8:19" ht="41.4" x14ac:dyDescent="0.3">
      <c r="H725" s="32" t="s">
        <v>55</v>
      </c>
      <c r="I725" s="33" t="s">
        <v>41</v>
      </c>
      <c r="J725" s="34" t="s">
        <v>443</v>
      </c>
      <c r="K725" s="35" t="s">
        <v>290</v>
      </c>
      <c r="L725" s="33" t="s">
        <v>47</v>
      </c>
      <c r="M725" s="33">
        <v>3184</v>
      </c>
      <c r="N725" s="36"/>
      <c r="O725" s="33">
        <v>2</v>
      </c>
      <c r="P725" s="33">
        <f>IF(Tabela1[[#This Row],[Status]]="✔️",Tabela1[[#This Row],[Peso]],IF(Tabela1[[#This Row],[Status]]="✔️✔️",Tabela1[[#This Row],[Peso]]/2,0))</f>
        <v>0</v>
      </c>
      <c r="Q725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725" s="33" t="s">
        <v>130</v>
      </c>
      <c r="S725" s="37" t="s">
        <v>132</v>
      </c>
    </row>
    <row r="726" spans="8:19" ht="27.6" x14ac:dyDescent="0.3">
      <c r="H726" s="32" t="s">
        <v>55</v>
      </c>
      <c r="I726" s="33" t="s">
        <v>30</v>
      </c>
      <c r="J726" s="34" t="s">
        <v>438</v>
      </c>
      <c r="K726" s="35" t="s">
        <v>0</v>
      </c>
      <c r="L726" s="33"/>
      <c r="M726" s="33"/>
      <c r="N726" s="36"/>
      <c r="O726" s="33">
        <v>3</v>
      </c>
      <c r="P726" s="33">
        <f>IF(Tabela1[[#This Row],[Status]]="✔️",Tabela1[[#This Row],[Peso]],IF(Tabela1[[#This Row],[Status]]="✔️✔️",Tabela1[[#This Row],[Peso]]/2,0))</f>
        <v>3</v>
      </c>
      <c r="Q72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26" s="33" t="s">
        <v>130</v>
      </c>
      <c r="S726" s="37" t="s">
        <v>128</v>
      </c>
    </row>
    <row r="727" spans="8:19" ht="27.6" x14ac:dyDescent="0.3">
      <c r="H727" s="32" t="s">
        <v>55</v>
      </c>
      <c r="I727" s="33" t="s">
        <v>10</v>
      </c>
      <c r="J727" s="34" t="s">
        <v>444</v>
      </c>
      <c r="K727" s="35" t="s">
        <v>290</v>
      </c>
      <c r="L727" s="33" t="s">
        <v>153</v>
      </c>
      <c r="M727" s="33">
        <v>7439</v>
      </c>
      <c r="N727" s="36"/>
      <c r="O727" s="33">
        <v>3</v>
      </c>
      <c r="P727" s="33">
        <f>IF(Tabela1[[#This Row],[Status]]="✔️",Tabela1[[#This Row],[Peso]],IF(Tabela1[[#This Row],[Status]]="✔️✔️",Tabela1[[#This Row],[Peso]]/2,0))</f>
        <v>0</v>
      </c>
      <c r="Q72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27" s="33" t="s">
        <v>130</v>
      </c>
      <c r="S727" s="37" t="s">
        <v>132</v>
      </c>
    </row>
    <row r="728" spans="8:19" ht="27.6" x14ac:dyDescent="0.3">
      <c r="H728" s="32" t="s">
        <v>55</v>
      </c>
      <c r="I728" s="33" t="s">
        <v>10</v>
      </c>
      <c r="J728" s="34" t="s">
        <v>11</v>
      </c>
      <c r="K728" s="35" t="s">
        <v>290</v>
      </c>
      <c r="L728" s="33" t="s">
        <v>164</v>
      </c>
      <c r="M728" s="33">
        <v>7439</v>
      </c>
      <c r="N728" s="36"/>
      <c r="O728" s="33">
        <v>3</v>
      </c>
      <c r="P728" s="33">
        <f>IF(Tabela1[[#This Row],[Status]]="✔️",Tabela1[[#This Row],[Peso]],IF(Tabela1[[#This Row],[Status]]="✔️✔️",Tabela1[[#This Row],[Peso]]/2,0))</f>
        <v>0</v>
      </c>
      <c r="Q72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28" s="33" t="s">
        <v>130</v>
      </c>
      <c r="S728" s="37" t="s">
        <v>128</v>
      </c>
    </row>
    <row r="729" spans="8:19" ht="27.6" x14ac:dyDescent="0.3">
      <c r="H729" s="32" t="s">
        <v>55</v>
      </c>
      <c r="I729" s="33" t="s">
        <v>10</v>
      </c>
      <c r="J729" s="34" t="s">
        <v>439</v>
      </c>
      <c r="K729" s="35" t="s">
        <v>1</v>
      </c>
      <c r="L729" s="33"/>
      <c r="M729" s="33"/>
      <c r="N729" s="36"/>
      <c r="O729" s="33">
        <v>3</v>
      </c>
      <c r="P729" s="33">
        <f>IF(Tabela1[[#This Row],[Status]]="✔️",Tabela1[[#This Row],[Peso]],IF(Tabela1[[#This Row],[Status]]="✔️✔️",Tabela1[[#This Row],[Peso]]/2,0))</f>
        <v>0</v>
      </c>
      <c r="Q72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29" s="33" t="s">
        <v>130</v>
      </c>
      <c r="S729" s="37" t="s">
        <v>128</v>
      </c>
    </row>
    <row r="730" spans="8:19" ht="27.6" x14ac:dyDescent="0.3">
      <c r="H730" s="32" t="s">
        <v>55</v>
      </c>
      <c r="I730" s="33" t="s">
        <v>10</v>
      </c>
      <c r="J730" s="34" t="s">
        <v>440</v>
      </c>
      <c r="K730" s="35" t="s">
        <v>1</v>
      </c>
      <c r="L730" s="33"/>
      <c r="M730" s="33"/>
      <c r="N730" s="36"/>
      <c r="O730" s="33">
        <v>3</v>
      </c>
      <c r="P730" s="33">
        <f>IF(Tabela1[[#This Row],[Status]]="✔️",Tabela1[[#This Row],[Peso]],IF(Tabela1[[#This Row],[Status]]="✔️✔️",Tabela1[[#This Row],[Peso]]/2,0))</f>
        <v>0</v>
      </c>
      <c r="Q73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30" s="33" t="s">
        <v>130</v>
      </c>
      <c r="S730" s="37" t="s">
        <v>128</v>
      </c>
    </row>
    <row r="731" spans="8:19" ht="27.6" x14ac:dyDescent="0.3">
      <c r="H731" s="32" t="s">
        <v>55</v>
      </c>
      <c r="I731" s="33" t="s">
        <v>12</v>
      </c>
      <c r="J731" s="34" t="s">
        <v>13</v>
      </c>
      <c r="K731" s="35" t="s">
        <v>0</v>
      </c>
      <c r="L731" s="33"/>
      <c r="M731" s="33"/>
      <c r="N731" s="36"/>
      <c r="O731" s="33">
        <v>2</v>
      </c>
      <c r="P731" s="33">
        <f>IF(Tabela1[[#This Row],[Status]]="✔️",Tabela1[[#This Row],[Peso]],IF(Tabela1[[#This Row],[Status]]="✔️✔️",Tabela1[[#This Row],[Peso]]/2,0))</f>
        <v>2</v>
      </c>
      <c r="Q73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731" s="33" t="s">
        <v>130</v>
      </c>
      <c r="S731" s="37" t="s">
        <v>128</v>
      </c>
    </row>
    <row r="732" spans="8:19" ht="27.6" x14ac:dyDescent="0.3">
      <c r="H732" s="32" t="s">
        <v>55</v>
      </c>
      <c r="I732" s="33" t="s">
        <v>14</v>
      </c>
      <c r="J732" s="34" t="s">
        <v>15</v>
      </c>
      <c r="K732" s="35" t="s">
        <v>290</v>
      </c>
      <c r="L732" s="33" t="s">
        <v>165</v>
      </c>
      <c r="M732" s="33">
        <v>5405</v>
      </c>
      <c r="N732" s="36"/>
      <c r="O732" s="33">
        <v>3</v>
      </c>
      <c r="P732" s="33">
        <f>IF(Tabela1[[#This Row],[Status]]="✔️",Tabela1[[#This Row],[Peso]],IF(Tabela1[[#This Row],[Status]]="✔️✔️",Tabela1[[#This Row],[Peso]]/2,0))</f>
        <v>0</v>
      </c>
      <c r="Q73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32" s="33" t="s">
        <v>130</v>
      </c>
      <c r="S732" s="37" t="s">
        <v>128</v>
      </c>
    </row>
    <row r="733" spans="8:19" ht="27.6" x14ac:dyDescent="0.3">
      <c r="H733" s="32" t="s">
        <v>55</v>
      </c>
      <c r="I733" s="33" t="s">
        <v>14</v>
      </c>
      <c r="J733" s="34" t="s">
        <v>16</v>
      </c>
      <c r="K733" s="35" t="s">
        <v>290</v>
      </c>
      <c r="L733" s="33" t="s">
        <v>165</v>
      </c>
      <c r="M733" s="33">
        <v>5405</v>
      </c>
      <c r="N733" s="36"/>
      <c r="O733" s="33">
        <v>1</v>
      </c>
      <c r="P733" s="33">
        <f>IF(Tabela1[[#This Row],[Status]]="✔️",Tabela1[[#This Row],[Peso]],IF(Tabela1[[#This Row],[Status]]="✔️✔️",Tabela1[[#This Row],[Peso]]/2,0))</f>
        <v>0</v>
      </c>
      <c r="Q73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733" s="33" t="s">
        <v>130</v>
      </c>
      <c r="S733" s="37" t="s">
        <v>128</v>
      </c>
    </row>
    <row r="734" spans="8:19" ht="27.6" x14ac:dyDescent="0.3">
      <c r="H734" s="32" t="s">
        <v>55</v>
      </c>
      <c r="I734" s="33" t="s">
        <v>17</v>
      </c>
      <c r="J734" s="34" t="s">
        <v>18</v>
      </c>
      <c r="K734" s="35" t="s">
        <v>0</v>
      </c>
      <c r="L734" s="33"/>
      <c r="M734" s="33"/>
      <c r="N734" s="36"/>
      <c r="O734" s="33">
        <v>3</v>
      </c>
      <c r="P734" s="33">
        <f>IF(Tabela1[[#This Row],[Status]]="✔️",Tabela1[[#This Row],[Peso]],IF(Tabela1[[#This Row],[Status]]="✔️✔️",Tabela1[[#This Row],[Peso]]/2,0))</f>
        <v>3</v>
      </c>
      <c r="Q73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34" s="33" t="s">
        <v>130</v>
      </c>
      <c r="S734" s="37" t="s">
        <v>128</v>
      </c>
    </row>
    <row r="735" spans="8:19" ht="27.6" x14ac:dyDescent="0.3">
      <c r="H735" s="32" t="s">
        <v>55</v>
      </c>
      <c r="I735" s="33" t="s">
        <v>17</v>
      </c>
      <c r="J735" s="34" t="s">
        <v>19</v>
      </c>
      <c r="K735" s="35" t="s">
        <v>1</v>
      </c>
      <c r="L735" s="33"/>
      <c r="M735" s="33"/>
      <c r="N735" s="36"/>
      <c r="O735" s="33">
        <v>3</v>
      </c>
      <c r="P735" s="33">
        <f>IF(Tabela1[[#This Row],[Status]]="✔️",Tabela1[[#This Row],[Peso]],IF(Tabela1[[#This Row],[Status]]="✔️✔️",Tabela1[[#This Row],[Peso]]/2,0))</f>
        <v>0</v>
      </c>
      <c r="Q73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35" s="33" t="s">
        <v>130</v>
      </c>
      <c r="S735" s="37" t="s">
        <v>128</v>
      </c>
    </row>
    <row r="736" spans="8:19" ht="27.6" x14ac:dyDescent="0.3">
      <c r="H736" s="32" t="s">
        <v>55</v>
      </c>
      <c r="I736" s="33" t="s">
        <v>20</v>
      </c>
      <c r="J736" s="34" t="s">
        <v>21</v>
      </c>
      <c r="K736" s="35" t="s">
        <v>1</v>
      </c>
      <c r="L736" s="33"/>
      <c r="M736" s="33"/>
      <c r="N736" s="36"/>
      <c r="O736" s="33">
        <v>3</v>
      </c>
      <c r="P736" s="33">
        <f>IF(Tabela1[[#This Row],[Status]]="✔️",Tabela1[[#This Row],[Peso]],IF(Tabela1[[#This Row],[Status]]="✔️✔️",Tabela1[[#This Row],[Peso]]/2,0))</f>
        <v>0</v>
      </c>
      <c r="Q73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36" s="33" t="s">
        <v>130</v>
      </c>
      <c r="S736" s="37" t="s">
        <v>128</v>
      </c>
    </row>
    <row r="737" spans="8:19" ht="27.6" x14ac:dyDescent="0.3">
      <c r="H737" s="32" t="s">
        <v>55</v>
      </c>
      <c r="I737" s="33" t="s">
        <v>20</v>
      </c>
      <c r="J737" s="34" t="s">
        <v>441</v>
      </c>
      <c r="K737" s="35" t="s">
        <v>1</v>
      </c>
      <c r="L737" s="33"/>
      <c r="M737" s="33"/>
      <c r="N737" s="36"/>
      <c r="O737" s="33">
        <v>1</v>
      </c>
      <c r="P737" s="33">
        <f>IF(Tabela1[[#This Row],[Status]]="✔️",Tabela1[[#This Row],[Peso]],IF(Tabela1[[#This Row],[Status]]="✔️✔️",Tabela1[[#This Row],[Peso]]/2,0))</f>
        <v>0</v>
      </c>
      <c r="Q73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37" s="33" t="s">
        <v>130</v>
      </c>
      <c r="S737" s="37" t="s">
        <v>128</v>
      </c>
    </row>
    <row r="738" spans="8:19" ht="34.200000000000003" customHeight="1" x14ac:dyDescent="0.3">
      <c r="H738" s="32" t="s">
        <v>55</v>
      </c>
      <c r="I738" s="33" t="s">
        <v>25</v>
      </c>
      <c r="J738" s="34" t="s">
        <v>28</v>
      </c>
      <c r="K738" s="35" t="s">
        <v>0</v>
      </c>
      <c r="L738" s="33"/>
      <c r="M738" s="33"/>
      <c r="N738" s="36"/>
      <c r="O738" s="33">
        <v>3</v>
      </c>
      <c r="P738" s="33">
        <f>IF(Tabela1[[#This Row],[Status]]="✔️",Tabela1[[#This Row],[Peso]],IF(Tabela1[[#This Row],[Status]]="✔️✔️",Tabela1[[#This Row],[Peso]]/2,0))</f>
        <v>3</v>
      </c>
      <c r="Q73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38" s="33" t="s">
        <v>130</v>
      </c>
      <c r="S738" s="37" t="s">
        <v>128</v>
      </c>
    </row>
    <row r="739" spans="8:19" ht="35.4" customHeight="1" x14ac:dyDescent="0.3">
      <c r="H739" s="32" t="s">
        <v>55</v>
      </c>
      <c r="I739" s="33" t="s">
        <v>25</v>
      </c>
      <c r="J739" s="34" t="s">
        <v>29</v>
      </c>
      <c r="K739" s="35" t="s">
        <v>1</v>
      </c>
      <c r="L739" s="33"/>
      <c r="M739" s="33"/>
      <c r="N739" s="36"/>
      <c r="O739" s="33">
        <v>3</v>
      </c>
      <c r="P739" s="33">
        <f>IF(Tabela1[[#This Row],[Status]]="✔️",Tabela1[[#This Row],[Peso]],IF(Tabela1[[#This Row],[Status]]="✔️✔️",Tabela1[[#This Row],[Peso]]/2,0))</f>
        <v>0</v>
      </c>
      <c r="Q73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39" s="33" t="s">
        <v>130</v>
      </c>
      <c r="S739" s="37" t="s">
        <v>128</v>
      </c>
    </row>
    <row r="740" spans="8:19" ht="27.6" x14ac:dyDescent="0.3">
      <c r="H740" s="32" t="s">
        <v>55</v>
      </c>
      <c r="I740" s="33" t="s">
        <v>25</v>
      </c>
      <c r="J740" s="34" t="s">
        <v>449</v>
      </c>
      <c r="K740" s="35" t="s">
        <v>0</v>
      </c>
      <c r="L740" s="33"/>
      <c r="M740" s="33"/>
      <c r="N740" s="36"/>
      <c r="O740" s="33">
        <v>3</v>
      </c>
      <c r="P740" s="33">
        <f>IF(Tabela1[[#This Row],[Status]]="✔️",Tabela1[[#This Row],[Peso]],IF(Tabela1[[#This Row],[Status]]="✔️✔️",Tabela1[[#This Row],[Peso]]/2,0))</f>
        <v>3</v>
      </c>
      <c r="Q74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40" s="33" t="s">
        <v>130</v>
      </c>
      <c r="S740" s="37" t="s">
        <v>128</v>
      </c>
    </row>
    <row r="741" spans="8:19" ht="40.200000000000003" customHeight="1" x14ac:dyDescent="0.3">
      <c r="H741" s="32" t="s">
        <v>55</v>
      </c>
      <c r="I741" s="33" t="s">
        <v>41</v>
      </c>
      <c r="J741" s="34" t="s">
        <v>442</v>
      </c>
      <c r="K741" s="35" t="s">
        <v>290</v>
      </c>
      <c r="L741" s="33" t="s">
        <v>47</v>
      </c>
      <c r="M741" s="33">
        <v>3184</v>
      </c>
      <c r="N741" s="36"/>
      <c r="O741" s="33">
        <v>3</v>
      </c>
      <c r="P741" s="33">
        <f>IF(Tabela1[[#This Row],[Status]]="✔️",Tabela1[[#This Row],[Peso]],IF(Tabela1[[#This Row],[Status]]="✔️✔️",Tabela1[[#This Row],[Peso]]/2,0))</f>
        <v>0</v>
      </c>
      <c r="Q74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41" s="33" t="s">
        <v>130</v>
      </c>
      <c r="S741" s="37" t="s">
        <v>128</v>
      </c>
    </row>
    <row r="742" spans="8:19" ht="41.4" x14ac:dyDescent="0.3">
      <c r="H742" s="32" t="s">
        <v>55</v>
      </c>
      <c r="I742" s="33" t="s">
        <v>41</v>
      </c>
      <c r="J742" s="34" t="s">
        <v>443</v>
      </c>
      <c r="K742" s="35" t="s">
        <v>290</v>
      </c>
      <c r="L742" s="33" t="s">
        <v>47</v>
      </c>
      <c r="M742" s="33">
        <v>3184</v>
      </c>
      <c r="N742" s="36"/>
      <c r="O742" s="33">
        <v>2</v>
      </c>
      <c r="P742" s="33">
        <f>IF(Tabela1[[#This Row],[Status]]="✔️",Tabela1[[#This Row],[Peso]],IF(Tabela1[[#This Row],[Status]]="✔️✔️",Tabela1[[#This Row],[Peso]]/2,0))</f>
        <v>0</v>
      </c>
      <c r="Q742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742" s="33" t="s">
        <v>130</v>
      </c>
      <c r="S742" s="37" t="s">
        <v>128</v>
      </c>
    </row>
    <row r="743" spans="8:19" ht="27.6" x14ac:dyDescent="0.3">
      <c r="H743" s="32" t="s">
        <v>55</v>
      </c>
      <c r="I743" s="33" t="s">
        <v>10</v>
      </c>
      <c r="J743" s="34" t="s">
        <v>444</v>
      </c>
      <c r="K743" s="35" t="s">
        <v>1</v>
      </c>
      <c r="L743" s="33"/>
      <c r="M743" s="33"/>
      <c r="N743" s="36"/>
      <c r="O743" s="33">
        <v>3</v>
      </c>
      <c r="P743" s="33">
        <f>IF(Tabela1[[#This Row],[Status]]="✔️",Tabela1[[#This Row],[Peso]],IF(Tabela1[[#This Row],[Status]]="✔️✔️",Tabela1[[#This Row],[Peso]]/2,0))</f>
        <v>0</v>
      </c>
      <c r="Q74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43" s="33" t="s">
        <v>130</v>
      </c>
      <c r="S743" s="37" t="s">
        <v>128</v>
      </c>
    </row>
    <row r="744" spans="8:19" ht="41.4" x14ac:dyDescent="0.3">
      <c r="H744" s="32" t="s">
        <v>55</v>
      </c>
      <c r="I744" s="33" t="s">
        <v>30</v>
      </c>
      <c r="J744" s="34" t="s">
        <v>438</v>
      </c>
      <c r="K744" s="35" t="s">
        <v>0</v>
      </c>
      <c r="L744" s="33"/>
      <c r="M744" s="33"/>
      <c r="N744" s="36"/>
      <c r="O744" s="33">
        <v>3</v>
      </c>
      <c r="P744" s="33">
        <f>IF(Tabela1[[#This Row],[Status]]="✔️",Tabela1[[#This Row],[Peso]],IF(Tabela1[[#This Row],[Status]]="✔️✔️",Tabela1[[#This Row],[Peso]]/2,0))</f>
        <v>3</v>
      </c>
      <c r="Q74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44" s="33" t="s">
        <v>187</v>
      </c>
      <c r="S744" s="37" t="s">
        <v>132</v>
      </c>
    </row>
    <row r="745" spans="8:19" ht="41.4" x14ac:dyDescent="0.3">
      <c r="H745" s="32" t="s">
        <v>55</v>
      </c>
      <c r="I745" s="33" t="s">
        <v>10</v>
      </c>
      <c r="J745" s="34" t="s">
        <v>11</v>
      </c>
      <c r="K745" s="35" t="s">
        <v>0</v>
      </c>
      <c r="L745" s="33"/>
      <c r="M745" s="33"/>
      <c r="N745" s="36"/>
      <c r="O745" s="33">
        <v>3</v>
      </c>
      <c r="P745" s="33">
        <f>IF(Tabela1[[#This Row],[Status]]="✔️",Tabela1[[#This Row],[Peso]],IF(Tabela1[[#This Row],[Status]]="✔️✔️",Tabela1[[#This Row],[Peso]]/2,0))</f>
        <v>3</v>
      </c>
      <c r="Q74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45" s="33" t="s">
        <v>187</v>
      </c>
      <c r="S745" s="37" t="s">
        <v>132</v>
      </c>
    </row>
    <row r="746" spans="8:19" ht="41.4" x14ac:dyDescent="0.3">
      <c r="H746" s="32" t="s">
        <v>55</v>
      </c>
      <c r="I746" s="33" t="s">
        <v>10</v>
      </c>
      <c r="J746" s="34" t="s">
        <v>439</v>
      </c>
      <c r="K746" s="35" t="s">
        <v>1</v>
      </c>
      <c r="L746" s="33"/>
      <c r="M746" s="33"/>
      <c r="N746" s="36"/>
      <c r="O746" s="33">
        <v>3</v>
      </c>
      <c r="P746" s="33">
        <f>IF(Tabela1[[#This Row],[Status]]="✔️",Tabela1[[#This Row],[Peso]],IF(Tabela1[[#This Row],[Status]]="✔️✔️",Tabela1[[#This Row],[Peso]]/2,0))</f>
        <v>0</v>
      </c>
      <c r="Q74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46" s="33" t="s">
        <v>187</v>
      </c>
      <c r="S746" s="37" t="s">
        <v>132</v>
      </c>
    </row>
    <row r="747" spans="8:19" ht="46.2" customHeight="1" x14ac:dyDescent="0.3">
      <c r="H747" s="32" t="s">
        <v>55</v>
      </c>
      <c r="I747" s="33" t="s">
        <v>10</v>
      </c>
      <c r="J747" s="34" t="s">
        <v>440</v>
      </c>
      <c r="K747" s="35" t="s">
        <v>1</v>
      </c>
      <c r="L747" s="33"/>
      <c r="M747" s="33"/>
      <c r="N747" s="36"/>
      <c r="O747" s="33">
        <v>3</v>
      </c>
      <c r="P747" s="33">
        <f>IF(Tabela1[[#This Row],[Status]]="✔️",Tabela1[[#This Row],[Peso]],IF(Tabela1[[#This Row],[Status]]="✔️✔️",Tabela1[[#This Row],[Peso]]/2,0))</f>
        <v>0</v>
      </c>
      <c r="Q74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47" s="33" t="s">
        <v>187</v>
      </c>
      <c r="S747" s="37" t="s">
        <v>132</v>
      </c>
    </row>
    <row r="748" spans="8:19" ht="37.200000000000003" customHeight="1" x14ac:dyDescent="0.3">
      <c r="H748" s="32" t="s">
        <v>55</v>
      </c>
      <c r="I748" s="33" t="s">
        <v>12</v>
      </c>
      <c r="J748" s="34" t="s">
        <v>13</v>
      </c>
      <c r="K748" s="35" t="s">
        <v>0</v>
      </c>
      <c r="L748" s="33"/>
      <c r="M748" s="33"/>
      <c r="N748" s="36"/>
      <c r="O748" s="33">
        <v>2</v>
      </c>
      <c r="P748" s="33">
        <f>IF(Tabela1[[#This Row],[Status]]="✔️",Tabela1[[#This Row],[Peso]],IF(Tabela1[[#This Row],[Status]]="✔️✔️",Tabela1[[#This Row],[Peso]]/2,0))</f>
        <v>2</v>
      </c>
      <c r="Q748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748" s="33" t="s">
        <v>187</v>
      </c>
      <c r="S748" s="37" t="s">
        <v>132</v>
      </c>
    </row>
    <row r="749" spans="8:19" ht="39" customHeight="1" x14ac:dyDescent="0.3">
      <c r="H749" s="32" t="s">
        <v>55</v>
      </c>
      <c r="I749" s="33" t="s">
        <v>14</v>
      </c>
      <c r="J749" s="34" t="s">
        <v>15</v>
      </c>
      <c r="K749" s="35" t="s">
        <v>0</v>
      </c>
      <c r="L749" s="33"/>
      <c r="M749" s="33"/>
      <c r="N749" s="36"/>
      <c r="O749" s="33">
        <v>3</v>
      </c>
      <c r="P749" s="33">
        <f>IF(Tabela1[[#This Row],[Status]]="✔️",Tabela1[[#This Row],[Peso]],IF(Tabela1[[#This Row],[Status]]="✔️✔️",Tabela1[[#This Row],[Peso]]/2,0))</f>
        <v>3</v>
      </c>
      <c r="Q74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49" s="33" t="s">
        <v>187</v>
      </c>
      <c r="S749" s="37" t="s">
        <v>132</v>
      </c>
    </row>
    <row r="750" spans="8:19" ht="46.2" customHeight="1" x14ac:dyDescent="0.3">
      <c r="H750" s="32" t="s">
        <v>55</v>
      </c>
      <c r="I750" s="33" t="s">
        <v>14</v>
      </c>
      <c r="J750" s="34" t="s">
        <v>16</v>
      </c>
      <c r="K750" s="35" t="s">
        <v>0</v>
      </c>
      <c r="L750" s="33"/>
      <c r="M750" s="33"/>
      <c r="N750" s="36"/>
      <c r="O750" s="33">
        <v>1</v>
      </c>
      <c r="P750" s="33">
        <f>IF(Tabela1[[#This Row],[Status]]="✔️",Tabela1[[#This Row],[Peso]],IF(Tabela1[[#This Row],[Status]]="✔️✔️",Tabela1[[#This Row],[Peso]]/2,0))</f>
        <v>1</v>
      </c>
      <c r="Q75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750" s="33" t="s">
        <v>187</v>
      </c>
      <c r="S750" s="37" t="s">
        <v>132</v>
      </c>
    </row>
    <row r="751" spans="8:19" ht="47.4" customHeight="1" x14ac:dyDescent="0.3">
      <c r="H751" s="32" t="s">
        <v>55</v>
      </c>
      <c r="I751" s="33" t="s">
        <v>17</v>
      </c>
      <c r="J751" s="34" t="s">
        <v>18</v>
      </c>
      <c r="K751" s="35" t="s">
        <v>0</v>
      </c>
      <c r="L751" s="33"/>
      <c r="M751" s="33"/>
      <c r="N751" s="36"/>
      <c r="O751" s="33">
        <v>3</v>
      </c>
      <c r="P751" s="33">
        <f>IF(Tabela1[[#This Row],[Status]]="✔️",Tabela1[[#This Row],[Peso]],IF(Tabela1[[#This Row],[Status]]="✔️✔️",Tabela1[[#This Row],[Peso]]/2,0))</f>
        <v>3</v>
      </c>
      <c r="Q75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51" s="33" t="s">
        <v>187</v>
      </c>
      <c r="S751" s="37" t="s">
        <v>132</v>
      </c>
    </row>
    <row r="752" spans="8:19" ht="41.4" x14ac:dyDescent="0.3">
      <c r="H752" s="32" t="s">
        <v>55</v>
      </c>
      <c r="I752" s="33" t="s">
        <v>17</v>
      </c>
      <c r="J752" s="34" t="s">
        <v>19</v>
      </c>
      <c r="K752" s="35" t="s">
        <v>290</v>
      </c>
      <c r="L752" s="33" t="s">
        <v>166</v>
      </c>
      <c r="M752" s="33">
        <v>3930</v>
      </c>
      <c r="N752" s="36"/>
      <c r="O752" s="33">
        <v>1</v>
      </c>
      <c r="P752" s="33">
        <f>IF(Tabela1[[#This Row],[Status]]="✔️",Tabela1[[#This Row],[Peso]],IF(Tabela1[[#This Row],[Status]]="✔️✔️",Tabela1[[#This Row],[Peso]]/2,0))</f>
        <v>0</v>
      </c>
      <c r="Q75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752" s="33" t="s">
        <v>187</v>
      </c>
      <c r="S752" s="37" t="s">
        <v>132</v>
      </c>
    </row>
    <row r="753" spans="8:19" ht="41.4" x14ac:dyDescent="0.3">
      <c r="H753" s="32" t="s">
        <v>55</v>
      </c>
      <c r="I753" s="33" t="s">
        <v>20</v>
      </c>
      <c r="J753" s="34" t="s">
        <v>21</v>
      </c>
      <c r="K753" s="35" t="s">
        <v>0</v>
      </c>
      <c r="L753" s="33"/>
      <c r="M753" s="33"/>
      <c r="N753" s="36"/>
      <c r="O753" s="33">
        <v>3</v>
      </c>
      <c r="P753" s="33">
        <f>IF(Tabela1[[#This Row],[Status]]="✔️",Tabela1[[#This Row],[Peso]],IF(Tabela1[[#This Row],[Status]]="✔️✔️",Tabela1[[#This Row],[Peso]]/2,0))</f>
        <v>3</v>
      </c>
      <c r="Q75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53" s="33" t="s">
        <v>187</v>
      </c>
      <c r="S753" s="37" t="s">
        <v>132</v>
      </c>
    </row>
    <row r="754" spans="8:19" ht="41.4" x14ac:dyDescent="0.3">
      <c r="H754" s="32" t="s">
        <v>55</v>
      </c>
      <c r="I754" s="33" t="s">
        <v>20</v>
      </c>
      <c r="J754" s="34" t="s">
        <v>441</v>
      </c>
      <c r="K754" s="35" t="s">
        <v>0</v>
      </c>
      <c r="L754" s="33"/>
      <c r="M754" s="33"/>
      <c r="N754" s="36"/>
      <c r="O754" s="33">
        <v>1</v>
      </c>
      <c r="P754" s="33">
        <f>IF(Tabela1[[#This Row],[Status]]="✔️",Tabela1[[#This Row],[Peso]],IF(Tabela1[[#This Row],[Status]]="✔️✔️",Tabela1[[#This Row],[Peso]]/2,0))</f>
        <v>1</v>
      </c>
      <c r="Q75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754" s="33" t="s">
        <v>187</v>
      </c>
      <c r="S754" s="37" t="s">
        <v>132</v>
      </c>
    </row>
    <row r="755" spans="8:19" ht="41.4" x14ac:dyDescent="0.3">
      <c r="H755" s="32" t="s">
        <v>55</v>
      </c>
      <c r="I755" s="33" t="s">
        <v>25</v>
      </c>
      <c r="J755" s="34" t="s">
        <v>28</v>
      </c>
      <c r="K755" s="35" t="s">
        <v>290</v>
      </c>
      <c r="L755" s="33" t="s">
        <v>226</v>
      </c>
      <c r="M755" s="33">
        <v>3445</v>
      </c>
      <c r="N755" s="36"/>
      <c r="O755" s="33">
        <v>3</v>
      </c>
      <c r="P755" s="33">
        <f>IF(Tabela1[[#This Row],[Status]]="✔️",Tabela1[[#This Row],[Peso]],IF(Tabela1[[#This Row],[Status]]="✔️✔️",Tabela1[[#This Row],[Peso]]/2,0))</f>
        <v>0</v>
      </c>
      <c r="Q75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55" s="33" t="s">
        <v>187</v>
      </c>
      <c r="S755" s="37" t="s">
        <v>132</v>
      </c>
    </row>
    <row r="756" spans="8:19" ht="41.4" x14ac:dyDescent="0.3">
      <c r="H756" s="32" t="s">
        <v>55</v>
      </c>
      <c r="I756" s="33" t="s">
        <v>25</v>
      </c>
      <c r="J756" s="34" t="s">
        <v>29</v>
      </c>
      <c r="K756" s="35" t="s">
        <v>0</v>
      </c>
      <c r="L756" s="33"/>
      <c r="M756" s="33"/>
      <c r="N756" s="36"/>
      <c r="O756" s="33">
        <v>3</v>
      </c>
      <c r="P756" s="33">
        <f>IF(Tabela1[[#This Row],[Status]]="✔️",Tabela1[[#This Row],[Peso]],IF(Tabela1[[#This Row],[Status]]="✔️✔️",Tabela1[[#This Row],[Peso]]/2,0))</f>
        <v>3</v>
      </c>
      <c r="Q75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56" s="33" t="s">
        <v>187</v>
      </c>
      <c r="S756" s="37" t="s">
        <v>132</v>
      </c>
    </row>
    <row r="757" spans="8:19" ht="41.4" x14ac:dyDescent="0.3">
      <c r="H757" s="32" t="s">
        <v>55</v>
      </c>
      <c r="I757" s="33" t="s">
        <v>41</v>
      </c>
      <c r="J757" s="34" t="s">
        <v>442</v>
      </c>
      <c r="K757" s="35" t="s">
        <v>290</v>
      </c>
      <c r="L757" s="33" t="s">
        <v>47</v>
      </c>
      <c r="M757" s="33">
        <v>9106</v>
      </c>
      <c r="N757" s="36"/>
      <c r="O757" s="33">
        <v>3</v>
      </c>
      <c r="P757" s="33">
        <f>IF(Tabela1[[#This Row],[Status]]="✔️",Tabela1[[#This Row],[Peso]],IF(Tabela1[[#This Row],[Status]]="✔️✔️",Tabela1[[#This Row],[Peso]]/2,0))</f>
        <v>0</v>
      </c>
      <c r="Q75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57" s="33" t="s">
        <v>187</v>
      </c>
      <c r="S757" s="37" t="s">
        <v>132</v>
      </c>
    </row>
    <row r="758" spans="8:19" ht="41.4" x14ac:dyDescent="0.3">
      <c r="H758" s="32" t="s">
        <v>55</v>
      </c>
      <c r="I758" s="33" t="s">
        <v>41</v>
      </c>
      <c r="J758" s="34" t="s">
        <v>443</v>
      </c>
      <c r="K758" s="35" t="s">
        <v>290</v>
      </c>
      <c r="L758" s="33" t="s">
        <v>47</v>
      </c>
      <c r="M758" s="33">
        <v>9106</v>
      </c>
      <c r="N758" s="36"/>
      <c r="O758" s="33">
        <v>2</v>
      </c>
      <c r="P758" s="33">
        <f>IF(Tabela1[[#This Row],[Status]]="✔️",Tabela1[[#This Row],[Peso]],IF(Tabela1[[#This Row],[Status]]="✔️✔️",Tabela1[[#This Row],[Peso]]/2,0))</f>
        <v>0</v>
      </c>
      <c r="Q758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758" s="33" t="s">
        <v>187</v>
      </c>
      <c r="S758" s="37" t="s">
        <v>132</v>
      </c>
    </row>
    <row r="759" spans="8:19" ht="41.4" x14ac:dyDescent="0.3">
      <c r="H759" s="32" t="s">
        <v>55</v>
      </c>
      <c r="I759" s="33" t="s">
        <v>10</v>
      </c>
      <c r="J759" s="34" t="s">
        <v>444</v>
      </c>
      <c r="K759" s="35" t="s">
        <v>290</v>
      </c>
      <c r="L759" s="33" t="s">
        <v>157</v>
      </c>
      <c r="M759" s="33">
        <v>8967</v>
      </c>
      <c r="N759" s="36"/>
      <c r="O759" s="33">
        <v>3</v>
      </c>
      <c r="P759" s="33">
        <f>IF(Tabela1[[#This Row],[Status]]="✔️",Tabela1[[#This Row],[Peso]],IF(Tabela1[[#This Row],[Status]]="✔️✔️",Tabela1[[#This Row],[Peso]]/2,0))</f>
        <v>0</v>
      </c>
      <c r="Q75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59" s="33" t="s">
        <v>187</v>
      </c>
      <c r="S759" s="37" t="s">
        <v>132</v>
      </c>
    </row>
    <row r="760" spans="8:19" ht="27.6" x14ac:dyDescent="0.3">
      <c r="H760" s="32" t="s">
        <v>55</v>
      </c>
      <c r="I760" s="33" t="s">
        <v>14</v>
      </c>
      <c r="J760" s="34" t="s">
        <v>15</v>
      </c>
      <c r="K760" s="35" t="s">
        <v>0</v>
      </c>
      <c r="L760" s="33"/>
      <c r="M760" s="33"/>
      <c r="N760" s="36"/>
      <c r="O760" s="33">
        <v>3</v>
      </c>
      <c r="P760" s="33">
        <f>IF(Tabela1[[#This Row],[Status]]="✔️",Tabela1[[#This Row],[Peso]],IF(Tabela1[[#This Row],[Status]]="✔️✔️",Tabela1[[#This Row],[Peso]]/2,0))</f>
        <v>3</v>
      </c>
      <c r="Q76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60" s="33" t="s">
        <v>264</v>
      </c>
      <c r="S760" s="37" t="s">
        <v>263</v>
      </c>
    </row>
    <row r="761" spans="8:19" ht="27.6" x14ac:dyDescent="0.3">
      <c r="H761" s="32" t="s">
        <v>55</v>
      </c>
      <c r="I761" s="33" t="s">
        <v>14</v>
      </c>
      <c r="J761" s="34" t="s">
        <v>16</v>
      </c>
      <c r="K761" s="35" t="s">
        <v>0</v>
      </c>
      <c r="L761" s="33"/>
      <c r="M761" s="33"/>
      <c r="N761" s="36"/>
      <c r="O761" s="33">
        <v>1</v>
      </c>
      <c r="P761" s="33">
        <f>IF(Tabela1[[#This Row],[Status]]="✔️",Tabela1[[#This Row],[Peso]],IF(Tabela1[[#This Row],[Status]]="✔️✔️",Tabela1[[#This Row],[Peso]]/2,0))</f>
        <v>1</v>
      </c>
      <c r="Q76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761" s="33" t="s">
        <v>264</v>
      </c>
      <c r="S761" s="37" t="s">
        <v>263</v>
      </c>
    </row>
    <row r="762" spans="8:19" ht="27.6" x14ac:dyDescent="0.3">
      <c r="H762" s="32" t="s">
        <v>55</v>
      </c>
      <c r="I762" s="33" t="s">
        <v>30</v>
      </c>
      <c r="J762" s="34" t="s">
        <v>455</v>
      </c>
      <c r="K762" s="35" t="s">
        <v>0</v>
      </c>
      <c r="L762" s="33"/>
      <c r="M762" s="33"/>
      <c r="N762" s="36"/>
      <c r="O762" s="33">
        <v>3</v>
      </c>
      <c r="P762" s="33">
        <f>IF(Tabela1[[#This Row],[Status]]="✔️",Tabela1[[#This Row],[Peso]],IF(Tabela1[[#This Row],[Status]]="✔️✔️",Tabela1[[#This Row],[Peso]]/2,0))</f>
        <v>3</v>
      </c>
      <c r="Q76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62" s="33" t="s">
        <v>264</v>
      </c>
      <c r="S762" s="37" t="s">
        <v>263</v>
      </c>
    </row>
    <row r="763" spans="8:19" ht="27.6" x14ac:dyDescent="0.3">
      <c r="H763" s="32" t="s">
        <v>55</v>
      </c>
      <c r="I763" s="33" t="s">
        <v>25</v>
      </c>
      <c r="J763" s="34" t="s">
        <v>456</v>
      </c>
      <c r="K763" s="35" t="s">
        <v>290</v>
      </c>
      <c r="L763" s="33" t="s">
        <v>338</v>
      </c>
      <c r="M763" s="33"/>
      <c r="N763" s="36"/>
      <c r="O763" s="33">
        <v>3</v>
      </c>
      <c r="P763" s="33">
        <f>IF(Tabela1[[#This Row],[Status]]="✔️",Tabela1[[#This Row],[Peso]],IF(Tabela1[[#This Row],[Status]]="✔️✔️",Tabela1[[#This Row],[Peso]]/2,0))</f>
        <v>0</v>
      </c>
      <c r="Q76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63" s="33" t="s">
        <v>264</v>
      </c>
      <c r="S763" s="37" t="s">
        <v>263</v>
      </c>
    </row>
    <row r="764" spans="8:19" ht="27.6" x14ac:dyDescent="0.3">
      <c r="H764" s="32" t="s">
        <v>76</v>
      </c>
      <c r="I764" s="33" t="s">
        <v>30</v>
      </c>
      <c r="J764" s="34" t="s">
        <v>438</v>
      </c>
      <c r="K764" s="35" t="s">
        <v>0</v>
      </c>
      <c r="L764" s="33"/>
      <c r="M764" s="33"/>
      <c r="N764" s="36"/>
      <c r="O764" s="33">
        <v>3</v>
      </c>
      <c r="P764" s="33">
        <f>IF(Tabela1[[#This Row],[Status]]="✔️",Tabela1[[#This Row],[Peso]],IF(Tabela1[[#This Row],[Status]]="✔️✔️",Tabela1[[#This Row],[Peso]]/2,0))</f>
        <v>3</v>
      </c>
      <c r="Q76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64" s="33" t="s">
        <v>127</v>
      </c>
      <c r="S764" s="37" t="s">
        <v>128</v>
      </c>
    </row>
    <row r="765" spans="8:19" ht="27.6" x14ac:dyDescent="0.3">
      <c r="H765" s="32" t="s">
        <v>76</v>
      </c>
      <c r="I765" s="33" t="s">
        <v>10</v>
      </c>
      <c r="J765" s="34" t="s">
        <v>11</v>
      </c>
      <c r="K765" s="35" t="s">
        <v>0</v>
      </c>
      <c r="L765" s="33"/>
      <c r="M765" s="33"/>
      <c r="N765" s="36"/>
      <c r="O765" s="33">
        <v>3</v>
      </c>
      <c r="P765" s="33">
        <f>IF(Tabela1[[#This Row],[Status]]="✔️",Tabela1[[#This Row],[Peso]],IF(Tabela1[[#This Row],[Status]]="✔️✔️",Tabela1[[#This Row],[Peso]]/2,0))</f>
        <v>3</v>
      </c>
      <c r="Q76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65" s="33" t="s">
        <v>127</v>
      </c>
      <c r="S765" s="37" t="s">
        <v>128</v>
      </c>
    </row>
    <row r="766" spans="8:19" ht="27.6" x14ac:dyDescent="0.3">
      <c r="H766" s="32" t="s">
        <v>76</v>
      </c>
      <c r="I766" s="33" t="s">
        <v>10</v>
      </c>
      <c r="J766" s="34" t="s">
        <v>439</v>
      </c>
      <c r="K766" s="35" t="s">
        <v>0</v>
      </c>
      <c r="L766" s="33"/>
      <c r="M766" s="33"/>
      <c r="N766" s="36"/>
      <c r="O766" s="33">
        <v>3</v>
      </c>
      <c r="P766" s="33">
        <f>IF(Tabela1[[#This Row],[Status]]="✔️",Tabela1[[#This Row],[Peso]],IF(Tabela1[[#This Row],[Status]]="✔️✔️",Tabela1[[#This Row],[Peso]]/2,0))</f>
        <v>3</v>
      </c>
      <c r="Q76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66" s="33" t="s">
        <v>127</v>
      </c>
      <c r="S766" s="37" t="s">
        <v>128</v>
      </c>
    </row>
    <row r="767" spans="8:19" ht="27.6" x14ac:dyDescent="0.3">
      <c r="H767" s="32" t="s">
        <v>76</v>
      </c>
      <c r="I767" s="33" t="s">
        <v>10</v>
      </c>
      <c r="J767" s="34" t="s">
        <v>440</v>
      </c>
      <c r="K767" s="35" t="s">
        <v>0</v>
      </c>
      <c r="L767" s="33"/>
      <c r="M767" s="33"/>
      <c r="N767" s="36"/>
      <c r="O767" s="33">
        <v>3</v>
      </c>
      <c r="P767" s="33">
        <f>IF(Tabela1[[#This Row],[Status]]="✔️",Tabela1[[#This Row],[Peso]],IF(Tabela1[[#This Row],[Status]]="✔️✔️",Tabela1[[#This Row],[Peso]]/2,0))</f>
        <v>3</v>
      </c>
      <c r="Q76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67" s="33" t="s">
        <v>127</v>
      </c>
      <c r="S767" s="37" t="s">
        <v>128</v>
      </c>
    </row>
    <row r="768" spans="8:19" ht="27.6" x14ac:dyDescent="0.3">
      <c r="H768" s="32" t="s">
        <v>76</v>
      </c>
      <c r="I768" s="33" t="s">
        <v>12</v>
      </c>
      <c r="J768" s="34" t="s">
        <v>13</v>
      </c>
      <c r="K768" s="35" t="s">
        <v>290</v>
      </c>
      <c r="L768" s="33" t="s">
        <v>65</v>
      </c>
      <c r="M768" s="33">
        <v>2955</v>
      </c>
      <c r="N768" s="36"/>
      <c r="O768" s="33">
        <v>2</v>
      </c>
      <c r="P768" s="33">
        <f>IF(Tabela1[[#This Row],[Status]]="✔️",Tabela1[[#This Row],[Peso]],IF(Tabela1[[#This Row],[Status]]="✔️✔️",Tabela1[[#This Row],[Peso]]/2,0))</f>
        <v>0</v>
      </c>
      <c r="Q768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768" s="33" t="s">
        <v>127</v>
      </c>
      <c r="S768" s="37" t="s">
        <v>128</v>
      </c>
    </row>
    <row r="769" spans="8:19" ht="27.6" x14ac:dyDescent="0.3">
      <c r="H769" s="32" t="s">
        <v>76</v>
      </c>
      <c r="I769" s="33" t="s">
        <v>14</v>
      </c>
      <c r="J769" s="34" t="s">
        <v>15</v>
      </c>
      <c r="K769" s="35" t="s">
        <v>290</v>
      </c>
      <c r="L769" s="33" t="s">
        <v>77</v>
      </c>
      <c r="M769" s="33">
        <v>2083</v>
      </c>
      <c r="N769" s="36"/>
      <c r="O769" s="33">
        <v>3</v>
      </c>
      <c r="P769" s="33">
        <f>IF(Tabela1[[#This Row],[Status]]="✔️",Tabela1[[#This Row],[Peso]],IF(Tabela1[[#This Row],[Status]]="✔️✔️",Tabela1[[#This Row],[Peso]]/2,0))</f>
        <v>0</v>
      </c>
      <c r="Q76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69" s="33" t="s">
        <v>127</v>
      </c>
      <c r="S769" s="37" t="s">
        <v>128</v>
      </c>
    </row>
    <row r="770" spans="8:19" ht="27.6" x14ac:dyDescent="0.3">
      <c r="H770" s="32" t="s">
        <v>76</v>
      </c>
      <c r="I770" s="33" t="s">
        <v>14</v>
      </c>
      <c r="J770" s="34" t="s">
        <v>16</v>
      </c>
      <c r="K770" s="35" t="s">
        <v>0</v>
      </c>
      <c r="L770" s="33"/>
      <c r="M770" s="33"/>
      <c r="N770" s="36"/>
      <c r="O770" s="33">
        <v>1</v>
      </c>
      <c r="P770" s="33">
        <f>IF(Tabela1[[#This Row],[Status]]="✔️",Tabela1[[#This Row],[Peso]],IF(Tabela1[[#This Row],[Status]]="✔️✔️",Tabela1[[#This Row],[Peso]]/2,0))</f>
        <v>1</v>
      </c>
      <c r="Q77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770" s="33" t="s">
        <v>127</v>
      </c>
      <c r="S770" s="37" t="s">
        <v>128</v>
      </c>
    </row>
    <row r="771" spans="8:19" ht="27.6" x14ac:dyDescent="0.3">
      <c r="H771" s="32" t="s">
        <v>76</v>
      </c>
      <c r="I771" s="33" t="s">
        <v>17</v>
      </c>
      <c r="J771" s="34" t="s">
        <v>18</v>
      </c>
      <c r="K771" s="35" t="s">
        <v>0</v>
      </c>
      <c r="L771" s="33"/>
      <c r="M771" s="33"/>
      <c r="N771" s="36"/>
      <c r="O771" s="33">
        <v>3</v>
      </c>
      <c r="P771" s="33">
        <f>IF(Tabela1[[#This Row],[Status]]="✔️",Tabela1[[#This Row],[Peso]],IF(Tabela1[[#This Row],[Status]]="✔️✔️",Tabela1[[#This Row],[Peso]]/2,0))</f>
        <v>3</v>
      </c>
      <c r="Q77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71" s="33" t="s">
        <v>127</v>
      </c>
      <c r="S771" s="37" t="s">
        <v>128</v>
      </c>
    </row>
    <row r="772" spans="8:19" ht="27.6" x14ac:dyDescent="0.3">
      <c r="H772" s="32" t="s">
        <v>76</v>
      </c>
      <c r="I772" s="33" t="s">
        <v>17</v>
      </c>
      <c r="J772" s="34" t="s">
        <v>19</v>
      </c>
      <c r="K772" s="35" t="s">
        <v>0</v>
      </c>
      <c r="L772" s="33"/>
      <c r="M772" s="33"/>
      <c r="N772" s="36"/>
      <c r="O772" s="33">
        <v>3</v>
      </c>
      <c r="P772" s="33">
        <f>IF(Tabela1[[#This Row],[Status]]="✔️",Tabela1[[#This Row],[Peso]],IF(Tabela1[[#This Row],[Status]]="✔️✔️",Tabela1[[#This Row],[Peso]]/2,0))</f>
        <v>3</v>
      </c>
      <c r="Q77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72" s="33" t="s">
        <v>127</v>
      </c>
      <c r="S772" s="37" t="s">
        <v>128</v>
      </c>
    </row>
    <row r="773" spans="8:19" ht="27.6" x14ac:dyDescent="0.3">
      <c r="H773" s="32" t="s">
        <v>76</v>
      </c>
      <c r="I773" s="33" t="s">
        <v>20</v>
      </c>
      <c r="J773" s="34" t="s">
        <v>21</v>
      </c>
      <c r="K773" s="35" t="s">
        <v>0</v>
      </c>
      <c r="L773" s="33" t="s">
        <v>79</v>
      </c>
      <c r="M773" s="33"/>
      <c r="N773" s="36"/>
      <c r="O773" s="33">
        <v>3</v>
      </c>
      <c r="P773" s="33">
        <f>IF(Tabela1[[#This Row],[Status]]="✔️",Tabela1[[#This Row],[Peso]],IF(Tabela1[[#This Row],[Status]]="✔️✔️",Tabela1[[#This Row],[Peso]]/2,0))</f>
        <v>3</v>
      </c>
      <c r="Q77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73" s="33" t="s">
        <v>127</v>
      </c>
      <c r="S773" s="37" t="s">
        <v>128</v>
      </c>
    </row>
    <row r="774" spans="8:19" ht="27.6" x14ac:dyDescent="0.3">
      <c r="H774" s="32" t="s">
        <v>76</v>
      </c>
      <c r="I774" s="33" t="s">
        <v>20</v>
      </c>
      <c r="J774" s="34" t="s">
        <v>441</v>
      </c>
      <c r="K774" s="35" t="s">
        <v>290</v>
      </c>
      <c r="L774" s="33" t="s">
        <v>78</v>
      </c>
      <c r="M774" s="33">
        <v>9087</v>
      </c>
      <c r="N774" s="36"/>
      <c r="O774" s="33">
        <v>1</v>
      </c>
      <c r="P774" s="33">
        <f>IF(Tabela1[[#This Row],[Status]]="✔️",Tabela1[[#This Row],[Peso]],IF(Tabela1[[#This Row],[Status]]="✔️✔️",Tabela1[[#This Row],[Peso]]/2,0))</f>
        <v>0</v>
      </c>
      <c r="Q77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774" s="33" t="s">
        <v>127</v>
      </c>
      <c r="S774" s="37" t="s">
        <v>128</v>
      </c>
    </row>
    <row r="775" spans="8:19" ht="27.6" x14ac:dyDescent="0.3">
      <c r="H775" s="32" t="s">
        <v>76</v>
      </c>
      <c r="I775" s="33" t="s">
        <v>25</v>
      </c>
      <c r="J775" s="34" t="s">
        <v>28</v>
      </c>
      <c r="K775" s="35" t="s">
        <v>290</v>
      </c>
      <c r="L775" s="33" t="s">
        <v>82</v>
      </c>
      <c r="M775" s="33">
        <v>6076</v>
      </c>
      <c r="N775" s="36"/>
      <c r="O775" s="33">
        <v>3</v>
      </c>
      <c r="P775" s="33">
        <f>IF(Tabela1[[#This Row],[Status]]="✔️",Tabela1[[#This Row],[Peso]],IF(Tabela1[[#This Row],[Status]]="✔️✔️",Tabela1[[#This Row],[Peso]]/2,0))</f>
        <v>0</v>
      </c>
      <c r="Q77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75" s="33" t="s">
        <v>127</v>
      </c>
      <c r="S775" s="37" t="s">
        <v>128</v>
      </c>
    </row>
    <row r="776" spans="8:19" ht="27.6" x14ac:dyDescent="0.3">
      <c r="H776" s="32" t="s">
        <v>76</v>
      </c>
      <c r="I776" s="33" t="s">
        <v>25</v>
      </c>
      <c r="J776" s="34" t="s">
        <v>29</v>
      </c>
      <c r="K776" s="35" t="s">
        <v>0</v>
      </c>
      <c r="L776" s="33"/>
      <c r="M776" s="33"/>
      <c r="N776" s="36"/>
      <c r="O776" s="33">
        <v>3</v>
      </c>
      <c r="P776" s="33">
        <f>IF(Tabela1[[#This Row],[Status]]="✔️",Tabela1[[#This Row],[Peso]],IF(Tabela1[[#This Row],[Status]]="✔️✔️",Tabela1[[#This Row],[Peso]]/2,0))</f>
        <v>3</v>
      </c>
      <c r="Q77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76" s="33" t="s">
        <v>127</v>
      </c>
      <c r="S776" s="37" t="s">
        <v>128</v>
      </c>
    </row>
    <row r="777" spans="8:19" ht="27.6" x14ac:dyDescent="0.3">
      <c r="H777" s="32" t="s">
        <v>76</v>
      </c>
      <c r="I777" s="33" t="s">
        <v>25</v>
      </c>
      <c r="J777" s="34" t="s">
        <v>449</v>
      </c>
      <c r="K777" s="35" t="s">
        <v>0</v>
      </c>
      <c r="L777" s="33"/>
      <c r="M777" s="33"/>
      <c r="N777" s="36"/>
      <c r="O777" s="33">
        <v>3</v>
      </c>
      <c r="P777" s="33">
        <f>IF(Tabela1[[#This Row],[Status]]="✔️",Tabela1[[#This Row],[Peso]],IF(Tabela1[[#This Row],[Status]]="✔️✔️",Tabela1[[#This Row],[Peso]]/2,0))</f>
        <v>3</v>
      </c>
      <c r="Q77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77" s="33" t="s">
        <v>127</v>
      </c>
      <c r="S777" s="37" t="s">
        <v>128</v>
      </c>
    </row>
    <row r="778" spans="8:19" ht="41.4" x14ac:dyDescent="0.3">
      <c r="H778" s="32" t="s">
        <v>76</v>
      </c>
      <c r="I778" s="33" t="s">
        <v>41</v>
      </c>
      <c r="J778" s="34" t="s">
        <v>442</v>
      </c>
      <c r="K778" s="35" t="s">
        <v>290</v>
      </c>
      <c r="L778" s="33" t="s">
        <v>47</v>
      </c>
      <c r="M778" s="33">
        <v>8115</v>
      </c>
      <c r="N778" s="36"/>
      <c r="O778" s="33">
        <v>3</v>
      </c>
      <c r="P778" s="33">
        <f>IF(Tabela1[[#This Row],[Status]]="✔️",Tabela1[[#This Row],[Peso]],IF(Tabela1[[#This Row],[Status]]="✔️✔️",Tabela1[[#This Row],[Peso]]/2,0))</f>
        <v>0</v>
      </c>
      <c r="Q77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78" s="33" t="s">
        <v>127</v>
      </c>
      <c r="S778" s="37" t="s">
        <v>128</v>
      </c>
    </row>
    <row r="779" spans="8:19" ht="41.4" x14ac:dyDescent="0.3">
      <c r="H779" s="32" t="s">
        <v>76</v>
      </c>
      <c r="I779" s="33" t="s">
        <v>41</v>
      </c>
      <c r="J779" s="34" t="s">
        <v>443</v>
      </c>
      <c r="K779" s="35" t="s">
        <v>290</v>
      </c>
      <c r="L779" s="33" t="s">
        <v>47</v>
      </c>
      <c r="M779" s="33">
        <v>8115</v>
      </c>
      <c r="N779" s="36"/>
      <c r="O779" s="33">
        <v>2</v>
      </c>
      <c r="P779" s="33">
        <f>IF(Tabela1[[#This Row],[Status]]="✔️",Tabela1[[#This Row],[Peso]],IF(Tabela1[[#This Row],[Status]]="✔️✔️",Tabela1[[#This Row],[Peso]]/2,0))</f>
        <v>0</v>
      </c>
      <c r="Q77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779" s="33" t="s">
        <v>127</v>
      </c>
      <c r="S779" s="37" t="s">
        <v>128</v>
      </c>
    </row>
    <row r="780" spans="8:19" ht="27.6" x14ac:dyDescent="0.3">
      <c r="H780" s="32" t="s">
        <v>76</v>
      </c>
      <c r="I780" s="33" t="s">
        <v>10</v>
      </c>
      <c r="J780" s="34" t="s">
        <v>444</v>
      </c>
      <c r="K780" s="35" t="s">
        <v>290</v>
      </c>
      <c r="L780" s="33" t="s">
        <v>89</v>
      </c>
      <c r="M780" s="33">
        <v>5214</v>
      </c>
      <c r="N780" s="36"/>
      <c r="O780" s="33">
        <v>3</v>
      </c>
      <c r="P780" s="33">
        <f>IF(Tabela1[[#This Row],[Status]]="✔️",Tabela1[[#This Row],[Peso]],IF(Tabela1[[#This Row],[Status]]="✔️✔️",Tabela1[[#This Row],[Peso]]/2,0))</f>
        <v>0</v>
      </c>
      <c r="Q78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80" s="33" t="s">
        <v>127</v>
      </c>
      <c r="S780" s="37" t="s">
        <v>128</v>
      </c>
    </row>
    <row r="781" spans="8:19" ht="27.6" x14ac:dyDescent="0.3">
      <c r="H781" s="32" t="s">
        <v>76</v>
      </c>
      <c r="I781" s="33" t="s">
        <v>30</v>
      </c>
      <c r="J781" s="34" t="s">
        <v>438</v>
      </c>
      <c r="K781" s="35" t="s">
        <v>290</v>
      </c>
      <c r="L781" s="33" t="s">
        <v>186</v>
      </c>
      <c r="M781" s="33">
        <v>1507</v>
      </c>
      <c r="N781" s="36"/>
      <c r="O781" s="33">
        <v>3</v>
      </c>
      <c r="P781" s="33">
        <f>IF(Tabela1[[#This Row],[Status]]="✔️",Tabela1[[#This Row],[Peso]],IF(Tabela1[[#This Row],[Status]]="✔️✔️",Tabela1[[#This Row],[Peso]]/2,0))</f>
        <v>0</v>
      </c>
      <c r="Q78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81" s="33" t="s">
        <v>130</v>
      </c>
      <c r="S781" s="37" t="s">
        <v>132</v>
      </c>
    </row>
    <row r="782" spans="8:19" ht="27.6" x14ac:dyDescent="0.3">
      <c r="H782" s="32" t="s">
        <v>76</v>
      </c>
      <c r="I782" s="33" t="s">
        <v>10</v>
      </c>
      <c r="J782" s="34" t="s">
        <v>11</v>
      </c>
      <c r="K782" s="35" t="s">
        <v>0</v>
      </c>
      <c r="L782" s="33"/>
      <c r="M782" s="33"/>
      <c r="N782" s="36"/>
      <c r="O782" s="33">
        <v>3</v>
      </c>
      <c r="P782" s="33">
        <f>IF(Tabela1[[#This Row],[Status]]="✔️",Tabela1[[#This Row],[Peso]],IF(Tabela1[[#This Row],[Status]]="✔️✔️",Tabela1[[#This Row],[Peso]]/2,0))</f>
        <v>3</v>
      </c>
      <c r="Q78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82" s="33" t="s">
        <v>130</v>
      </c>
      <c r="S782" s="37" t="s">
        <v>132</v>
      </c>
    </row>
    <row r="783" spans="8:19" ht="27.6" x14ac:dyDescent="0.3">
      <c r="H783" s="32" t="s">
        <v>76</v>
      </c>
      <c r="I783" s="33" t="s">
        <v>10</v>
      </c>
      <c r="J783" s="34" t="s">
        <v>439</v>
      </c>
      <c r="K783" s="35" t="s">
        <v>0</v>
      </c>
      <c r="L783" s="33"/>
      <c r="M783" s="33"/>
      <c r="N783" s="36"/>
      <c r="O783" s="33">
        <v>3</v>
      </c>
      <c r="P783" s="33">
        <f>IF(Tabela1[[#This Row],[Status]]="✔️",Tabela1[[#This Row],[Peso]],IF(Tabela1[[#This Row],[Status]]="✔️✔️",Tabela1[[#This Row],[Peso]]/2,0))</f>
        <v>3</v>
      </c>
      <c r="Q78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83" s="33" t="s">
        <v>130</v>
      </c>
      <c r="S783" s="37" t="s">
        <v>132</v>
      </c>
    </row>
    <row r="784" spans="8:19" ht="27.6" x14ac:dyDescent="0.3">
      <c r="H784" s="32" t="s">
        <v>76</v>
      </c>
      <c r="I784" s="33" t="s">
        <v>10</v>
      </c>
      <c r="J784" s="34" t="s">
        <v>440</v>
      </c>
      <c r="K784" s="35" t="s">
        <v>0</v>
      </c>
      <c r="L784" s="33"/>
      <c r="M784" s="33"/>
      <c r="N784" s="36"/>
      <c r="O784" s="33">
        <v>3</v>
      </c>
      <c r="P784" s="33">
        <f>IF(Tabela1[[#This Row],[Status]]="✔️",Tabela1[[#This Row],[Peso]],IF(Tabela1[[#This Row],[Status]]="✔️✔️",Tabela1[[#This Row],[Peso]]/2,0))</f>
        <v>3</v>
      </c>
      <c r="Q78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84" s="33" t="s">
        <v>130</v>
      </c>
      <c r="S784" s="37" t="s">
        <v>132</v>
      </c>
    </row>
    <row r="785" spans="8:19" ht="27.6" x14ac:dyDescent="0.3">
      <c r="H785" s="32" t="s">
        <v>76</v>
      </c>
      <c r="I785" s="33" t="s">
        <v>12</v>
      </c>
      <c r="J785" s="34" t="s">
        <v>13</v>
      </c>
      <c r="K785" s="35" t="s">
        <v>0</v>
      </c>
      <c r="L785" s="33"/>
      <c r="M785" s="33"/>
      <c r="N785" s="36"/>
      <c r="O785" s="33">
        <v>2</v>
      </c>
      <c r="P785" s="33">
        <f>IF(Tabela1[[#This Row],[Status]]="✔️",Tabela1[[#This Row],[Peso]],IF(Tabela1[[#This Row],[Status]]="✔️✔️",Tabela1[[#This Row],[Peso]]/2,0))</f>
        <v>2</v>
      </c>
      <c r="Q785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785" s="33" t="s">
        <v>130</v>
      </c>
      <c r="S785" s="37" t="s">
        <v>132</v>
      </c>
    </row>
    <row r="786" spans="8:19" ht="27.6" x14ac:dyDescent="0.3">
      <c r="H786" s="32" t="s">
        <v>76</v>
      </c>
      <c r="I786" s="33" t="s">
        <v>14</v>
      </c>
      <c r="J786" s="34" t="s">
        <v>15</v>
      </c>
      <c r="K786" s="35" t="s">
        <v>0</v>
      </c>
      <c r="L786" s="33"/>
      <c r="M786" s="33"/>
      <c r="N786" s="36"/>
      <c r="O786" s="33">
        <v>3</v>
      </c>
      <c r="P786" s="33">
        <f>IF(Tabela1[[#This Row],[Status]]="✔️",Tabela1[[#This Row],[Peso]],IF(Tabela1[[#This Row],[Status]]="✔️✔️",Tabela1[[#This Row],[Peso]]/2,0))</f>
        <v>3</v>
      </c>
      <c r="Q78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86" s="33" t="s">
        <v>130</v>
      </c>
      <c r="S786" s="37" t="s">
        <v>132</v>
      </c>
    </row>
    <row r="787" spans="8:19" ht="55.2" x14ac:dyDescent="0.3">
      <c r="H787" s="32" t="s">
        <v>76</v>
      </c>
      <c r="I787" s="33" t="s">
        <v>14</v>
      </c>
      <c r="J787" s="34" t="s">
        <v>16</v>
      </c>
      <c r="K787" s="35" t="s">
        <v>290</v>
      </c>
      <c r="L787" s="33" t="s">
        <v>181</v>
      </c>
      <c r="M787" s="33">
        <v>8167</v>
      </c>
      <c r="N787" s="36"/>
      <c r="O787" s="33">
        <v>1</v>
      </c>
      <c r="P787" s="33">
        <f>IF(Tabela1[[#This Row],[Status]]="✔️",Tabela1[[#This Row],[Peso]],IF(Tabela1[[#This Row],[Status]]="✔️✔️",Tabela1[[#This Row],[Peso]]/2,0))</f>
        <v>0</v>
      </c>
      <c r="Q78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787" s="33" t="s">
        <v>130</v>
      </c>
      <c r="S787" s="37" t="s">
        <v>132</v>
      </c>
    </row>
    <row r="788" spans="8:19" ht="27.6" x14ac:dyDescent="0.3">
      <c r="H788" s="32" t="s">
        <v>76</v>
      </c>
      <c r="I788" s="33" t="s">
        <v>17</v>
      </c>
      <c r="J788" s="34" t="s">
        <v>18</v>
      </c>
      <c r="K788" s="35" t="s">
        <v>290</v>
      </c>
      <c r="L788" s="33" t="s">
        <v>182</v>
      </c>
      <c r="M788" s="33">
        <v>6904</v>
      </c>
      <c r="N788" s="36"/>
      <c r="O788" s="33">
        <v>3</v>
      </c>
      <c r="P788" s="33">
        <f>IF(Tabela1[[#This Row],[Status]]="✔️",Tabela1[[#This Row],[Peso]],IF(Tabela1[[#This Row],[Status]]="✔️✔️",Tabela1[[#This Row],[Peso]]/2,0))</f>
        <v>0</v>
      </c>
      <c r="Q78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88" s="33" t="s">
        <v>130</v>
      </c>
      <c r="S788" s="37" t="s">
        <v>132</v>
      </c>
    </row>
    <row r="789" spans="8:19" ht="27.6" x14ac:dyDescent="0.3">
      <c r="H789" s="32" t="s">
        <v>76</v>
      </c>
      <c r="I789" s="33" t="s">
        <v>17</v>
      </c>
      <c r="J789" s="34" t="s">
        <v>19</v>
      </c>
      <c r="K789" s="35" t="s">
        <v>290</v>
      </c>
      <c r="L789" s="33" t="s">
        <v>178</v>
      </c>
      <c r="M789" s="33">
        <v>6904</v>
      </c>
      <c r="N789" s="36"/>
      <c r="O789" s="33">
        <v>3</v>
      </c>
      <c r="P789" s="33">
        <f>IF(Tabela1[[#This Row],[Status]]="✔️",Tabela1[[#This Row],[Peso]],IF(Tabela1[[#This Row],[Status]]="✔️✔️",Tabela1[[#This Row],[Peso]]/2,0))</f>
        <v>0</v>
      </c>
      <c r="Q78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89" s="33" t="s">
        <v>130</v>
      </c>
      <c r="S789" s="37" t="s">
        <v>132</v>
      </c>
    </row>
    <row r="790" spans="8:19" ht="27.6" x14ac:dyDescent="0.3">
      <c r="H790" s="32" t="s">
        <v>76</v>
      </c>
      <c r="I790" s="33" t="s">
        <v>20</v>
      </c>
      <c r="J790" s="34" t="s">
        <v>21</v>
      </c>
      <c r="K790" s="35" t="s">
        <v>290</v>
      </c>
      <c r="L790" s="33" t="s">
        <v>183</v>
      </c>
      <c r="M790" s="33">
        <v>9348</v>
      </c>
      <c r="N790" s="36"/>
      <c r="O790" s="33">
        <v>3</v>
      </c>
      <c r="P790" s="33">
        <f>IF(Tabela1[[#This Row],[Status]]="✔️",Tabela1[[#This Row],[Peso]],IF(Tabela1[[#This Row],[Status]]="✔️✔️",Tabela1[[#This Row],[Peso]]/2,0))</f>
        <v>0</v>
      </c>
      <c r="Q79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90" s="33" t="s">
        <v>130</v>
      </c>
      <c r="S790" s="37" t="s">
        <v>132</v>
      </c>
    </row>
    <row r="791" spans="8:19" ht="27.6" x14ac:dyDescent="0.3">
      <c r="H791" s="32" t="s">
        <v>76</v>
      </c>
      <c r="I791" s="33" t="s">
        <v>20</v>
      </c>
      <c r="J791" s="34" t="s">
        <v>441</v>
      </c>
      <c r="K791" s="35" t="s">
        <v>290</v>
      </c>
      <c r="L791" s="33" t="s">
        <v>174</v>
      </c>
      <c r="M791" s="33">
        <v>6162</v>
      </c>
      <c r="N791" s="36"/>
      <c r="O791" s="33">
        <v>1</v>
      </c>
      <c r="P791" s="33">
        <f>IF(Tabela1[[#This Row],[Status]]="✔️",Tabela1[[#This Row],[Peso]],IF(Tabela1[[#This Row],[Status]]="✔️✔️",Tabela1[[#This Row],[Peso]]/2,0))</f>
        <v>0</v>
      </c>
      <c r="Q79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791" s="33" t="s">
        <v>130</v>
      </c>
      <c r="S791" s="37" t="s">
        <v>132</v>
      </c>
    </row>
    <row r="792" spans="8:19" ht="27.6" x14ac:dyDescent="0.3">
      <c r="H792" s="32" t="s">
        <v>76</v>
      </c>
      <c r="I792" s="33" t="s">
        <v>25</v>
      </c>
      <c r="J792" s="34" t="s">
        <v>28</v>
      </c>
      <c r="K792" s="35" t="s">
        <v>290</v>
      </c>
      <c r="L792" s="33" t="s">
        <v>184</v>
      </c>
      <c r="M792" s="33">
        <v>9884</v>
      </c>
      <c r="N792" s="36"/>
      <c r="O792" s="33">
        <v>3</v>
      </c>
      <c r="P792" s="33">
        <f>IF(Tabela1[[#This Row],[Status]]="✔️",Tabela1[[#This Row],[Peso]],IF(Tabela1[[#This Row],[Status]]="✔️✔️",Tabela1[[#This Row],[Peso]]/2,0))</f>
        <v>0</v>
      </c>
      <c r="Q79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92" s="33" t="s">
        <v>130</v>
      </c>
      <c r="S792" s="37" t="s">
        <v>132</v>
      </c>
    </row>
    <row r="793" spans="8:19" ht="27.6" x14ac:dyDescent="0.3">
      <c r="H793" s="32" t="s">
        <v>76</v>
      </c>
      <c r="I793" s="33" t="s">
        <v>25</v>
      </c>
      <c r="J793" s="34" t="s">
        <v>29</v>
      </c>
      <c r="K793" s="35" t="s">
        <v>0</v>
      </c>
      <c r="L793" s="33"/>
      <c r="M793" s="33"/>
      <c r="N793" s="36"/>
      <c r="O793" s="33">
        <v>3</v>
      </c>
      <c r="P793" s="33">
        <f>IF(Tabela1[[#This Row],[Status]]="✔️",Tabela1[[#This Row],[Peso]],IF(Tabela1[[#This Row],[Status]]="✔️✔️",Tabela1[[#This Row],[Peso]]/2,0))</f>
        <v>3</v>
      </c>
      <c r="Q79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93" s="33" t="s">
        <v>130</v>
      </c>
      <c r="S793" s="37" t="s">
        <v>132</v>
      </c>
    </row>
    <row r="794" spans="8:19" ht="27.6" x14ac:dyDescent="0.3">
      <c r="H794" s="32" t="s">
        <v>76</v>
      </c>
      <c r="I794" s="33" t="s">
        <v>25</v>
      </c>
      <c r="J794" s="34" t="s">
        <v>449</v>
      </c>
      <c r="K794" s="35" t="s">
        <v>290</v>
      </c>
      <c r="L794" s="33" t="s">
        <v>185</v>
      </c>
      <c r="M794" s="33">
        <v>4611</v>
      </c>
      <c r="N794" s="36"/>
      <c r="O794" s="33">
        <v>3</v>
      </c>
      <c r="P794" s="33">
        <f>IF(Tabela1[[#This Row],[Status]]="✔️",Tabela1[[#This Row],[Peso]],IF(Tabela1[[#This Row],[Status]]="✔️✔️",Tabela1[[#This Row],[Peso]]/2,0))</f>
        <v>0</v>
      </c>
      <c r="Q79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94" s="33" t="s">
        <v>130</v>
      </c>
      <c r="S794" s="37" t="s">
        <v>132</v>
      </c>
    </row>
    <row r="795" spans="8:19" ht="41.4" x14ac:dyDescent="0.3">
      <c r="H795" s="32" t="s">
        <v>76</v>
      </c>
      <c r="I795" s="33" t="s">
        <v>41</v>
      </c>
      <c r="J795" s="34" t="s">
        <v>442</v>
      </c>
      <c r="K795" s="35" t="s">
        <v>290</v>
      </c>
      <c r="L795" s="33" t="s">
        <v>47</v>
      </c>
      <c r="M795" s="33">
        <v>3184</v>
      </c>
      <c r="N795" s="36"/>
      <c r="O795" s="33">
        <v>3</v>
      </c>
      <c r="P795" s="33">
        <f>IF(Tabela1[[#This Row],[Status]]="✔️",Tabela1[[#This Row],[Peso]],IF(Tabela1[[#This Row],[Status]]="✔️✔️",Tabela1[[#This Row],[Peso]]/2,0))</f>
        <v>0</v>
      </c>
      <c r="Q79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95" s="33" t="s">
        <v>130</v>
      </c>
      <c r="S795" s="37" t="s">
        <v>132</v>
      </c>
    </row>
    <row r="796" spans="8:19" ht="41.4" x14ac:dyDescent="0.3">
      <c r="H796" s="32" t="s">
        <v>76</v>
      </c>
      <c r="I796" s="33" t="s">
        <v>41</v>
      </c>
      <c r="J796" s="34" t="s">
        <v>443</v>
      </c>
      <c r="K796" s="35" t="s">
        <v>290</v>
      </c>
      <c r="L796" s="33" t="s">
        <v>47</v>
      </c>
      <c r="M796" s="33">
        <v>3184</v>
      </c>
      <c r="N796" s="36"/>
      <c r="O796" s="33">
        <v>2</v>
      </c>
      <c r="P796" s="33">
        <f>IF(Tabela1[[#This Row],[Status]]="✔️",Tabela1[[#This Row],[Peso]],IF(Tabela1[[#This Row],[Status]]="✔️✔️",Tabela1[[#This Row],[Peso]]/2,0))</f>
        <v>0</v>
      </c>
      <c r="Q79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796" s="33" t="s">
        <v>130</v>
      </c>
      <c r="S796" s="37" t="s">
        <v>132</v>
      </c>
    </row>
    <row r="797" spans="8:19" ht="27.6" x14ac:dyDescent="0.3">
      <c r="H797" s="32" t="s">
        <v>76</v>
      </c>
      <c r="I797" s="33" t="s">
        <v>30</v>
      </c>
      <c r="J797" s="34" t="s">
        <v>438</v>
      </c>
      <c r="K797" s="35" t="s">
        <v>291</v>
      </c>
      <c r="L797" s="33" t="s">
        <v>248</v>
      </c>
      <c r="M797" s="33">
        <v>1507</v>
      </c>
      <c r="N797" s="36"/>
      <c r="O797" s="33">
        <v>3</v>
      </c>
      <c r="P797" s="33">
        <f>IF(Tabela1[[#This Row],[Status]]="✔️",Tabela1[[#This Row],[Peso]],IF(Tabela1[[#This Row],[Status]]="✔️✔️",Tabela1[[#This Row],[Peso]]/2,0))</f>
        <v>1.5</v>
      </c>
      <c r="Q797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797" s="33" t="s">
        <v>130</v>
      </c>
      <c r="S797" s="37" t="s">
        <v>128</v>
      </c>
    </row>
    <row r="798" spans="8:19" ht="41.4" x14ac:dyDescent="0.3">
      <c r="H798" s="32" t="s">
        <v>76</v>
      </c>
      <c r="I798" s="33" t="s">
        <v>10</v>
      </c>
      <c r="J798" s="34" t="s">
        <v>444</v>
      </c>
      <c r="K798" s="35" t="s">
        <v>290</v>
      </c>
      <c r="L798" s="33" t="s">
        <v>180</v>
      </c>
      <c r="M798" s="33">
        <v>4527</v>
      </c>
      <c r="N798" s="36"/>
      <c r="O798" s="33">
        <v>3</v>
      </c>
      <c r="P798" s="33">
        <f>IF(Tabela1[[#This Row],[Status]]="✔️",Tabela1[[#This Row],[Peso]],IF(Tabela1[[#This Row],[Status]]="✔️✔️",Tabela1[[#This Row],[Peso]]/2,0))</f>
        <v>0</v>
      </c>
      <c r="Q79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98" s="33" t="s">
        <v>130</v>
      </c>
      <c r="S798" s="37" t="s">
        <v>132</v>
      </c>
    </row>
    <row r="799" spans="8:19" ht="27.6" x14ac:dyDescent="0.3">
      <c r="H799" s="32" t="s">
        <v>76</v>
      </c>
      <c r="I799" s="33" t="s">
        <v>10</v>
      </c>
      <c r="J799" s="34" t="s">
        <v>11</v>
      </c>
      <c r="K799" s="35" t="s">
        <v>0</v>
      </c>
      <c r="L799" s="33"/>
      <c r="M799" s="33"/>
      <c r="N799" s="36"/>
      <c r="O799" s="33">
        <v>3</v>
      </c>
      <c r="P799" s="33">
        <f>IF(Tabela1[[#This Row],[Status]]="✔️",Tabela1[[#This Row],[Peso]],IF(Tabela1[[#This Row],[Status]]="✔️✔️",Tabela1[[#This Row],[Peso]]/2,0))</f>
        <v>3</v>
      </c>
      <c r="Q79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99" s="33" t="s">
        <v>130</v>
      </c>
      <c r="S799" s="37" t="s">
        <v>128</v>
      </c>
    </row>
    <row r="800" spans="8:19" ht="27.6" x14ac:dyDescent="0.3">
      <c r="H800" s="32" t="s">
        <v>76</v>
      </c>
      <c r="I800" s="33" t="s">
        <v>10</v>
      </c>
      <c r="J800" s="34" t="s">
        <v>439</v>
      </c>
      <c r="K800" s="35" t="s">
        <v>0</v>
      </c>
      <c r="L800" s="33"/>
      <c r="M800" s="33"/>
      <c r="N800" s="36"/>
      <c r="O800" s="33">
        <v>3</v>
      </c>
      <c r="P800" s="33">
        <f>IF(Tabela1[[#This Row],[Status]]="✔️",Tabela1[[#This Row],[Peso]],IF(Tabela1[[#This Row],[Status]]="✔️✔️",Tabela1[[#This Row],[Peso]]/2,0))</f>
        <v>3</v>
      </c>
      <c r="Q80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00" s="33" t="s">
        <v>130</v>
      </c>
      <c r="S800" s="37" t="s">
        <v>128</v>
      </c>
    </row>
    <row r="801" spans="8:19" ht="27.6" x14ac:dyDescent="0.3">
      <c r="H801" s="32" t="s">
        <v>76</v>
      </c>
      <c r="I801" s="33" t="s">
        <v>10</v>
      </c>
      <c r="J801" s="34" t="s">
        <v>440</v>
      </c>
      <c r="K801" s="35" t="s">
        <v>0</v>
      </c>
      <c r="L801" s="33"/>
      <c r="M801" s="33"/>
      <c r="N801" s="36"/>
      <c r="O801" s="33">
        <v>3</v>
      </c>
      <c r="P801" s="33">
        <f>IF(Tabela1[[#This Row],[Status]]="✔️",Tabela1[[#This Row],[Peso]],IF(Tabela1[[#This Row],[Status]]="✔️✔️",Tabela1[[#This Row],[Peso]]/2,0))</f>
        <v>3</v>
      </c>
      <c r="Q80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01" s="33" t="s">
        <v>130</v>
      </c>
      <c r="S801" s="37" t="s">
        <v>128</v>
      </c>
    </row>
    <row r="802" spans="8:19" ht="27.6" x14ac:dyDescent="0.3">
      <c r="H802" s="32" t="s">
        <v>76</v>
      </c>
      <c r="I802" s="33" t="s">
        <v>12</v>
      </c>
      <c r="J802" s="34" t="s">
        <v>13</v>
      </c>
      <c r="K802" s="35" t="s">
        <v>0</v>
      </c>
      <c r="L802" s="33"/>
      <c r="M802" s="33"/>
      <c r="N802" s="36"/>
      <c r="O802" s="33">
        <v>2</v>
      </c>
      <c r="P802" s="33">
        <f>IF(Tabela1[[#This Row],[Status]]="✔️",Tabela1[[#This Row],[Peso]],IF(Tabela1[[#This Row],[Status]]="✔️✔️",Tabela1[[#This Row],[Peso]]/2,0))</f>
        <v>2</v>
      </c>
      <c r="Q802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802" s="33" t="s">
        <v>130</v>
      </c>
      <c r="S802" s="37" t="s">
        <v>128</v>
      </c>
    </row>
    <row r="803" spans="8:19" ht="27.6" x14ac:dyDescent="0.3">
      <c r="H803" s="32" t="s">
        <v>76</v>
      </c>
      <c r="I803" s="33" t="s">
        <v>14</v>
      </c>
      <c r="J803" s="34" t="s">
        <v>15</v>
      </c>
      <c r="K803" s="35" t="s">
        <v>0</v>
      </c>
      <c r="L803" s="33"/>
      <c r="M803" s="33"/>
      <c r="N803" s="36"/>
      <c r="O803" s="33">
        <v>3</v>
      </c>
      <c r="P803" s="33">
        <f>IF(Tabela1[[#This Row],[Status]]="✔️",Tabela1[[#This Row],[Peso]],IF(Tabela1[[#This Row],[Status]]="✔️✔️",Tabela1[[#This Row],[Peso]]/2,0))</f>
        <v>3</v>
      </c>
      <c r="Q80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03" s="33" t="s">
        <v>130</v>
      </c>
      <c r="S803" s="37" t="s">
        <v>128</v>
      </c>
    </row>
    <row r="804" spans="8:19" ht="55.2" x14ac:dyDescent="0.3">
      <c r="H804" s="32" t="s">
        <v>76</v>
      </c>
      <c r="I804" s="33" t="s">
        <v>14</v>
      </c>
      <c r="J804" s="34" t="s">
        <v>16</v>
      </c>
      <c r="K804" s="35" t="s">
        <v>290</v>
      </c>
      <c r="L804" s="33" t="s">
        <v>181</v>
      </c>
      <c r="M804" s="33">
        <v>8167</v>
      </c>
      <c r="N804" s="36"/>
      <c r="O804" s="33">
        <v>1</v>
      </c>
      <c r="P804" s="33">
        <f>IF(Tabela1[[#This Row],[Status]]="✔️",Tabela1[[#This Row],[Peso]],IF(Tabela1[[#This Row],[Status]]="✔️✔️",Tabela1[[#This Row],[Peso]]/2,0))</f>
        <v>0</v>
      </c>
      <c r="Q80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804" s="33" t="s">
        <v>130</v>
      </c>
      <c r="S804" s="37" t="s">
        <v>128</v>
      </c>
    </row>
    <row r="805" spans="8:19" ht="27.6" x14ac:dyDescent="0.3">
      <c r="H805" s="32" t="s">
        <v>76</v>
      </c>
      <c r="I805" s="33" t="s">
        <v>17</v>
      </c>
      <c r="J805" s="34" t="s">
        <v>18</v>
      </c>
      <c r="K805" s="35" t="s">
        <v>291</v>
      </c>
      <c r="L805" s="33" t="s">
        <v>248</v>
      </c>
      <c r="M805" s="33">
        <v>6904</v>
      </c>
      <c r="N805" s="36"/>
      <c r="O805" s="33">
        <v>3</v>
      </c>
      <c r="P805" s="33">
        <f>IF(Tabela1[[#This Row],[Status]]="✔️",Tabela1[[#This Row],[Peso]],IF(Tabela1[[#This Row],[Status]]="✔️✔️",Tabela1[[#This Row],[Peso]]/2,0))</f>
        <v>1.5</v>
      </c>
      <c r="Q805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805" s="33" t="s">
        <v>130</v>
      </c>
      <c r="S805" s="37" t="s">
        <v>128</v>
      </c>
    </row>
    <row r="806" spans="8:19" ht="27.6" x14ac:dyDescent="0.3">
      <c r="H806" s="32" t="s">
        <v>76</v>
      </c>
      <c r="I806" s="33" t="s">
        <v>17</v>
      </c>
      <c r="J806" s="34" t="s">
        <v>19</v>
      </c>
      <c r="K806" s="35" t="s">
        <v>291</v>
      </c>
      <c r="L806" s="33" t="s">
        <v>248</v>
      </c>
      <c r="M806" s="33">
        <v>6904</v>
      </c>
      <c r="N806" s="36"/>
      <c r="O806" s="33">
        <v>3</v>
      </c>
      <c r="P806" s="33">
        <f>IF(Tabela1[[#This Row],[Status]]="✔️",Tabela1[[#This Row],[Peso]],IF(Tabela1[[#This Row],[Status]]="✔️✔️",Tabela1[[#This Row],[Peso]]/2,0))</f>
        <v>1.5</v>
      </c>
      <c r="Q806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806" s="33" t="s">
        <v>130</v>
      </c>
      <c r="S806" s="37" t="s">
        <v>128</v>
      </c>
    </row>
    <row r="807" spans="8:19" ht="27.6" x14ac:dyDescent="0.3">
      <c r="H807" s="32" t="s">
        <v>76</v>
      </c>
      <c r="I807" s="33" t="s">
        <v>20</v>
      </c>
      <c r="J807" s="34" t="s">
        <v>21</v>
      </c>
      <c r="K807" s="35" t="s">
        <v>290</v>
      </c>
      <c r="L807" s="33" t="s">
        <v>183</v>
      </c>
      <c r="M807" s="33">
        <v>9348</v>
      </c>
      <c r="N807" s="36"/>
      <c r="O807" s="33">
        <v>3</v>
      </c>
      <c r="P807" s="33">
        <f>IF(Tabela1[[#This Row],[Status]]="✔️",Tabela1[[#This Row],[Peso]],IF(Tabela1[[#This Row],[Status]]="✔️✔️",Tabela1[[#This Row],[Peso]]/2,0))</f>
        <v>0</v>
      </c>
      <c r="Q80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07" s="33" t="s">
        <v>130</v>
      </c>
      <c r="S807" s="37" t="s">
        <v>128</v>
      </c>
    </row>
    <row r="808" spans="8:19" ht="27.6" x14ac:dyDescent="0.3">
      <c r="H808" s="32" t="s">
        <v>76</v>
      </c>
      <c r="I808" s="33" t="s">
        <v>20</v>
      </c>
      <c r="J808" s="34" t="s">
        <v>441</v>
      </c>
      <c r="K808" s="35" t="s">
        <v>290</v>
      </c>
      <c r="L808" s="33" t="s">
        <v>174</v>
      </c>
      <c r="M808" s="33">
        <v>6162</v>
      </c>
      <c r="N808" s="36"/>
      <c r="O808" s="33">
        <v>1</v>
      </c>
      <c r="P808" s="33">
        <f>IF(Tabela1[[#This Row],[Status]]="✔️",Tabela1[[#This Row],[Peso]],IF(Tabela1[[#This Row],[Status]]="✔️✔️",Tabela1[[#This Row],[Peso]]/2,0))</f>
        <v>0</v>
      </c>
      <c r="Q80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808" s="33" t="s">
        <v>130</v>
      </c>
      <c r="S808" s="37" t="s">
        <v>128</v>
      </c>
    </row>
    <row r="809" spans="8:19" ht="27.6" x14ac:dyDescent="0.3">
      <c r="H809" s="32" t="s">
        <v>76</v>
      </c>
      <c r="I809" s="33" t="s">
        <v>25</v>
      </c>
      <c r="J809" s="34" t="s">
        <v>28</v>
      </c>
      <c r="K809" s="35" t="s">
        <v>290</v>
      </c>
      <c r="L809" s="33" t="s">
        <v>184</v>
      </c>
      <c r="M809" s="33">
        <v>9884</v>
      </c>
      <c r="N809" s="36"/>
      <c r="O809" s="33">
        <v>3</v>
      </c>
      <c r="P809" s="33">
        <f>IF(Tabela1[[#This Row],[Status]]="✔️",Tabela1[[#This Row],[Peso]],IF(Tabela1[[#This Row],[Status]]="✔️✔️",Tabela1[[#This Row],[Peso]]/2,0))</f>
        <v>0</v>
      </c>
      <c r="Q80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09" s="33" t="s">
        <v>130</v>
      </c>
      <c r="S809" s="37" t="s">
        <v>128</v>
      </c>
    </row>
    <row r="810" spans="8:19" ht="27.6" x14ac:dyDescent="0.3">
      <c r="H810" s="32" t="s">
        <v>76</v>
      </c>
      <c r="I810" s="33" t="s">
        <v>25</v>
      </c>
      <c r="J810" s="34" t="s">
        <v>29</v>
      </c>
      <c r="K810" s="35" t="s">
        <v>0</v>
      </c>
      <c r="L810" s="33"/>
      <c r="M810" s="33"/>
      <c r="N810" s="36"/>
      <c r="O810" s="33">
        <v>3</v>
      </c>
      <c r="P810" s="33">
        <f>IF(Tabela1[[#This Row],[Status]]="✔️",Tabela1[[#This Row],[Peso]],IF(Tabela1[[#This Row],[Status]]="✔️✔️",Tabela1[[#This Row],[Peso]]/2,0))</f>
        <v>3</v>
      </c>
      <c r="Q81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10" s="33" t="s">
        <v>130</v>
      </c>
      <c r="S810" s="37" t="s">
        <v>128</v>
      </c>
    </row>
    <row r="811" spans="8:19" ht="27.6" x14ac:dyDescent="0.3">
      <c r="H811" s="32" t="s">
        <v>76</v>
      </c>
      <c r="I811" s="33" t="s">
        <v>25</v>
      </c>
      <c r="J811" s="34" t="s">
        <v>449</v>
      </c>
      <c r="K811" s="35" t="s">
        <v>290</v>
      </c>
      <c r="L811" s="33" t="s">
        <v>185</v>
      </c>
      <c r="M811" s="33">
        <v>4611</v>
      </c>
      <c r="N811" s="36"/>
      <c r="O811" s="33">
        <v>3</v>
      </c>
      <c r="P811" s="33">
        <f>IF(Tabela1[[#This Row],[Status]]="✔️",Tabela1[[#This Row],[Peso]],IF(Tabela1[[#This Row],[Status]]="✔️✔️",Tabela1[[#This Row],[Peso]]/2,0))</f>
        <v>0</v>
      </c>
      <c r="Q81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11" s="33" t="s">
        <v>130</v>
      </c>
      <c r="S811" s="37" t="s">
        <v>128</v>
      </c>
    </row>
    <row r="812" spans="8:19" ht="41.4" x14ac:dyDescent="0.3">
      <c r="H812" s="32" t="s">
        <v>76</v>
      </c>
      <c r="I812" s="33" t="s">
        <v>41</v>
      </c>
      <c r="J812" s="34" t="s">
        <v>442</v>
      </c>
      <c r="K812" s="35" t="s">
        <v>290</v>
      </c>
      <c r="L812" s="33" t="s">
        <v>285</v>
      </c>
      <c r="M812" s="33">
        <v>3184</v>
      </c>
      <c r="N812" s="36"/>
      <c r="O812" s="33">
        <v>3</v>
      </c>
      <c r="P812" s="33">
        <f>IF(Tabela1[[#This Row],[Status]]="✔️",Tabela1[[#This Row],[Peso]],IF(Tabela1[[#This Row],[Status]]="✔️✔️",Tabela1[[#This Row],[Peso]]/2,0))</f>
        <v>0</v>
      </c>
      <c r="Q81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12" s="33" t="s">
        <v>130</v>
      </c>
      <c r="S812" s="37" t="s">
        <v>128</v>
      </c>
    </row>
    <row r="813" spans="8:19" ht="41.4" x14ac:dyDescent="0.3">
      <c r="H813" s="32" t="s">
        <v>76</v>
      </c>
      <c r="I813" s="33" t="s">
        <v>41</v>
      </c>
      <c r="J813" s="34" t="s">
        <v>443</v>
      </c>
      <c r="K813" s="35" t="s">
        <v>290</v>
      </c>
      <c r="L813" s="33" t="s">
        <v>285</v>
      </c>
      <c r="M813" s="33">
        <v>3184</v>
      </c>
      <c r="N813" s="36"/>
      <c r="O813" s="33">
        <v>2</v>
      </c>
      <c r="P813" s="33">
        <f>IF(Tabela1[[#This Row],[Status]]="✔️",Tabela1[[#This Row],[Peso]],IF(Tabela1[[#This Row],[Status]]="✔️✔️",Tabela1[[#This Row],[Peso]]/2,0))</f>
        <v>0</v>
      </c>
      <c r="Q813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813" s="33" t="s">
        <v>130</v>
      </c>
      <c r="S813" s="37" t="s">
        <v>128</v>
      </c>
    </row>
    <row r="814" spans="8:19" ht="27.6" x14ac:dyDescent="0.3">
      <c r="H814" s="32" t="s">
        <v>76</v>
      </c>
      <c r="I814" s="33" t="s">
        <v>10</v>
      </c>
      <c r="J814" s="34" t="s">
        <v>444</v>
      </c>
      <c r="K814" s="35" t="s">
        <v>291</v>
      </c>
      <c r="L814" s="33" t="s">
        <v>248</v>
      </c>
      <c r="M814" s="46">
        <v>4527</v>
      </c>
      <c r="N814" s="36"/>
      <c r="O814" s="33">
        <v>3</v>
      </c>
      <c r="P814" s="33">
        <f>IF(Tabela1[[#This Row],[Status]]="✔️",Tabela1[[#This Row],[Peso]],IF(Tabela1[[#This Row],[Status]]="✔️✔️",Tabela1[[#This Row],[Peso]]/2,0))</f>
        <v>1.5</v>
      </c>
      <c r="Q814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814" s="33" t="s">
        <v>130</v>
      </c>
      <c r="S814" s="37" t="s">
        <v>128</v>
      </c>
    </row>
    <row r="815" spans="8:19" ht="41.4" x14ac:dyDescent="0.3">
      <c r="H815" s="32" t="s">
        <v>76</v>
      </c>
      <c r="I815" s="33" t="s">
        <v>30</v>
      </c>
      <c r="J815" s="34" t="s">
        <v>438</v>
      </c>
      <c r="K815" s="35" t="s">
        <v>0</v>
      </c>
      <c r="L815" s="33"/>
      <c r="M815" s="33"/>
      <c r="N815" s="36"/>
      <c r="O815" s="33">
        <v>3</v>
      </c>
      <c r="P815" s="33">
        <f>IF(Tabela1[[#This Row],[Status]]="✔️",Tabela1[[#This Row],[Peso]],IF(Tabela1[[#This Row],[Status]]="✔️✔️",Tabela1[[#This Row],[Peso]]/2,0))</f>
        <v>3</v>
      </c>
      <c r="Q81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15" s="33" t="s">
        <v>187</v>
      </c>
      <c r="S815" s="37" t="s">
        <v>132</v>
      </c>
    </row>
    <row r="816" spans="8:19" ht="41.4" x14ac:dyDescent="0.3">
      <c r="H816" s="32" t="s">
        <v>76</v>
      </c>
      <c r="I816" s="33" t="s">
        <v>10</v>
      </c>
      <c r="J816" s="34" t="s">
        <v>11</v>
      </c>
      <c r="K816" s="35" t="s">
        <v>0</v>
      </c>
      <c r="L816" s="33"/>
      <c r="M816" s="33"/>
      <c r="N816" s="36"/>
      <c r="O816" s="33">
        <v>3</v>
      </c>
      <c r="P816" s="33">
        <f>IF(Tabela1[[#This Row],[Status]]="✔️",Tabela1[[#This Row],[Peso]],IF(Tabela1[[#This Row],[Status]]="✔️✔️",Tabela1[[#This Row],[Peso]]/2,0))</f>
        <v>3</v>
      </c>
      <c r="Q81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16" s="33" t="s">
        <v>187</v>
      </c>
      <c r="S816" s="37" t="s">
        <v>132</v>
      </c>
    </row>
    <row r="817" spans="8:19" ht="41.4" x14ac:dyDescent="0.3">
      <c r="H817" s="32" t="s">
        <v>76</v>
      </c>
      <c r="I817" s="33" t="s">
        <v>10</v>
      </c>
      <c r="J817" s="34" t="s">
        <v>439</v>
      </c>
      <c r="K817" s="35" t="s">
        <v>0</v>
      </c>
      <c r="L817" s="33"/>
      <c r="M817" s="33"/>
      <c r="N817" s="36"/>
      <c r="O817" s="33">
        <v>3</v>
      </c>
      <c r="P817" s="33">
        <f>IF(Tabela1[[#This Row],[Status]]="✔️",Tabela1[[#This Row],[Peso]],IF(Tabela1[[#This Row],[Status]]="✔️✔️",Tabela1[[#This Row],[Peso]]/2,0))</f>
        <v>3</v>
      </c>
      <c r="Q81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17" s="33" t="s">
        <v>187</v>
      </c>
      <c r="S817" s="37" t="s">
        <v>132</v>
      </c>
    </row>
    <row r="818" spans="8:19" ht="41.4" x14ac:dyDescent="0.3">
      <c r="H818" s="32" t="s">
        <v>76</v>
      </c>
      <c r="I818" s="33" t="s">
        <v>10</v>
      </c>
      <c r="J818" s="34" t="s">
        <v>440</v>
      </c>
      <c r="K818" s="35" t="s">
        <v>0</v>
      </c>
      <c r="L818" s="33"/>
      <c r="M818" s="33"/>
      <c r="N818" s="36"/>
      <c r="O818" s="33">
        <v>3</v>
      </c>
      <c r="P818" s="33">
        <f>IF(Tabela1[[#This Row],[Status]]="✔️",Tabela1[[#This Row],[Peso]],IF(Tabela1[[#This Row],[Status]]="✔️✔️",Tabela1[[#This Row],[Peso]]/2,0))</f>
        <v>3</v>
      </c>
      <c r="Q81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18" s="33" t="s">
        <v>187</v>
      </c>
      <c r="S818" s="37" t="s">
        <v>132</v>
      </c>
    </row>
    <row r="819" spans="8:19" ht="41.4" x14ac:dyDescent="0.3">
      <c r="H819" s="32" t="s">
        <v>76</v>
      </c>
      <c r="I819" s="33" t="s">
        <v>12</v>
      </c>
      <c r="J819" s="34" t="s">
        <v>13</v>
      </c>
      <c r="K819" s="35" t="s">
        <v>290</v>
      </c>
      <c r="L819" s="33" t="s">
        <v>243</v>
      </c>
      <c r="M819" s="33">
        <v>5178</v>
      </c>
      <c r="N819" s="36"/>
      <c r="O819" s="33">
        <v>2</v>
      </c>
      <c r="P819" s="33">
        <f>IF(Tabela1[[#This Row],[Status]]="✔️",Tabela1[[#This Row],[Peso]],IF(Tabela1[[#This Row],[Status]]="✔️✔️",Tabela1[[#This Row],[Peso]]/2,0))</f>
        <v>0</v>
      </c>
      <c r="Q81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819" s="33" t="s">
        <v>187</v>
      </c>
      <c r="S819" s="37" t="s">
        <v>132</v>
      </c>
    </row>
    <row r="820" spans="8:19" ht="41.4" x14ac:dyDescent="0.3">
      <c r="H820" s="32" t="s">
        <v>76</v>
      </c>
      <c r="I820" s="33" t="s">
        <v>14</v>
      </c>
      <c r="J820" s="34" t="s">
        <v>15</v>
      </c>
      <c r="K820" s="35" t="s">
        <v>0</v>
      </c>
      <c r="L820" s="33"/>
      <c r="M820" s="33"/>
      <c r="N820" s="36"/>
      <c r="O820" s="33">
        <v>3</v>
      </c>
      <c r="P820" s="33">
        <f>IF(Tabela1[[#This Row],[Status]]="✔️",Tabela1[[#This Row],[Peso]],IF(Tabela1[[#This Row],[Status]]="✔️✔️",Tabela1[[#This Row],[Peso]]/2,0))</f>
        <v>3</v>
      </c>
      <c r="Q82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20" s="33" t="s">
        <v>187</v>
      </c>
      <c r="S820" s="37" t="s">
        <v>132</v>
      </c>
    </row>
    <row r="821" spans="8:19" ht="41.4" x14ac:dyDescent="0.3">
      <c r="H821" s="32" t="s">
        <v>76</v>
      </c>
      <c r="I821" s="33" t="s">
        <v>14</v>
      </c>
      <c r="J821" s="34" t="s">
        <v>16</v>
      </c>
      <c r="K821" s="35" t="s">
        <v>0</v>
      </c>
      <c r="L821" s="33"/>
      <c r="M821" s="33"/>
      <c r="N821" s="36"/>
      <c r="O821" s="33">
        <v>1</v>
      </c>
      <c r="P821" s="33">
        <f>IF(Tabela1[[#This Row],[Status]]="✔️",Tabela1[[#This Row],[Peso]],IF(Tabela1[[#This Row],[Status]]="✔️✔️",Tabela1[[#This Row],[Peso]]/2,0))</f>
        <v>1</v>
      </c>
      <c r="Q82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821" s="33" t="s">
        <v>187</v>
      </c>
      <c r="S821" s="37" t="s">
        <v>132</v>
      </c>
    </row>
    <row r="822" spans="8:19" ht="41.4" x14ac:dyDescent="0.3">
      <c r="H822" s="32" t="s">
        <v>76</v>
      </c>
      <c r="I822" s="33" t="s">
        <v>17</v>
      </c>
      <c r="J822" s="34" t="s">
        <v>18</v>
      </c>
      <c r="K822" s="35" t="s">
        <v>0</v>
      </c>
      <c r="L822" s="33"/>
      <c r="M822" s="33"/>
      <c r="N822" s="36"/>
      <c r="O822" s="33">
        <v>3</v>
      </c>
      <c r="P822" s="33">
        <f>IF(Tabela1[[#This Row],[Status]]="✔️",Tabela1[[#This Row],[Peso]],IF(Tabela1[[#This Row],[Status]]="✔️✔️",Tabela1[[#This Row],[Peso]]/2,0))</f>
        <v>3</v>
      </c>
      <c r="Q82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22" s="33" t="s">
        <v>187</v>
      </c>
      <c r="S822" s="37" t="s">
        <v>132</v>
      </c>
    </row>
    <row r="823" spans="8:19" ht="41.4" x14ac:dyDescent="0.3">
      <c r="H823" s="32" t="s">
        <v>76</v>
      </c>
      <c r="I823" s="33" t="s">
        <v>17</v>
      </c>
      <c r="J823" s="34" t="s">
        <v>19</v>
      </c>
      <c r="K823" s="35" t="s">
        <v>0</v>
      </c>
      <c r="L823" s="33"/>
      <c r="M823" s="33"/>
      <c r="N823" s="36"/>
      <c r="O823" s="33">
        <v>1</v>
      </c>
      <c r="P823" s="33">
        <f>IF(Tabela1[[#This Row],[Status]]="✔️",Tabela1[[#This Row],[Peso]],IF(Tabela1[[#This Row],[Status]]="✔️✔️",Tabela1[[#This Row],[Peso]]/2,0))</f>
        <v>1</v>
      </c>
      <c r="Q82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823" s="33" t="s">
        <v>187</v>
      </c>
      <c r="S823" s="37" t="s">
        <v>132</v>
      </c>
    </row>
    <row r="824" spans="8:19" ht="41.4" x14ac:dyDescent="0.3">
      <c r="H824" s="32" t="s">
        <v>76</v>
      </c>
      <c r="I824" s="33" t="s">
        <v>20</v>
      </c>
      <c r="J824" s="34" t="s">
        <v>21</v>
      </c>
      <c r="K824" s="35" t="s">
        <v>1</v>
      </c>
      <c r="L824" s="33"/>
      <c r="M824" s="33"/>
      <c r="N824" s="36"/>
      <c r="O824" s="33">
        <v>3</v>
      </c>
      <c r="P824" s="33">
        <f>IF(Tabela1[[#This Row],[Status]]="✔️",Tabela1[[#This Row],[Peso]],IF(Tabela1[[#This Row],[Status]]="✔️✔️",Tabela1[[#This Row],[Peso]]/2,0))</f>
        <v>0</v>
      </c>
      <c r="Q82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824" s="33" t="s">
        <v>187</v>
      </c>
      <c r="S824" s="37" t="s">
        <v>132</v>
      </c>
    </row>
    <row r="825" spans="8:19" ht="41.4" x14ac:dyDescent="0.3">
      <c r="H825" s="32" t="s">
        <v>76</v>
      </c>
      <c r="I825" s="33" t="s">
        <v>20</v>
      </c>
      <c r="J825" s="34" t="s">
        <v>441</v>
      </c>
      <c r="K825" s="35" t="s">
        <v>290</v>
      </c>
      <c r="L825" s="33" t="s">
        <v>244</v>
      </c>
      <c r="M825" s="33">
        <v>9524</v>
      </c>
      <c r="N825" s="36"/>
      <c r="O825" s="33">
        <v>1</v>
      </c>
      <c r="P825" s="33">
        <f>IF(Tabela1[[#This Row],[Status]]="✔️",Tabela1[[#This Row],[Peso]],IF(Tabela1[[#This Row],[Status]]="✔️✔️",Tabela1[[#This Row],[Peso]]/2,0))</f>
        <v>0</v>
      </c>
      <c r="Q82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825" s="33" t="s">
        <v>187</v>
      </c>
      <c r="S825" s="37" t="s">
        <v>132</v>
      </c>
    </row>
    <row r="826" spans="8:19" ht="41.4" x14ac:dyDescent="0.3">
      <c r="H826" s="32" t="s">
        <v>76</v>
      </c>
      <c r="I826" s="33" t="s">
        <v>25</v>
      </c>
      <c r="J826" s="34" t="s">
        <v>28</v>
      </c>
      <c r="K826" s="35" t="s">
        <v>290</v>
      </c>
      <c r="L826" s="33" t="s">
        <v>242</v>
      </c>
      <c r="M826" s="33">
        <v>3445</v>
      </c>
      <c r="N826" s="36"/>
      <c r="O826" s="33">
        <v>3</v>
      </c>
      <c r="P826" s="33">
        <f>IF(Tabela1[[#This Row],[Status]]="✔️",Tabela1[[#This Row],[Peso]],IF(Tabela1[[#This Row],[Status]]="✔️✔️",Tabela1[[#This Row],[Peso]]/2,0))</f>
        <v>0</v>
      </c>
      <c r="Q82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26" s="33" t="s">
        <v>187</v>
      </c>
      <c r="S826" s="37" t="s">
        <v>132</v>
      </c>
    </row>
    <row r="827" spans="8:19" ht="41.4" x14ac:dyDescent="0.3">
      <c r="H827" s="32" t="s">
        <v>76</v>
      </c>
      <c r="I827" s="33" t="s">
        <v>25</v>
      </c>
      <c r="J827" s="34" t="s">
        <v>29</v>
      </c>
      <c r="K827" s="35" t="s">
        <v>0</v>
      </c>
      <c r="L827" s="33"/>
      <c r="M827" s="33"/>
      <c r="N827" s="36"/>
      <c r="O827" s="33">
        <v>3</v>
      </c>
      <c r="P827" s="33">
        <f>IF(Tabela1[[#This Row],[Status]]="✔️",Tabela1[[#This Row],[Peso]],IF(Tabela1[[#This Row],[Status]]="✔️✔️",Tabela1[[#This Row],[Peso]]/2,0))</f>
        <v>3</v>
      </c>
      <c r="Q82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27" s="33" t="s">
        <v>187</v>
      </c>
      <c r="S827" s="37" t="s">
        <v>132</v>
      </c>
    </row>
    <row r="828" spans="8:19" ht="41.4" x14ac:dyDescent="0.3">
      <c r="H828" s="32" t="s">
        <v>76</v>
      </c>
      <c r="I828" s="33" t="s">
        <v>25</v>
      </c>
      <c r="J828" s="34" t="s">
        <v>449</v>
      </c>
      <c r="K828" s="35" t="s">
        <v>0</v>
      </c>
      <c r="L828" s="33"/>
      <c r="M828" s="33"/>
      <c r="N828" s="36"/>
      <c r="O828" s="33">
        <v>3</v>
      </c>
      <c r="P828" s="33">
        <f>IF(Tabela1[[#This Row],[Status]]="✔️",Tabela1[[#This Row],[Peso]],IF(Tabela1[[#This Row],[Status]]="✔️✔️",Tabela1[[#This Row],[Peso]]/2,0))</f>
        <v>3</v>
      </c>
      <c r="Q82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28" s="33" t="s">
        <v>187</v>
      </c>
      <c r="S828" s="37" t="s">
        <v>132</v>
      </c>
    </row>
    <row r="829" spans="8:19" ht="41.4" x14ac:dyDescent="0.3">
      <c r="H829" s="32" t="s">
        <v>76</v>
      </c>
      <c r="I829" s="33" t="s">
        <v>41</v>
      </c>
      <c r="J829" s="34" t="s">
        <v>442</v>
      </c>
      <c r="K829" s="35" t="s">
        <v>290</v>
      </c>
      <c r="L829" s="33" t="s">
        <v>236</v>
      </c>
      <c r="M829" s="33">
        <v>9106</v>
      </c>
      <c r="N829" s="36"/>
      <c r="O829" s="33">
        <v>3</v>
      </c>
      <c r="P829" s="33">
        <f>IF(Tabela1[[#This Row],[Status]]="✔️",Tabela1[[#This Row],[Peso]],IF(Tabela1[[#This Row],[Status]]="✔️✔️",Tabela1[[#This Row],[Peso]]/2,0))</f>
        <v>0</v>
      </c>
      <c r="Q82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29" s="33" t="s">
        <v>187</v>
      </c>
      <c r="S829" s="37" t="s">
        <v>132</v>
      </c>
    </row>
    <row r="830" spans="8:19" ht="41.4" x14ac:dyDescent="0.3">
      <c r="H830" s="32" t="s">
        <v>76</v>
      </c>
      <c r="I830" s="33" t="s">
        <v>41</v>
      </c>
      <c r="J830" s="34" t="s">
        <v>443</v>
      </c>
      <c r="K830" s="35" t="s">
        <v>290</v>
      </c>
      <c r="L830" s="33" t="s">
        <v>236</v>
      </c>
      <c r="M830" s="33">
        <v>9106</v>
      </c>
      <c r="N830" s="36"/>
      <c r="O830" s="33">
        <v>2</v>
      </c>
      <c r="P830" s="33">
        <f>IF(Tabela1[[#This Row],[Status]]="✔️",Tabela1[[#This Row],[Peso]],IF(Tabela1[[#This Row],[Status]]="✔️✔️",Tabela1[[#This Row],[Peso]]/2,0))</f>
        <v>0</v>
      </c>
      <c r="Q830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830" s="33" t="s">
        <v>187</v>
      </c>
      <c r="S830" s="37" t="s">
        <v>132</v>
      </c>
    </row>
    <row r="831" spans="8:19" ht="41.4" x14ac:dyDescent="0.3">
      <c r="H831" s="32" t="s">
        <v>76</v>
      </c>
      <c r="I831" s="33" t="s">
        <v>10</v>
      </c>
      <c r="J831" s="34" t="s">
        <v>444</v>
      </c>
      <c r="K831" s="35" t="s">
        <v>290</v>
      </c>
      <c r="L831" s="33" t="s">
        <v>238</v>
      </c>
      <c r="M831" s="33">
        <v>8967</v>
      </c>
      <c r="N831" s="36"/>
      <c r="O831" s="33">
        <v>3</v>
      </c>
      <c r="P831" s="33">
        <f>IF(Tabela1[[#This Row],[Status]]="✔️",Tabela1[[#This Row],[Peso]],IF(Tabela1[[#This Row],[Status]]="✔️✔️",Tabela1[[#This Row],[Peso]]/2,0))</f>
        <v>0</v>
      </c>
      <c r="Q83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31" s="33" t="s">
        <v>187</v>
      </c>
      <c r="S831" s="37" t="s">
        <v>132</v>
      </c>
    </row>
    <row r="832" spans="8:19" ht="27.6" x14ac:dyDescent="0.3">
      <c r="H832" s="32" t="s">
        <v>76</v>
      </c>
      <c r="I832" s="33" t="s">
        <v>14</v>
      </c>
      <c r="J832" s="34" t="s">
        <v>15</v>
      </c>
      <c r="K832" s="35" t="s">
        <v>290</v>
      </c>
      <c r="L832" s="33"/>
      <c r="M832" s="33"/>
      <c r="N832" s="36"/>
      <c r="O832" s="33">
        <v>3</v>
      </c>
      <c r="P832" s="33">
        <f>IF(Tabela1[[#This Row],[Status]]="✔️",Tabela1[[#This Row],[Peso]],IF(Tabela1[[#This Row],[Status]]="✔️✔️",Tabela1[[#This Row],[Peso]]/2,0))</f>
        <v>0</v>
      </c>
      <c r="Q83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32" s="33" t="s">
        <v>264</v>
      </c>
      <c r="S832" s="37" t="s">
        <v>263</v>
      </c>
    </row>
    <row r="833" spans="8:19" ht="27.6" x14ac:dyDescent="0.3">
      <c r="H833" s="32" t="s">
        <v>76</v>
      </c>
      <c r="I833" s="33" t="s">
        <v>14</v>
      </c>
      <c r="J833" s="34" t="s">
        <v>16</v>
      </c>
      <c r="K833" s="35" t="s">
        <v>0</v>
      </c>
      <c r="L833" s="33"/>
      <c r="M833" s="33"/>
      <c r="N833" s="36"/>
      <c r="O833" s="33">
        <v>1</v>
      </c>
      <c r="P833" s="33">
        <f>IF(Tabela1[[#This Row],[Status]]="✔️",Tabela1[[#This Row],[Peso]],IF(Tabela1[[#This Row],[Status]]="✔️✔️",Tabela1[[#This Row],[Peso]]/2,0))</f>
        <v>1</v>
      </c>
      <c r="Q83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833" s="33" t="s">
        <v>264</v>
      </c>
      <c r="S833" s="37" t="s">
        <v>263</v>
      </c>
    </row>
    <row r="834" spans="8:19" ht="27.6" x14ac:dyDescent="0.3">
      <c r="H834" s="32" t="s">
        <v>76</v>
      </c>
      <c r="I834" s="33" t="s">
        <v>10</v>
      </c>
      <c r="J834" s="34" t="s">
        <v>11</v>
      </c>
      <c r="K834" s="35" t="s">
        <v>290</v>
      </c>
      <c r="L834" s="33"/>
      <c r="M834" s="33"/>
      <c r="N834" s="36"/>
      <c r="O834" s="33">
        <v>3</v>
      </c>
      <c r="P834" s="33">
        <f>IF(Tabela1[[#This Row],[Status]]="✔️",Tabela1[[#This Row],[Peso]],IF(Tabela1[[#This Row],[Status]]="✔️✔️",Tabela1[[#This Row],[Peso]]/2,0))</f>
        <v>0</v>
      </c>
      <c r="Q83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34" s="33" t="s">
        <v>264</v>
      </c>
      <c r="S834" s="37" t="s">
        <v>263</v>
      </c>
    </row>
    <row r="835" spans="8:19" ht="27.6" x14ac:dyDescent="0.3">
      <c r="H835" s="32" t="s">
        <v>76</v>
      </c>
      <c r="I835" s="33" t="s">
        <v>10</v>
      </c>
      <c r="J835" s="34" t="s">
        <v>316</v>
      </c>
      <c r="K835" s="35" t="s">
        <v>290</v>
      </c>
      <c r="L835" s="33"/>
      <c r="M835" s="33"/>
      <c r="N835" s="36"/>
      <c r="O835" s="33">
        <v>3</v>
      </c>
      <c r="P835" s="33">
        <f>IF(Tabela1[[#This Row],[Status]]="✔️",Tabela1[[#This Row],[Peso]],IF(Tabela1[[#This Row],[Status]]="✔️✔️",Tabela1[[#This Row],[Peso]]/2,0))</f>
        <v>0</v>
      </c>
      <c r="Q83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35" s="33" t="s">
        <v>264</v>
      </c>
      <c r="S835" s="37" t="s">
        <v>263</v>
      </c>
    </row>
    <row r="836" spans="8:19" ht="27.6" x14ac:dyDescent="0.3">
      <c r="H836" s="32" t="s">
        <v>76</v>
      </c>
      <c r="I836" s="33" t="s">
        <v>10</v>
      </c>
      <c r="J836" s="34" t="s">
        <v>450</v>
      </c>
      <c r="K836" s="35" t="s">
        <v>1</v>
      </c>
      <c r="L836" s="33"/>
      <c r="M836" s="33"/>
      <c r="N836" s="36"/>
      <c r="O836" s="33">
        <v>3</v>
      </c>
      <c r="P836" s="33">
        <f>IF(Tabela1[[#This Row],[Status]]="✔️",Tabela1[[#This Row],[Peso]],IF(Tabela1[[#This Row],[Status]]="✔️✔️",Tabela1[[#This Row],[Peso]]/2,0))</f>
        <v>0</v>
      </c>
      <c r="Q83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836" s="33" t="s">
        <v>264</v>
      </c>
      <c r="S836" s="37" t="s">
        <v>263</v>
      </c>
    </row>
    <row r="837" spans="8:19" ht="27.6" x14ac:dyDescent="0.3">
      <c r="H837" s="32" t="s">
        <v>76</v>
      </c>
      <c r="I837" s="33" t="s">
        <v>10</v>
      </c>
      <c r="J837" s="34" t="s">
        <v>451</v>
      </c>
      <c r="K837" s="35" t="s">
        <v>1</v>
      </c>
      <c r="L837" s="33"/>
      <c r="M837" s="33"/>
      <c r="N837" s="36"/>
      <c r="O837" s="33">
        <v>3</v>
      </c>
      <c r="P837" s="33">
        <f>IF(Tabela1[[#This Row],[Status]]="✔️",Tabela1[[#This Row],[Peso]],IF(Tabela1[[#This Row],[Status]]="✔️✔️",Tabela1[[#This Row],[Peso]]/2,0))</f>
        <v>0</v>
      </c>
      <c r="Q83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837" s="33" t="s">
        <v>264</v>
      </c>
      <c r="S837" s="37" t="s">
        <v>263</v>
      </c>
    </row>
    <row r="838" spans="8:19" ht="27.6" x14ac:dyDescent="0.3">
      <c r="H838" s="32" t="s">
        <v>76</v>
      </c>
      <c r="I838" s="33" t="s">
        <v>12</v>
      </c>
      <c r="J838" s="34" t="s">
        <v>13</v>
      </c>
      <c r="K838" s="35" t="s">
        <v>290</v>
      </c>
      <c r="L838" s="33"/>
      <c r="M838" s="33"/>
      <c r="N838" s="36"/>
      <c r="O838" s="33">
        <v>2</v>
      </c>
      <c r="P838" s="33">
        <f>IF(Tabela1[[#This Row],[Status]]="✔️",Tabela1[[#This Row],[Peso]],IF(Tabela1[[#This Row],[Status]]="✔️✔️",Tabela1[[#This Row],[Peso]]/2,0))</f>
        <v>0</v>
      </c>
      <c r="Q838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838" s="33" t="s">
        <v>264</v>
      </c>
      <c r="S838" s="37" t="s">
        <v>263</v>
      </c>
    </row>
    <row r="839" spans="8:19" ht="27.6" x14ac:dyDescent="0.3">
      <c r="H839" s="32" t="s">
        <v>76</v>
      </c>
      <c r="I839" s="33" t="s">
        <v>17</v>
      </c>
      <c r="J839" s="34" t="s">
        <v>18</v>
      </c>
      <c r="K839" s="35" t="s">
        <v>0</v>
      </c>
      <c r="L839" s="33"/>
      <c r="M839" s="33"/>
      <c r="N839" s="36"/>
      <c r="O839" s="33">
        <v>3</v>
      </c>
      <c r="P839" s="33">
        <f>IF(Tabela1[[#This Row],[Status]]="✔️",Tabela1[[#This Row],[Peso]],IF(Tabela1[[#This Row],[Status]]="✔️✔️",Tabela1[[#This Row],[Peso]]/2,0))</f>
        <v>3</v>
      </c>
      <c r="Q83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39" s="33" t="s">
        <v>264</v>
      </c>
      <c r="S839" s="37" t="s">
        <v>263</v>
      </c>
    </row>
    <row r="840" spans="8:19" ht="27.6" x14ac:dyDescent="0.3">
      <c r="H840" s="32" t="s">
        <v>76</v>
      </c>
      <c r="I840" s="33" t="s">
        <v>17</v>
      </c>
      <c r="J840" s="34" t="s">
        <v>19</v>
      </c>
      <c r="K840" s="35" t="s">
        <v>0</v>
      </c>
      <c r="L840" s="33"/>
      <c r="M840" s="33"/>
      <c r="N840" s="36"/>
      <c r="O840" s="33">
        <v>1</v>
      </c>
      <c r="P840" s="33">
        <f>IF(Tabela1[[#This Row],[Status]]="✔️",Tabela1[[#This Row],[Peso]],IF(Tabela1[[#This Row],[Status]]="✔️✔️",Tabela1[[#This Row],[Peso]]/2,0))</f>
        <v>1</v>
      </c>
      <c r="Q84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840" s="33" t="s">
        <v>264</v>
      </c>
      <c r="S840" s="37" t="s">
        <v>263</v>
      </c>
    </row>
    <row r="841" spans="8:19" ht="27.6" x14ac:dyDescent="0.3">
      <c r="H841" s="32" t="s">
        <v>76</v>
      </c>
      <c r="I841" s="33" t="s">
        <v>20</v>
      </c>
      <c r="J841" s="34" t="s">
        <v>21</v>
      </c>
      <c r="K841" s="35" t="s">
        <v>1</v>
      </c>
      <c r="L841" s="33"/>
      <c r="M841" s="33"/>
      <c r="N841" s="36"/>
      <c r="O841" s="33">
        <v>3</v>
      </c>
      <c r="P841" s="33">
        <f>IF(Tabela1[[#This Row],[Status]]="✔️",Tabela1[[#This Row],[Peso]],IF(Tabela1[[#This Row],[Status]]="✔️✔️",Tabela1[[#This Row],[Peso]]/2,0))</f>
        <v>0</v>
      </c>
      <c r="Q84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841" s="33" t="s">
        <v>264</v>
      </c>
      <c r="S841" s="37" t="s">
        <v>263</v>
      </c>
    </row>
    <row r="842" spans="8:19" ht="27.6" x14ac:dyDescent="0.3">
      <c r="H842" s="32" t="s">
        <v>76</v>
      </c>
      <c r="I842" s="33" t="s">
        <v>20</v>
      </c>
      <c r="J842" s="34" t="s">
        <v>452</v>
      </c>
      <c r="K842" s="35" t="s">
        <v>290</v>
      </c>
      <c r="L842" s="33"/>
      <c r="M842" s="33"/>
      <c r="N842" s="36"/>
      <c r="O842" s="33">
        <v>1</v>
      </c>
      <c r="P842" s="33">
        <f>IF(Tabela1[[#This Row],[Status]]="✔️",Tabela1[[#This Row],[Peso]],IF(Tabela1[[#This Row],[Status]]="✔️✔️",Tabela1[[#This Row],[Peso]]/2,0))</f>
        <v>0</v>
      </c>
      <c r="Q84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842" s="33" t="s">
        <v>264</v>
      </c>
      <c r="S842" s="37" t="s">
        <v>263</v>
      </c>
    </row>
    <row r="843" spans="8:19" ht="27.6" x14ac:dyDescent="0.3">
      <c r="H843" s="32" t="s">
        <v>76</v>
      </c>
      <c r="I843" s="33" t="s">
        <v>22</v>
      </c>
      <c r="J843" s="34" t="s">
        <v>23</v>
      </c>
      <c r="K843" s="35" t="s">
        <v>290</v>
      </c>
      <c r="L843" s="33"/>
      <c r="M843" s="33"/>
      <c r="N843" s="36"/>
      <c r="O843" s="33">
        <v>1</v>
      </c>
      <c r="P843" s="33">
        <f>IF(Tabela1[[#This Row],[Status]]="✔️",Tabela1[[#This Row],[Peso]],IF(Tabela1[[#This Row],[Status]]="✔️✔️",Tabela1[[#This Row],[Peso]]/2,0))</f>
        <v>0</v>
      </c>
      <c r="Q84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843" s="33" t="s">
        <v>264</v>
      </c>
      <c r="S843" s="37" t="s">
        <v>263</v>
      </c>
    </row>
    <row r="844" spans="8:19" ht="27.6" x14ac:dyDescent="0.3">
      <c r="H844" s="32" t="s">
        <v>76</v>
      </c>
      <c r="I844" s="33" t="s">
        <v>22</v>
      </c>
      <c r="J844" s="34" t="s">
        <v>453</v>
      </c>
      <c r="K844" s="35" t="s">
        <v>1</v>
      </c>
      <c r="L844" s="33"/>
      <c r="M844" s="33"/>
      <c r="N844" s="36"/>
      <c r="O844" s="33">
        <v>1</v>
      </c>
      <c r="P844" s="33">
        <f>IF(Tabela1[[#This Row],[Status]]="✔️",Tabela1[[#This Row],[Peso]],IF(Tabela1[[#This Row],[Status]]="✔️✔️",Tabela1[[#This Row],[Peso]]/2,0))</f>
        <v>0</v>
      </c>
      <c r="Q84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844" s="33" t="s">
        <v>264</v>
      </c>
      <c r="S844" s="37" t="s">
        <v>263</v>
      </c>
    </row>
    <row r="845" spans="8:19" ht="27.6" x14ac:dyDescent="0.3">
      <c r="H845" s="32" t="s">
        <v>76</v>
      </c>
      <c r="I845" s="33" t="s">
        <v>25</v>
      </c>
      <c r="J845" s="34" t="s">
        <v>454</v>
      </c>
      <c r="K845" s="35" t="s">
        <v>290</v>
      </c>
      <c r="L845" s="33"/>
      <c r="M845" s="33"/>
      <c r="N845" s="36"/>
      <c r="O845" s="33">
        <v>3</v>
      </c>
      <c r="P845" s="33">
        <f>IF(Tabela1[[#This Row],[Status]]="✔️",Tabela1[[#This Row],[Peso]],IF(Tabela1[[#This Row],[Status]]="✔️✔️",Tabela1[[#This Row],[Peso]]/2,0))</f>
        <v>0</v>
      </c>
      <c r="Q84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45" s="33" t="s">
        <v>264</v>
      </c>
      <c r="S845" s="37" t="s">
        <v>263</v>
      </c>
    </row>
    <row r="846" spans="8:19" ht="27.6" x14ac:dyDescent="0.3">
      <c r="H846" s="32" t="s">
        <v>76</v>
      </c>
      <c r="I846" s="33" t="s">
        <v>25</v>
      </c>
      <c r="J846" s="34" t="s">
        <v>340</v>
      </c>
      <c r="K846" s="35" t="s">
        <v>0</v>
      </c>
      <c r="L846" s="33"/>
      <c r="M846" s="33"/>
      <c r="N846" s="36"/>
      <c r="O846" s="33">
        <v>3</v>
      </c>
      <c r="P846" s="33">
        <f>IF(Tabela1[[#This Row],[Status]]="✔️",Tabela1[[#This Row],[Peso]],IF(Tabela1[[#This Row],[Status]]="✔️✔️",Tabela1[[#This Row],[Peso]]/2,0))</f>
        <v>3</v>
      </c>
      <c r="Q84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46" s="33" t="s">
        <v>264</v>
      </c>
      <c r="S846" s="37" t="s">
        <v>263</v>
      </c>
    </row>
    <row r="847" spans="8:19" ht="27.6" x14ac:dyDescent="0.3">
      <c r="H847" s="32" t="s">
        <v>76</v>
      </c>
      <c r="I847" s="33" t="s">
        <v>30</v>
      </c>
      <c r="J847" s="34" t="s">
        <v>455</v>
      </c>
      <c r="K847" s="35" t="s">
        <v>0</v>
      </c>
      <c r="L847" s="33"/>
      <c r="M847" s="33"/>
      <c r="N847" s="36"/>
      <c r="O847" s="33">
        <v>3</v>
      </c>
      <c r="P847" s="33">
        <f>IF(Tabela1[[#This Row],[Status]]="✔️",Tabela1[[#This Row],[Peso]],IF(Tabela1[[#This Row],[Status]]="✔️✔️",Tabela1[[#This Row],[Peso]]/2,0))</f>
        <v>3</v>
      </c>
      <c r="Q84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47" s="33" t="s">
        <v>264</v>
      </c>
      <c r="S847" s="37" t="s">
        <v>263</v>
      </c>
    </row>
    <row r="848" spans="8:19" ht="27.6" x14ac:dyDescent="0.3">
      <c r="H848" s="32" t="s">
        <v>76</v>
      </c>
      <c r="I848" s="33" t="s">
        <v>25</v>
      </c>
      <c r="J848" s="34" t="s">
        <v>456</v>
      </c>
      <c r="K848" s="35" t="s">
        <v>290</v>
      </c>
      <c r="L848" s="33"/>
      <c r="M848" s="33"/>
      <c r="N848" s="36"/>
      <c r="O848" s="33">
        <v>3</v>
      </c>
      <c r="P848" s="33">
        <f>IF(Tabela1[[#This Row],[Status]]="✔️",Tabela1[[#This Row],[Peso]],IF(Tabela1[[#This Row],[Status]]="✔️✔️",Tabela1[[#This Row],[Peso]]/2,0))</f>
        <v>0</v>
      </c>
      <c r="Q84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48" s="33" t="s">
        <v>264</v>
      </c>
      <c r="S848" s="37" t="s">
        <v>263</v>
      </c>
    </row>
    <row r="849" spans="8:19" ht="41.4" x14ac:dyDescent="0.3">
      <c r="H849" s="32" t="s">
        <v>76</v>
      </c>
      <c r="I849" s="33" t="s">
        <v>41</v>
      </c>
      <c r="J849" s="34" t="s">
        <v>457</v>
      </c>
      <c r="K849" s="35" t="s">
        <v>1</v>
      </c>
      <c r="L849" s="33"/>
      <c r="M849" s="33"/>
      <c r="N849" s="36"/>
      <c r="O849" s="33">
        <v>3</v>
      </c>
      <c r="P849" s="33">
        <f>IF(Tabela1[[#This Row],[Status]]="✔️",Tabela1[[#This Row],[Peso]],IF(Tabela1[[#This Row],[Status]]="✔️✔️",Tabela1[[#This Row],[Peso]]/2,0))</f>
        <v>0</v>
      </c>
      <c r="Q84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849" s="33" t="s">
        <v>264</v>
      </c>
      <c r="S849" s="37" t="s">
        <v>263</v>
      </c>
    </row>
    <row r="850" spans="8:19" ht="41.4" x14ac:dyDescent="0.3">
      <c r="H850" s="32" t="s">
        <v>76</v>
      </c>
      <c r="I850" s="33" t="s">
        <v>41</v>
      </c>
      <c r="J850" s="34" t="s">
        <v>458</v>
      </c>
      <c r="K850" s="35" t="s">
        <v>1</v>
      </c>
      <c r="L850" s="33"/>
      <c r="M850" s="33"/>
      <c r="N850" s="36"/>
      <c r="O850" s="33">
        <v>2</v>
      </c>
      <c r="P850" s="33">
        <f>IF(Tabela1[[#This Row],[Status]]="✔️",Tabela1[[#This Row],[Peso]],IF(Tabela1[[#This Row],[Status]]="✔️✔️",Tabela1[[#This Row],[Peso]]/2,0))</f>
        <v>0</v>
      </c>
      <c r="Q85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850" s="33" t="s">
        <v>264</v>
      </c>
      <c r="S850" s="37" t="s">
        <v>263</v>
      </c>
    </row>
    <row r="851" spans="8:19" ht="27.6" x14ac:dyDescent="0.3">
      <c r="H851" s="32" t="s">
        <v>51</v>
      </c>
      <c r="I851" s="33" t="s">
        <v>30</v>
      </c>
      <c r="J851" s="34" t="s">
        <v>438</v>
      </c>
      <c r="K851" s="35" t="s">
        <v>290</v>
      </c>
      <c r="L851" s="33" t="s">
        <v>96</v>
      </c>
      <c r="M851" s="33">
        <v>6226</v>
      </c>
      <c r="N851" s="36"/>
      <c r="O851" s="33">
        <v>3</v>
      </c>
      <c r="P851" s="33">
        <f>IF(Tabela1[[#This Row],[Status]]="✔️",Tabela1[[#This Row],[Peso]],IF(Tabela1[[#This Row],[Status]]="✔️✔️",Tabela1[[#This Row],[Peso]]/2,0))</f>
        <v>0</v>
      </c>
      <c r="Q85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51" s="33" t="s">
        <v>127</v>
      </c>
      <c r="S851" s="37" t="s">
        <v>128</v>
      </c>
    </row>
    <row r="852" spans="8:19" ht="27.6" x14ac:dyDescent="0.3">
      <c r="H852" s="32" t="s">
        <v>51</v>
      </c>
      <c r="I852" s="33" t="s">
        <v>10</v>
      </c>
      <c r="J852" s="34" t="s">
        <v>11</v>
      </c>
      <c r="K852" s="35" t="s">
        <v>0</v>
      </c>
      <c r="L852" s="33"/>
      <c r="M852" s="33"/>
      <c r="N852" s="36"/>
      <c r="O852" s="33">
        <v>3</v>
      </c>
      <c r="P852" s="33">
        <f>IF(Tabela1[[#This Row],[Status]]="✔️",Tabela1[[#This Row],[Peso]],IF(Tabela1[[#This Row],[Status]]="✔️✔️",Tabela1[[#This Row],[Peso]]/2,0))</f>
        <v>3</v>
      </c>
      <c r="Q85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52" s="33" t="s">
        <v>127</v>
      </c>
      <c r="S852" s="37" t="s">
        <v>128</v>
      </c>
    </row>
    <row r="853" spans="8:19" ht="27.6" x14ac:dyDescent="0.3">
      <c r="H853" s="32" t="s">
        <v>51</v>
      </c>
      <c r="I853" s="33" t="s">
        <v>10</v>
      </c>
      <c r="J853" s="34" t="s">
        <v>439</v>
      </c>
      <c r="K853" s="35" t="s">
        <v>0</v>
      </c>
      <c r="L853" s="33"/>
      <c r="M853" s="33"/>
      <c r="N853" s="36"/>
      <c r="O853" s="33">
        <v>3</v>
      </c>
      <c r="P853" s="33">
        <f>IF(Tabela1[[#This Row],[Status]]="✔️",Tabela1[[#This Row],[Peso]],IF(Tabela1[[#This Row],[Status]]="✔️✔️",Tabela1[[#This Row],[Peso]]/2,0))</f>
        <v>3</v>
      </c>
      <c r="Q85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53" s="33" t="s">
        <v>127</v>
      </c>
      <c r="S853" s="37" t="s">
        <v>128</v>
      </c>
    </row>
    <row r="854" spans="8:19" ht="27.6" x14ac:dyDescent="0.3">
      <c r="H854" s="32" t="s">
        <v>51</v>
      </c>
      <c r="I854" s="33" t="s">
        <v>10</v>
      </c>
      <c r="J854" s="34" t="s">
        <v>440</v>
      </c>
      <c r="K854" s="35" t="s">
        <v>0</v>
      </c>
      <c r="L854" s="33"/>
      <c r="M854" s="33"/>
      <c r="N854" s="36"/>
      <c r="O854" s="33">
        <v>3</v>
      </c>
      <c r="P854" s="33">
        <f>IF(Tabela1[[#This Row],[Status]]="✔️",Tabela1[[#This Row],[Peso]],IF(Tabela1[[#This Row],[Status]]="✔️✔️",Tabela1[[#This Row],[Peso]]/2,0))</f>
        <v>3</v>
      </c>
      <c r="Q85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54" s="33" t="s">
        <v>127</v>
      </c>
      <c r="S854" s="37" t="s">
        <v>128</v>
      </c>
    </row>
    <row r="855" spans="8:19" ht="27.6" x14ac:dyDescent="0.3">
      <c r="H855" s="32" t="s">
        <v>51</v>
      </c>
      <c r="I855" s="33" t="s">
        <v>12</v>
      </c>
      <c r="J855" s="34" t="s">
        <v>13</v>
      </c>
      <c r="K855" s="35" t="s">
        <v>290</v>
      </c>
      <c r="L855" s="33" t="s">
        <v>65</v>
      </c>
      <c r="M855" s="33">
        <v>2955</v>
      </c>
      <c r="N855" s="36"/>
      <c r="O855" s="33">
        <v>2</v>
      </c>
      <c r="P855" s="33">
        <f>IF(Tabela1[[#This Row],[Status]]="✔️",Tabela1[[#This Row],[Peso]],IF(Tabela1[[#This Row],[Status]]="✔️✔️",Tabela1[[#This Row],[Peso]]/2,0))</f>
        <v>0</v>
      </c>
      <c r="Q855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855" s="33" t="s">
        <v>127</v>
      </c>
      <c r="S855" s="37" t="s">
        <v>128</v>
      </c>
    </row>
    <row r="856" spans="8:19" ht="27.6" x14ac:dyDescent="0.3">
      <c r="H856" s="32" t="s">
        <v>51</v>
      </c>
      <c r="I856" s="33" t="s">
        <v>14</v>
      </c>
      <c r="J856" s="34" t="s">
        <v>15</v>
      </c>
      <c r="K856" s="35" t="s">
        <v>290</v>
      </c>
      <c r="L856" s="33" t="s">
        <v>98</v>
      </c>
      <c r="M856" s="33">
        <v>8747</v>
      </c>
      <c r="N856" s="36"/>
      <c r="O856" s="33">
        <v>3</v>
      </c>
      <c r="P856" s="33">
        <f>IF(Tabela1[[#This Row],[Status]]="✔️",Tabela1[[#This Row],[Peso]],IF(Tabela1[[#This Row],[Status]]="✔️✔️",Tabela1[[#This Row],[Peso]]/2,0))</f>
        <v>0</v>
      </c>
      <c r="Q85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56" s="33" t="s">
        <v>127</v>
      </c>
      <c r="S856" s="37" t="s">
        <v>128</v>
      </c>
    </row>
    <row r="857" spans="8:19" ht="27.6" x14ac:dyDescent="0.3">
      <c r="H857" s="32" t="s">
        <v>51</v>
      </c>
      <c r="I857" s="33" t="s">
        <v>14</v>
      </c>
      <c r="J857" s="34" t="s">
        <v>16</v>
      </c>
      <c r="K857" s="35" t="s">
        <v>290</v>
      </c>
      <c r="L857" s="33" t="s">
        <v>99</v>
      </c>
      <c r="M857" s="33">
        <v>8747</v>
      </c>
      <c r="N857" s="36"/>
      <c r="O857" s="33">
        <v>1</v>
      </c>
      <c r="P857" s="33">
        <f>IF(Tabela1[[#This Row],[Status]]="✔️",Tabela1[[#This Row],[Peso]],IF(Tabela1[[#This Row],[Status]]="✔️✔️",Tabela1[[#This Row],[Peso]]/2,0))</f>
        <v>0</v>
      </c>
      <c r="Q85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857" s="33" t="s">
        <v>127</v>
      </c>
      <c r="S857" s="37" t="s">
        <v>128</v>
      </c>
    </row>
    <row r="858" spans="8:19" ht="27.6" x14ac:dyDescent="0.3">
      <c r="H858" s="32" t="s">
        <v>51</v>
      </c>
      <c r="I858" s="33" t="s">
        <v>17</v>
      </c>
      <c r="J858" s="34" t="s">
        <v>18</v>
      </c>
      <c r="K858" s="35" t="s">
        <v>0</v>
      </c>
      <c r="L858" s="33"/>
      <c r="M858" s="33"/>
      <c r="N858" s="36"/>
      <c r="O858" s="33">
        <v>3</v>
      </c>
      <c r="P858" s="33">
        <f>IF(Tabela1[[#This Row],[Status]]="✔️",Tabela1[[#This Row],[Peso]],IF(Tabela1[[#This Row],[Status]]="✔️✔️",Tabela1[[#This Row],[Peso]]/2,0))</f>
        <v>3</v>
      </c>
      <c r="Q85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58" s="33" t="s">
        <v>127</v>
      </c>
      <c r="S858" s="37" t="s">
        <v>128</v>
      </c>
    </row>
    <row r="859" spans="8:19" ht="27.6" x14ac:dyDescent="0.3">
      <c r="H859" s="32" t="s">
        <v>51</v>
      </c>
      <c r="I859" s="33" t="s">
        <v>17</v>
      </c>
      <c r="J859" s="34" t="s">
        <v>19</v>
      </c>
      <c r="K859" s="35" t="s">
        <v>0</v>
      </c>
      <c r="L859" s="33"/>
      <c r="M859" s="33"/>
      <c r="N859" s="36"/>
      <c r="O859" s="33">
        <v>3</v>
      </c>
      <c r="P859" s="33">
        <f>IF(Tabela1[[#This Row],[Status]]="✔️",Tabela1[[#This Row],[Peso]],IF(Tabela1[[#This Row],[Status]]="✔️✔️",Tabela1[[#This Row],[Peso]]/2,0))</f>
        <v>3</v>
      </c>
      <c r="Q85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59" s="33" t="s">
        <v>127</v>
      </c>
      <c r="S859" s="37" t="s">
        <v>128</v>
      </c>
    </row>
    <row r="860" spans="8:19" ht="27.6" x14ac:dyDescent="0.3">
      <c r="H860" s="32" t="s">
        <v>51</v>
      </c>
      <c r="I860" s="33" t="s">
        <v>20</v>
      </c>
      <c r="J860" s="34" t="s">
        <v>21</v>
      </c>
      <c r="K860" s="35" t="s">
        <v>290</v>
      </c>
      <c r="L860" s="33" t="s">
        <v>114</v>
      </c>
      <c r="M860" s="33">
        <v>3234</v>
      </c>
      <c r="N860" s="36"/>
      <c r="O860" s="33">
        <v>3</v>
      </c>
      <c r="P860" s="33">
        <f>IF(Tabela1[[#This Row],[Status]]="✔️",Tabela1[[#This Row],[Peso]],IF(Tabela1[[#This Row],[Status]]="✔️✔️",Tabela1[[#This Row],[Peso]]/2,0))</f>
        <v>0</v>
      </c>
      <c r="Q86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60" s="33" t="s">
        <v>127</v>
      </c>
      <c r="S860" s="37" t="s">
        <v>128</v>
      </c>
    </row>
    <row r="861" spans="8:19" ht="27.6" x14ac:dyDescent="0.3">
      <c r="H861" s="32" t="s">
        <v>51</v>
      </c>
      <c r="I861" s="33" t="s">
        <v>20</v>
      </c>
      <c r="J861" s="34" t="s">
        <v>441</v>
      </c>
      <c r="K861" s="35" t="s">
        <v>290</v>
      </c>
      <c r="L861" s="33" t="s">
        <v>92</v>
      </c>
      <c r="M861" s="33">
        <v>9087</v>
      </c>
      <c r="N861" s="36"/>
      <c r="O861" s="33">
        <v>1</v>
      </c>
      <c r="P861" s="33">
        <f>IF(Tabela1[[#This Row],[Status]]="✔️",Tabela1[[#This Row],[Peso]],IF(Tabela1[[#This Row],[Status]]="✔️✔️",Tabela1[[#This Row],[Peso]]/2,0))</f>
        <v>0</v>
      </c>
      <c r="Q86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861" s="33" t="s">
        <v>127</v>
      </c>
      <c r="S861" s="37" t="s">
        <v>128</v>
      </c>
    </row>
    <row r="862" spans="8:19" ht="27.6" x14ac:dyDescent="0.3">
      <c r="H862" s="32" t="s">
        <v>51</v>
      </c>
      <c r="I862" s="33" t="s">
        <v>25</v>
      </c>
      <c r="J862" s="34" t="s">
        <v>28</v>
      </c>
      <c r="K862" s="35" t="s">
        <v>290</v>
      </c>
      <c r="L862" s="33" t="s">
        <v>93</v>
      </c>
      <c r="M862" s="33">
        <v>6076</v>
      </c>
      <c r="N862" s="36"/>
      <c r="O862" s="33">
        <v>3</v>
      </c>
      <c r="P862" s="33">
        <f>IF(Tabela1[[#This Row],[Status]]="✔️",Tabela1[[#This Row],[Peso]],IF(Tabela1[[#This Row],[Status]]="✔️✔️",Tabela1[[#This Row],[Peso]]/2,0))</f>
        <v>0</v>
      </c>
      <c r="Q86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62" s="33" t="s">
        <v>127</v>
      </c>
      <c r="S862" s="37" t="s">
        <v>128</v>
      </c>
    </row>
    <row r="863" spans="8:19" ht="27.6" x14ac:dyDescent="0.3">
      <c r="H863" s="32" t="s">
        <v>51</v>
      </c>
      <c r="I863" s="33" t="s">
        <v>25</v>
      </c>
      <c r="J863" s="34" t="s">
        <v>29</v>
      </c>
      <c r="K863" s="35" t="s">
        <v>0</v>
      </c>
      <c r="L863" s="33" t="s">
        <v>94</v>
      </c>
      <c r="M863" s="33"/>
      <c r="N863" s="36"/>
      <c r="O863" s="33">
        <v>3</v>
      </c>
      <c r="P863" s="33">
        <f>IF(Tabela1[[#This Row],[Status]]="✔️",Tabela1[[#This Row],[Peso]],IF(Tabela1[[#This Row],[Status]]="✔️✔️",Tabela1[[#This Row],[Peso]]/2,0))</f>
        <v>3</v>
      </c>
      <c r="Q86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63" s="33" t="s">
        <v>127</v>
      </c>
      <c r="S863" s="37" t="s">
        <v>128</v>
      </c>
    </row>
    <row r="864" spans="8:19" ht="27.6" x14ac:dyDescent="0.3">
      <c r="H864" s="32" t="s">
        <v>51</v>
      </c>
      <c r="I864" s="33" t="s">
        <v>25</v>
      </c>
      <c r="J864" s="34" t="s">
        <v>449</v>
      </c>
      <c r="K864" s="35" t="s">
        <v>0</v>
      </c>
      <c r="L864" s="33"/>
      <c r="M864" s="33"/>
      <c r="N864" s="36"/>
      <c r="O864" s="33">
        <v>3</v>
      </c>
      <c r="P864" s="33">
        <f>IF(Tabela1[[#This Row],[Status]]="✔️",Tabela1[[#This Row],[Peso]],IF(Tabela1[[#This Row],[Status]]="✔️✔️",Tabela1[[#This Row],[Peso]]/2,0))</f>
        <v>3</v>
      </c>
      <c r="Q86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64" s="33" t="s">
        <v>127</v>
      </c>
      <c r="S864" s="37" t="s">
        <v>128</v>
      </c>
    </row>
    <row r="865" spans="8:19" ht="41.4" x14ac:dyDescent="0.3">
      <c r="H865" s="32" t="s">
        <v>51</v>
      </c>
      <c r="I865" s="33" t="s">
        <v>41</v>
      </c>
      <c r="J865" s="34" t="s">
        <v>442</v>
      </c>
      <c r="K865" s="35" t="s">
        <v>290</v>
      </c>
      <c r="L865" s="33" t="s">
        <v>95</v>
      </c>
      <c r="M865" s="33">
        <v>8115</v>
      </c>
      <c r="N865" s="36"/>
      <c r="O865" s="33">
        <v>3</v>
      </c>
      <c r="P865" s="33">
        <f>IF(Tabela1[[#This Row],[Status]]="✔️",Tabela1[[#This Row],[Peso]],IF(Tabela1[[#This Row],[Status]]="✔️✔️",Tabela1[[#This Row],[Peso]]/2,0))</f>
        <v>0</v>
      </c>
      <c r="Q86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65" s="33" t="s">
        <v>127</v>
      </c>
      <c r="S865" s="37" t="s">
        <v>128</v>
      </c>
    </row>
    <row r="866" spans="8:19" ht="41.4" x14ac:dyDescent="0.3">
      <c r="H866" s="32" t="s">
        <v>51</v>
      </c>
      <c r="I866" s="33" t="s">
        <v>41</v>
      </c>
      <c r="J866" s="34" t="s">
        <v>443</v>
      </c>
      <c r="K866" s="35" t="s">
        <v>290</v>
      </c>
      <c r="L866" s="33" t="s">
        <v>95</v>
      </c>
      <c r="M866" s="33">
        <v>8115</v>
      </c>
      <c r="N866" s="36"/>
      <c r="O866" s="33">
        <v>2</v>
      </c>
      <c r="P866" s="33">
        <f>IF(Tabela1[[#This Row],[Status]]="✔️",Tabela1[[#This Row],[Peso]],IF(Tabela1[[#This Row],[Status]]="✔️✔️",Tabela1[[#This Row],[Peso]]/2,0))</f>
        <v>0</v>
      </c>
      <c r="Q86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866" s="33" t="s">
        <v>127</v>
      </c>
      <c r="S866" s="37" t="s">
        <v>128</v>
      </c>
    </row>
    <row r="867" spans="8:19" ht="27.6" x14ac:dyDescent="0.3">
      <c r="H867" s="32" t="s">
        <v>51</v>
      </c>
      <c r="I867" s="33" t="s">
        <v>10</v>
      </c>
      <c r="J867" s="34" t="s">
        <v>444</v>
      </c>
      <c r="K867" s="35" t="s">
        <v>290</v>
      </c>
      <c r="L867" s="33" t="s">
        <v>97</v>
      </c>
      <c r="M867" s="33">
        <v>5214</v>
      </c>
      <c r="N867" s="36"/>
      <c r="O867" s="33">
        <v>3</v>
      </c>
      <c r="P867" s="33">
        <f>IF(Tabela1[[#This Row],[Status]]="✔️",Tabela1[[#This Row],[Peso]],IF(Tabela1[[#This Row],[Status]]="✔️✔️",Tabela1[[#This Row],[Peso]]/2,0))</f>
        <v>0</v>
      </c>
      <c r="Q86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67" s="33" t="s">
        <v>127</v>
      </c>
      <c r="S867" s="37" t="s">
        <v>128</v>
      </c>
    </row>
    <row r="868" spans="8:19" ht="27.6" x14ac:dyDescent="0.3">
      <c r="H868" s="32" t="s">
        <v>51</v>
      </c>
      <c r="I868" s="33" t="s">
        <v>30</v>
      </c>
      <c r="J868" s="34" t="s">
        <v>438</v>
      </c>
      <c r="K868" s="35" t="s">
        <v>0</v>
      </c>
      <c r="L868" s="33"/>
      <c r="M868" s="33"/>
      <c r="N868" s="36"/>
      <c r="O868" s="33">
        <v>3</v>
      </c>
      <c r="P868" s="33">
        <f>IF(Tabela1[[#This Row],[Status]]="✔️",Tabela1[[#This Row],[Peso]],IF(Tabela1[[#This Row],[Status]]="✔️✔️",Tabela1[[#This Row],[Peso]]/2,0))</f>
        <v>3</v>
      </c>
      <c r="Q86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68" s="33" t="s">
        <v>264</v>
      </c>
      <c r="S868" s="37" t="s">
        <v>263</v>
      </c>
    </row>
    <row r="869" spans="8:19" ht="27.6" x14ac:dyDescent="0.3">
      <c r="H869" s="32" t="s">
        <v>51</v>
      </c>
      <c r="I869" s="33" t="s">
        <v>10</v>
      </c>
      <c r="J869" s="34" t="s">
        <v>11</v>
      </c>
      <c r="K869" s="35" t="s">
        <v>0</v>
      </c>
      <c r="L869" s="33"/>
      <c r="M869" s="33"/>
      <c r="N869" s="36"/>
      <c r="O869" s="33">
        <v>3</v>
      </c>
      <c r="P869" s="33">
        <f>IF(Tabela1[[#This Row],[Status]]="✔️",Tabela1[[#This Row],[Peso]],IF(Tabela1[[#This Row],[Status]]="✔️✔️",Tabela1[[#This Row],[Peso]]/2,0))</f>
        <v>3</v>
      </c>
      <c r="Q86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69" s="33" t="s">
        <v>264</v>
      </c>
      <c r="S869" s="37" t="s">
        <v>263</v>
      </c>
    </row>
    <row r="870" spans="8:19" ht="27.6" x14ac:dyDescent="0.3">
      <c r="H870" s="32" t="s">
        <v>51</v>
      </c>
      <c r="I870" s="33" t="s">
        <v>10</v>
      </c>
      <c r="J870" s="34" t="s">
        <v>439</v>
      </c>
      <c r="K870" s="35" t="s">
        <v>0</v>
      </c>
      <c r="L870" s="33"/>
      <c r="M870" s="33"/>
      <c r="N870" s="36"/>
      <c r="O870" s="33">
        <v>3</v>
      </c>
      <c r="P870" s="33">
        <f>IF(Tabela1[[#This Row],[Status]]="✔️",Tabela1[[#This Row],[Peso]],IF(Tabela1[[#This Row],[Status]]="✔️✔️",Tabela1[[#This Row],[Peso]]/2,0))</f>
        <v>3</v>
      </c>
      <c r="Q87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70" s="33" t="s">
        <v>264</v>
      </c>
      <c r="S870" s="37" t="s">
        <v>263</v>
      </c>
    </row>
    <row r="871" spans="8:19" ht="27.6" x14ac:dyDescent="0.3">
      <c r="H871" s="32" t="s">
        <v>51</v>
      </c>
      <c r="I871" s="33" t="s">
        <v>10</v>
      </c>
      <c r="J871" s="34" t="s">
        <v>440</v>
      </c>
      <c r="K871" s="35" t="s">
        <v>0</v>
      </c>
      <c r="L871" s="33"/>
      <c r="M871" s="33"/>
      <c r="N871" s="36"/>
      <c r="O871" s="33">
        <v>3</v>
      </c>
      <c r="P871" s="33">
        <f>IF(Tabela1[[#This Row],[Status]]="✔️",Tabela1[[#This Row],[Peso]],IF(Tabela1[[#This Row],[Status]]="✔️✔️",Tabela1[[#This Row],[Peso]]/2,0))</f>
        <v>3</v>
      </c>
      <c r="Q87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71" s="33" t="s">
        <v>264</v>
      </c>
      <c r="S871" s="37" t="s">
        <v>263</v>
      </c>
    </row>
    <row r="872" spans="8:19" ht="27.6" x14ac:dyDescent="0.3">
      <c r="H872" s="32" t="s">
        <v>51</v>
      </c>
      <c r="I872" s="33" t="s">
        <v>12</v>
      </c>
      <c r="J872" s="34" t="s">
        <v>13</v>
      </c>
      <c r="K872" s="35" t="s">
        <v>290</v>
      </c>
      <c r="L872" s="33" t="s">
        <v>301</v>
      </c>
      <c r="M872" s="33"/>
      <c r="N872" s="36"/>
      <c r="O872" s="33">
        <v>2</v>
      </c>
      <c r="P872" s="33">
        <f>IF(Tabela1[[#This Row],[Status]]="✔️",Tabela1[[#This Row],[Peso]],IF(Tabela1[[#This Row],[Status]]="✔️✔️",Tabela1[[#This Row],[Peso]]/2,0))</f>
        <v>0</v>
      </c>
      <c r="Q872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872" s="33" t="s">
        <v>264</v>
      </c>
      <c r="S872" s="37" t="s">
        <v>263</v>
      </c>
    </row>
    <row r="873" spans="8:19" ht="27.6" x14ac:dyDescent="0.3">
      <c r="H873" s="32" t="s">
        <v>51</v>
      </c>
      <c r="I873" s="33" t="s">
        <v>14</v>
      </c>
      <c r="J873" s="34" t="s">
        <v>15</v>
      </c>
      <c r="K873" s="35" t="s">
        <v>290</v>
      </c>
      <c r="L873" s="33" t="s">
        <v>302</v>
      </c>
      <c r="M873" s="33"/>
      <c r="N873" s="36"/>
      <c r="O873" s="33">
        <v>3</v>
      </c>
      <c r="P873" s="33">
        <f>IF(Tabela1[[#This Row],[Status]]="✔️",Tabela1[[#This Row],[Peso]],IF(Tabela1[[#This Row],[Status]]="✔️✔️",Tabela1[[#This Row],[Peso]]/2,0))</f>
        <v>0</v>
      </c>
      <c r="Q87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73" s="33" t="s">
        <v>264</v>
      </c>
      <c r="S873" s="37" t="s">
        <v>263</v>
      </c>
    </row>
    <row r="874" spans="8:19" ht="27.6" x14ac:dyDescent="0.3">
      <c r="H874" s="32" t="s">
        <v>51</v>
      </c>
      <c r="I874" s="33" t="s">
        <v>14</v>
      </c>
      <c r="J874" s="34" t="s">
        <v>16</v>
      </c>
      <c r="K874" s="35" t="s">
        <v>290</v>
      </c>
      <c r="L874" s="33"/>
      <c r="M874" s="33"/>
      <c r="N874" s="36"/>
      <c r="O874" s="33">
        <v>2</v>
      </c>
      <c r="P874" s="33">
        <f>IF(Tabela1[[#This Row],[Status]]="✔️",Tabela1[[#This Row],[Peso]],IF(Tabela1[[#This Row],[Status]]="✔️✔️",Tabela1[[#This Row],[Peso]]/2,0))</f>
        <v>0</v>
      </c>
      <c r="Q87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874" s="33" t="s">
        <v>264</v>
      </c>
      <c r="S874" s="37" t="s">
        <v>263</v>
      </c>
    </row>
    <row r="875" spans="8:19" ht="27.6" x14ac:dyDescent="0.3">
      <c r="H875" s="32" t="s">
        <v>51</v>
      </c>
      <c r="I875" s="33" t="s">
        <v>17</v>
      </c>
      <c r="J875" s="34" t="s">
        <v>18</v>
      </c>
      <c r="K875" s="35" t="s">
        <v>0</v>
      </c>
      <c r="L875" s="33"/>
      <c r="M875" s="33"/>
      <c r="N875" s="36"/>
      <c r="O875" s="33">
        <v>3</v>
      </c>
      <c r="P875" s="33">
        <f>IF(Tabela1[[#This Row],[Status]]="✔️",Tabela1[[#This Row],[Peso]],IF(Tabela1[[#This Row],[Status]]="✔️✔️",Tabela1[[#This Row],[Peso]]/2,0))</f>
        <v>3</v>
      </c>
      <c r="Q87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75" s="33" t="s">
        <v>264</v>
      </c>
      <c r="S875" s="37" t="s">
        <v>263</v>
      </c>
    </row>
    <row r="876" spans="8:19" ht="27.6" x14ac:dyDescent="0.3">
      <c r="H876" s="32" t="s">
        <v>51</v>
      </c>
      <c r="I876" s="33" t="s">
        <v>17</v>
      </c>
      <c r="J876" s="34" t="s">
        <v>19</v>
      </c>
      <c r="K876" s="35" t="s">
        <v>0</v>
      </c>
      <c r="L876" s="33"/>
      <c r="M876" s="33"/>
      <c r="N876" s="36"/>
      <c r="O876" s="33">
        <v>3</v>
      </c>
      <c r="P876" s="33">
        <f>IF(Tabela1[[#This Row],[Status]]="✔️",Tabela1[[#This Row],[Peso]],IF(Tabela1[[#This Row],[Status]]="✔️✔️",Tabela1[[#This Row],[Peso]]/2,0))</f>
        <v>3</v>
      </c>
      <c r="Q87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76" s="33" t="s">
        <v>264</v>
      </c>
      <c r="S876" s="37" t="s">
        <v>263</v>
      </c>
    </row>
    <row r="877" spans="8:19" ht="27.6" x14ac:dyDescent="0.3">
      <c r="H877" s="32" t="s">
        <v>51</v>
      </c>
      <c r="I877" s="33" t="s">
        <v>20</v>
      </c>
      <c r="J877" s="34" t="s">
        <v>21</v>
      </c>
      <c r="K877" s="35" t="s">
        <v>0</v>
      </c>
      <c r="L877" s="33"/>
      <c r="M877" s="33"/>
      <c r="N877" s="36"/>
      <c r="O877" s="33">
        <v>3</v>
      </c>
      <c r="P877" s="33">
        <f>IF(Tabela1[[#This Row],[Status]]="✔️",Tabela1[[#This Row],[Peso]],IF(Tabela1[[#This Row],[Status]]="✔️✔️",Tabela1[[#This Row],[Peso]]/2,0))</f>
        <v>3</v>
      </c>
      <c r="Q87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77" s="33" t="s">
        <v>264</v>
      </c>
      <c r="S877" s="37" t="s">
        <v>263</v>
      </c>
    </row>
    <row r="878" spans="8:19" ht="27.6" x14ac:dyDescent="0.3">
      <c r="H878" s="32" t="s">
        <v>51</v>
      </c>
      <c r="I878" s="33" t="s">
        <v>20</v>
      </c>
      <c r="J878" s="34" t="s">
        <v>441</v>
      </c>
      <c r="K878" s="35" t="s">
        <v>0</v>
      </c>
      <c r="L878" s="33"/>
      <c r="M878" s="33"/>
      <c r="N878" s="36"/>
      <c r="O878" s="33">
        <v>1</v>
      </c>
      <c r="P878" s="33">
        <f>IF(Tabela1[[#This Row],[Status]]="✔️",Tabela1[[#This Row],[Peso]],IF(Tabela1[[#This Row],[Status]]="✔️✔️",Tabela1[[#This Row],[Peso]]/2,0))</f>
        <v>1</v>
      </c>
      <c r="Q87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878" s="33" t="s">
        <v>264</v>
      </c>
      <c r="S878" s="37" t="s">
        <v>263</v>
      </c>
    </row>
    <row r="879" spans="8:19" ht="27.6" x14ac:dyDescent="0.3">
      <c r="H879" s="32" t="s">
        <v>51</v>
      </c>
      <c r="I879" s="33" t="s">
        <v>25</v>
      </c>
      <c r="J879" s="34" t="s">
        <v>28</v>
      </c>
      <c r="K879" s="35" t="s">
        <v>290</v>
      </c>
      <c r="L879" s="33"/>
      <c r="M879" s="33"/>
      <c r="N879" s="36"/>
      <c r="O879" s="33">
        <v>3</v>
      </c>
      <c r="P879" s="33">
        <f>IF(Tabela1[[#This Row],[Status]]="✔️",Tabela1[[#This Row],[Peso]],IF(Tabela1[[#This Row],[Status]]="✔️✔️",Tabela1[[#This Row],[Peso]]/2,0))</f>
        <v>0</v>
      </c>
      <c r="Q87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79" s="33" t="s">
        <v>264</v>
      </c>
      <c r="S879" s="37" t="s">
        <v>263</v>
      </c>
    </row>
    <row r="880" spans="8:19" ht="27.6" x14ac:dyDescent="0.3">
      <c r="H880" s="32" t="s">
        <v>51</v>
      </c>
      <c r="I880" s="33" t="s">
        <v>25</v>
      </c>
      <c r="J880" s="34" t="s">
        <v>29</v>
      </c>
      <c r="K880" s="35" t="s">
        <v>0</v>
      </c>
      <c r="L880" s="33"/>
      <c r="M880" s="33"/>
      <c r="N880" s="36"/>
      <c r="O880" s="33">
        <v>3</v>
      </c>
      <c r="P880" s="33">
        <f>IF(Tabela1[[#This Row],[Status]]="✔️",Tabela1[[#This Row],[Peso]],IF(Tabela1[[#This Row],[Status]]="✔️✔️",Tabela1[[#This Row],[Peso]]/2,0))</f>
        <v>3</v>
      </c>
      <c r="Q88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80" s="33" t="s">
        <v>264</v>
      </c>
      <c r="S880" s="37" t="s">
        <v>263</v>
      </c>
    </row>
    <row r="881" spans="8:19" ht="27.6" x14ac:dyDescent="0.3">
      <c r="H881" s="32" t="s">
        <v>51</v>
      </c>
      <c r="I881" s="33" t="s">
        <v>25</v>
      </c>
      <c r="J881" s="34" t="s">
        <v>449</v>
      </c>
      <c r="K881" s="35" t="s">
        <v>290</v>
      </c>
      <c r="L881" s="33" t="s">
        <v>303</v>
      </c>
      <c r="M881" s="33"/>
      <c r="N881" s="36"/>
      <c r="O881" s="33">
        <v>3</v>
      </c>
      <c r="P881" s="33">
        <f>IF(Tabela1[[#This Row],[Status]]="✔️",Tabela1[[#This Row],[Peso]],IF(Tabela1[[#This Row],[Status]]="✔️✔️",Tabela1[[#This Row],[Peso]]/2,0))</f>
        <v>0</v>
      </c>
      <c r="Q88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81" s="33" t="s">
        <v>264</v>
      </c>
      <c r="S881" s="37" t="s">
        <v>263</v>
      </c>
    </row>
    <row r="882" spans="8:19" ht="41.4" x14ac:dyDescent="0.3">
      <c r="H882" s="32" t="s">
        <v>51</v>
      </c>
      <c r="I882" s="33" t="s">
        <v>41</v>
      </c>
      <c r="J882" s="34" t="s">
        <v>442</v>
      </c>
      <c r="K882" s="35" t="s">
        <v>290</v>
      </c>
      <c r="L882" s="33" t="s">
        <v>47</v>
      </c>
      <c r="M882" s="33"/>
      <c r="N882" s="36"/>
      <c r="O882" s="33">
        <v>3</v>
      </c>
      <c r="P882" s="33">
        <f>IF(Tabela1[[#This Row],[Status]]="✔️",Tabela1[[#This Row],[Peso]],IF(Tabela1[[#This Row],[Status]]="✔️✔️",Tabela1[[#This Row],[Peso]]/2,0))</f>
        <v>0</v>
      </c>
      <c r="Q88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82" s="33" t="s">
        <v>264</v>
      </c>
      <c r="S882" s="37" t="s">
        <v>263</v>
      </c>
    </row>
    <row r="883" spans="8:19" ht="41.4" x14ac:dyDescent="0.3">
      <c r="H883" s="32" t="s">
        <v>51</v>
      </c>
      <c r="I883" s="33" t="s">
        <v>41</v>
      </c>
      <c r="J883" s="34" t="s">
        <v>443</v>
      </c>
      <c r="K883" s="35" t="s">
        <v>290</v>
      </c>
      <c r="L883" s="33" t="s">
        <v>47</v>
      </c>
      <c r="M883" s="33"/>
      <c r="N883" s="36"/>
      <c r="O883" s="33">
        <v>2</v>
      </c>
      <c r="P883" s="33">
        <f>IF(Tabela1[[#This Row],[Status]]="✔️",Tabela1[[#This Row],[Peso]],IF(Tabela1[[#This Row],[Status]]="✔️✔️",Tabela1[[#This Row],[Peso]]/2,0))</f>
        <v>0</v>
      </c>
      <c r="Q883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883" s="33" t="s">
        <v>264</v>
      </c>
      <c r="S883" s="37" t="s">
        <v>263</v>
      </c>
    </row>
    <row r="884" spans="8:19" ht="27.6" x14ac:dyDescent="0.3">
      <c r="H884" s="32" t="s">
        <v>51</v>
      </c>
      <c r="I884" s="33" t="s">
        <v>10</v>
      </c>
      <c r="J884" s="34" t="s">
        <v>444</v>
      </c>
      <c r="K884" s="35" t="s">
        <v>290</v>
      </c>
      <c r="L884" s="33"/>
      <c r="M884" s="33"/>
      <c r="N884" s="36"/>
      <c r="O884" s="33">
        <v>2</v>
      </c>
      <c r="P884" s="33">
        <f>IF(Tabela1[[#This Row],[Status]]="✔️",Tabela1[[#This Row],[Peso]],IF(Tabela1[[#This Row],[Status]]="✔️✔️",Tabela1[[#This Row],[Peso]]/2,0))</f>
        <v>0</v>
      </c>
      <c r="Q88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884" s="33" t="s">
        <v>264</v>
      </c>
      <c r="S884" s="37" t="s">
        <v>263</v>
      </c>
    </row>
    <row r="885" spans="8:19" ht="27.6" x14ac:dyDescent="0.3">
      <c r="H885" s="32" t="s">
        <v>51</v>
      </c>
      <c r="I885" s="33" t="s">
        <v>30</v>
      </c>
      <c r="J885" s="34" t="s">
        <v>438</v>
      </c>
      <c r="K885" s="35" t="s">
        <v>0</v>
      </c>
      <c r="L885" s="33"/>
      <c r="M885" s="33"/>
      <c r="N885" s="36"/>
      <c r="O885" s="33">
        <v>3</v>
      </c>
      <c r="P885" s="33">
        <f>IF(Tabela1[[#This Row],[Status]]="✔️",Tabela1[[#This Row],[Peso]],IF(Tabela1[[#This Row],[Status]]="✔️✔️",Tabela1[[#This Row],[Peso]]/2,0))</f>
        <v>3</v>
      </c>
      <c r="Q88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85" s="33" t="s">
        <v>130</v>
      </c>
      <c r="S885" s="37" t="s">
        <v>132</v>
      </c>
    </row>
    <row r="886" spans="8:19" ht="27.6" x14ac:dyDescent="0.3">
      <c r="H886" s="32" t="s">
        <v>51</v>
      </c>
      <c r="I886" s="33" t="s">
        <v>10</v>
      </c>
      <c r="J886" s="34" t="s">
        <v>11</v>
      </c>
      <c r="K886" s="35" t="s">
        <v>0</v>
      </c>
      <c r="L886" s="33"/>
      <c r="M886" s="33"/>
      <c r="N886" s="36"/>
      <c r="O886" s="33">
        <v>2</v>
      </c>
      <c r="P886" s="33">
        <f>IF(Tabela1[[#This Row],[Status]]="✔️",Tabela1[[#This Row],[Peso]],IF(Tabela1[[#This Row],[Status]]="✔️✔️",Tabela1[[#This Row],[Peso]]/2,0))</f>
        <v>2</v>
      </c>
      <c r="Q88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886" s="33" t="s">
        <v>130</v>
      </c>
      <c r="S886" s="37" t="s">
        <v>132</v>
      </c>
    </row>
    <row r="887" spans="8:19" ht="27.6" x14ac:dyDescent="0.3">
      <c r="H887" s="32" t="s">
        <v>51</v>
      </c>
      <c r="I887" s="33" t="s">
        <v>10</v>
      </c>
      <c r="J887" s="34" t="s">
        <v>439</v>
      </c>
      <c r="K887" s="35" t="s">
        <v>0</v>
      </c>
      <c r="L887" s="33"/>
      <c r="M887" s="33"/>
      <c r="N887" s="36"/>
      <c r="O887" s="33">
        <v>3</v>
      </c>
      <c r="P887" s="33">
        <f>IF(Tabela1[[#This Row],[Status]]="✔️",Tabela1[[#This Row],[Peso]],IF(Tabela1[[#This Row],[Status]]="✔️✔️",Tabela1[[#This Row],[Peso]]/2,0))</f>
        <v>3</v>
      </c>
      <c r="Q88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87" s="33" t="s">
        <v>130</v>
      </c>
      <c r="S887" s="37" t="s">
        <v>132</v>
      </c>
    </row>
    <row r="888" spans="8:19" ht="27.6" x14ac:dyDescent="0.3">
      <c r="H888" s="32" t="s">
        <v>51</v>
      </c>
      <c r="I888" s="33" t="s">
        <v>10</v>
      </c>
      <c r="J888" s="34" t="s">
        <v>440</v>
      </c>
      <c r="K888" s="35" t="s">
        <v>0</v>
      </c>
      <c r="L888" s="33"/>
      <c r="M888" s="33"/>
      <c r="N888" s="36"/>
      <c r="O888" s="33">
        <v>3</v>
      </c>
      <c r="P888" s="33">
        <f>IF(Tabela1[[#This Row],[Status]]="✔️",Tabela1[[#This Row],[Peso]],IF(Tabela1[[#This Row],[Status]]="✔️✔️",Tabela1[[#This Row],[Peso]]/2,0))</f>
        <v>3</v>
      </c>
      <c r="Q88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88" s="33" t="s">
        <v>130</v>
      </c>
      <c r="S888" s="37" t="s">
        <v>132</v>
      </c>
    </row>
    <row r="889" spans="8:19" ht="27.6" x14ac:dyDescent="0.3">
      <c r="H889" s="32" t="s">
        <v>51</v>
      </c>
      <c r="I889" s="33" t="s">
        <v>12</v>
      </c>
      <c r="J889" s="34" t="s">
        <v>13</v>
      </c>
      <c r="K889" s="35" t="s">
        <v>0</v>
      </c>
      <c r="L889" s="33"/>
      <c r="M889" s="33"/>
      <c r="N889" s="36"/>
      <c r="O889" s="33">
        <v>2</v>
      </c>
      <c r="P889" s="33">
        <f>IF(Tabela1[[#This Row],[Status]]="✔️",Tabela1[[#This Row],[Peso]],IF(Tabela1[[#This Row],[Status]]="✔️✔️",Tabela1[[#This Row],[Peso]]/2,0))</f>
        <v>2</v>
      </c>
      <c r="Q88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889" s="33" t="s">
        <v>130</v>
      </c>
      <c r="S889" s="37" t="s">
        <v>132</v>
      </c>
    </row>
    <row r="890" spans="8:19" ht="27.6" x14ac:dyDescent="0.3">
      <c r="H890" s="32" t="s">
        <v>51</v>
      </c>
      <c r="I890" s="33" t="s">
        <v>14</v>
      </c>
      <c r="J890" s="34" t="s">
        <v>15</v>
      </c>
      <c r="K890" s="35" t="s">
        <v>0</v>
      </c>
      <c r="L890" s="33"/>
      <c r="M890" s="33"/>
      <c r="N890" s="36"/>
      <c r="O890" s="33">
        <v>3</v>
      </c>
      <c r="P890" s="33">
        <f>IF(Tabela1[[#This Row],[Status]]="✔️",Tabela1[[#This Row],[Peso]],IF(Tabela1[[#This Row],[Status]]="✔️✔️",Tabela1[[#This Row],[Peso]]/2,0))</f>
        <v>3</v>
      </c>
      <c r="Q89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90" s="33" t="s">
        <v>130</v>
      </c>
      <c r="S890" s="37" t="s">
        <v>132</v>
      </c>
    </row>
    <row r="891" spans="8:19" ht="27.6" x14ac:dyDescent="0.3">
      <c r="H891" s="32" t="s">
        <v>51</v>
      </c>
      <c r="I891" s="33" t="s">
        <v>14</v>
      </c>
      <c r="J891" s="34" t="s">
        <v>16</v>
      </c>
      <c r="K891" s="35" t="s">
        <v>0</v>
      </c>
      <c r="L891" s="33"/>
      <c r="M891" s="33"/>
      <c r="N891" s="36"/>
      <c r="O891" s="33">
        <v>2</v>
      </c>
      <c r="P891" s="33">
        <f>IF(Tabela1[[#This Row],[Status]]="✔️",Tabela1[[#This Row],[Peso]],IF(Tabela1[[#This Row],[Status]]="✔️✔️",Tabela1[[#This Row],[Peso]]/2,0))</f>
        <v>2</v>
      </c>
      <c r="Q89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891" s="33" t="s">
        <v>130</v>
      </c>
      <c r="S891" s="37" t="s">
        <v>132</v>
      </c>
    </row>
    <row r="892" spans="8:19" ht="27.6" x14ac:dyDescent="0.3">
      <c r="H892" s="32" t="s">
        <v>51</v>
      </c>
      <c r="I892" s="33" t="s">
        <v>17</v>
      </c>
      <c r="J892" s="34" t="s">
        <v>18</v>
      </c>
      <c r="K892" s="35" t="s">
        <v>0</v>
      </c>
      <c r="L892" s="33"/>
      <c r="M892" s="33"/>
      <c r="N892" s="36"/>
      <c r="O892" s="33">
        <v>3</v>
      </c>
      <c r="P892" s="33">
        <f>IF(Tabela1[[#This Row],[Status]]="✔️",Tabela1[[#This Row],[Peso]],IF(Tabela1[[#This Row],[Status]]="✔️✔️",Tabela1[[#This Row],[Peso]]/2,0))</f>
        <v>3</v>
      </c>
      <c r="Q89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92" s="33" t="s">
        <v>130</v>
      </c>
      <c r="S892" s="37" t="s">
        <v>132</v>
      </c>
    </row>
    <row r="893" spans="8:19" ht="27.6" x14ac:dyDescent="0.3">
      <c r="H893" s="32" t="s">
        <v>51</v>
      </c>
      <c r="I893" s="33" t="s">
        <v>17</v>
      </c>
      <c r="J893" s="34" t="s">
        <v>19</v>
      </c>
      <c r="K893" s="35" t="s">
        <v>0</v>
      </c>
      <c r="L893" s="33"/>
      <c r="M893" s="33"/>
      <c r="N893" s="36"/>
      <c r="O893" s="33">
        <v>3</v>
      </c>
      <c r="P893" s="33">
        <f>IF(Tabela1[[#This Row],[Status]]="✔️",Tabela1[[#This Row],[Peso]],IF(Tabela1[[#This Row],[Status]]="✔️✔️",Tabela1[[#This Row],[Peso]]/2,0))</f>
        <v>3</v>
      </c>
      <c r="Q89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93" s="33" t="s">
        <v>130</v>
      </c>
      <c r="S893" s="37" t="s">
        <v>132</v>
      </c>
    </row>
    <row r="894" spans="8:19" ht="27.6" x14ac:dyDescent="0.3">
      <c r="H894" s="32" t="s">
        <v>51</v>
      </c>
      <c r="I894" s="33" t="s">
        <v>20</v>
      </c>
      <c r="J894" s="34" t="s">
        <v>21</v>
      </c>
      <c r="K894" s="35" t="s">
        <v>0</v>
      </c>
      <c r="L894" s="33"/>
      <c r="M894" s="33"/>
      <c r="N894" s="36"/>
      <c r="O894" s="33">
        <v>3</v>
      </c>
      <c r="P894" s="33">
        <f>IF(Tabela1[[#This Row],[Status]]="✔️",Tabela1[[#This Row],[Peso]],IF(Tabela1[[#This Row],[Status]]="✔️✔️",Tabela1[[#This Row],[Peso]]/2,0))</f>
        <v>3</v>
      </c>
      <c r="Q89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94" s="33" t="s">
        <v>130</v>
      </c>
      <c r="S894" s="37" t="s">
        <v>132</v>
      </c>
    </row>
    <row r="895" spans="8:19" ht="27.6" x14ac:dyDescent="0.3">
      <c r="H895" s="32" t="s">
        <v>51</v>
      </c>
      <c r="I895" s="33" t="s">
        <v>20</v>
      </c>
      <c r="J895" s="34" t="s">
        <v>441</v>
      </c>
      <c r="K895" s="35" t="s">
        <v>0</v>
      </c>
      <c r="L895" s="33"/>
      <c r="M895" s="33"/>
      <c r="N895" s="36"/>
      <c r="O895" s="33">
        <v>3</v>
      </c>
      <c r="P895" s="33">
        <f>IF(Tabela1[[#This Row],[Status]]="✔️",Tabela1[[#This Row],[Peso]],IF(Tabela1[[#This Row],[Status]]="✔️✔️",Tabela1[[#This Row],[Peso]]/2,0))</f>
        <v>3</v>
      </c>
      <c r="Q89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95" s="33" t="s">
        <v>130</v>
      </c>
      <c r="S895" s="37" t="s">
        <v>132</v>
      </c>
    </row>
    <row r="896" spans="8:19" ht="27.6" x14ac:dyDescent="0.3">
      <c r="H896" s="32" t="s">
        <v>51</v>
      </c>
      <c r="I896" s="33" t="s">
        <v>25</v>
      </c>
      <c r="J896" s="34" t="s">
        <v>28</v>
      </c>
      <c r="K896" s="35" t="s">
        <v>290</v>
      </c>
      <c r="L896" s="33"/>
      <c r="M896" s="33">
        <v>9884</v>
      </c>
      <c r="N896" s="36"/>
      <c r="O896" s="33">
        <v>3</v>
      </c>
      <c r="P896" s="33">
        <f>IF(Tabela1[[#This Row],[Status]]="✔️",Tabela1[[#This Row],[Peso]],IF(Tabela1[[#This Row],[Status]]="✔️✔️",Tabela1[[#This Row],[Peso]]/2,0))</f>
        <v>0</v>
      </c>
      <c r="Q89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96" s="33" t="s">
        <v>130</v>
      </c>
      <c r="S896" s="37" t="s">
        <v>132</v>
      </c>
    </row>
    <row r="897" spans="8:19" ht="27.6" x14ac:dyDescent="0.3">
      <c r="H897" s="32" t="s">
        <v>51</v>
      </c>
      <c r="I897" s="33" t="s">
        <v>25</v>
      </c>
      <c r="J897" s="34" t="s">
        <v>29</v>
      </c>
      <c r="K897" s="35" t="s">
        <v>0</v>
      </c>
      <c r="L897" s="33"/>
      <c r="M897" s="33"/>
      <c r="N897" s="36"/>
      <c r="O897" s="33">
        <v>3</v>
      </c>
      <c r="P897" s="33">
        <f>IF(Tabela1[[#This Row],[Status]]="✔️",Tabela1[[#This Row],[Peso]],IF(Tabela1[[#This Row],[Status]]="✔️✔️",Tabela1[[#This Row],[Peso]]/2,0))</f>
        <v>3</v>
      </c>
      <c r="Q89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97" s="33" t="s">
        <v>130</v>
      </c>
      <c r="S897" s="37" t="s">
        <v>132</v>
      </c>
    </row>
    <row r="898" spans="8:19" ht="27.6" x14ac:dyDescent="0.3">
      <c r="H898" s="32" t="s">
        <v>51</v>
      </c>
      <c r="I898" s="33" t="s">
        <v>25</v>
      </c>
      <c r="J898" s="34" t="s">
        <v>449</v>
      </c>
      <c r="K898" s="35" t="s">
        <v>290</v>
      </c>
      <c r="L898" s="33"/>
      <c r="M898" s="33" t="s">
        <v>154</v>
      </c>
      <c r="N898" s="36"/>
      <c r="O898" s="33">
        <v>3</v>
      </c>
      <c r="P898" s="33">
        <f>IF(Tabela1[[#This Row],[Status]]="✔️",Tabela1[[#This Row],[Peso]],IF(Tabela1[[#This Row],[Status]]="✔️✔️",Tabela1[[#This Row],[Peso]]/2,0))</f>
        <v>0</v>
      </c>
      <c r="Q89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98" s="33" t="s">
        <v>130</v>
      </c>
      <c r="S898" s="37" t="s">
        <v>132</v>
      </c>
    </row>
    <row r="899" spans="8:19" ht="41.4" x14ac:dyDescent="0.3">
      <c r="H899" s="32" t="s">
        <v>51</v>
      </c>
      <c r="I899" s="33" t="s">
        <v>41</v>
      </c>
      <c r="J899" s="34" t="s">
        <v>442</v>
      </c>
      <c r="K899" s="35" t="s">
        <v>290</v>
      </c>
      <c r="L899" s="33" t="s">
        <v>47</v>
      </c>
      <c r="M899" s="33">
        <v>3184</v>
      </c>
      <c r="N899" s="36"/>
      <c r="O899" s="33">
        <v>3</v>
      </c>
      <c r="P899" s="33">
        <f>IF(Tabela1[[#This Row],[Status]]="✔️",Tabela1[[#This Row],[Peso]],IF(Tabela1[[#This Row],[Status]]="✔️✔️",Tabela1[[#This Row],[Peso]]/2,0))</f>
        <v>0</v>
      </c>
      <c r="Q89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99" s="33" t="s">
        <v>130</v>
      </c>
      <c r="S899" s="37" t="s">
        <v>132</v>
      </c>
    </row>
    <row r="900" spans="8:19" ht="41.4" x14ac:dyDescent="0.3">
      <c r="H900" s="32" t="s">
        <v>51</v>
      </c>
      <c r="I900" s="33" t="s">
        <v>41</v>
      </c>
      <c r="J900" s="34" t="s">
        <v>443</v>
      </c>
      <c r="K900" s="35" t="s">
        <v>290</v>
      </c>
      <c r="L900" s="33" t="s">
        <v>47</v>
      </c>
      <c r="M900" s="33">
        <v>3184</v>
      </c>
      <c r="N900" s="36"/>
      <c r="O900" s="33">
        <v>2</v>
      </c>
      <c r="P900" s="33">
        <f>IF(Tabela1[[#This Row],[Status]]="✔️",Tabela1[[#This Row],[Peso]],IF(Tabela1[[#This Row],[Status]]="✔️✔️",Tabela1[[#This Row],[Peso]]/2,0))</f>
        <v>0</v>
      </c>
      <c r="Q900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900" s="33" t="s">
        <v>130</v>
      </c>
      <c r="S900" s="37" t="s">
        <v>132</v>
      </c>
    </row>
    <row r="901" spans="8:19" ht="27.6" x14ac:dyDescent="0.3">
      <c r="H901" s="32" t="s">
        <v>51</v>
      </c>
      <c r="I901" s="33" t="s">
        <v>30</v>
      </c>
      <c r="J901" s="34" t="s">
        <v>438</v>
      </c>
      <c r="K901" s="35" t="s">
        <v>0</v>
      </c>
      <c r="L901" s="33"/>
      <c r="M901" s="33"/>
      <c r="N901" s="36"/>
      <c r="O901" s="33">
        <v>3</v>
      </c>
      <c r="P901" s="33">
        <f>IF(Tabela1[[#This Row],[Status]]="✔️",Tabela1[[#This Row],[Peso]],IF(Tabela1[[#This Row],[Status]]="✔️✔️",Tabela1[[#This Row],[Peso]]/2,0))</f>
        <v>3</v>
      </c>
      <c r="Q90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01" s="33" t="s">
        <v>130</v>
      </c>
      <c r="S901" s="37" t="s">
        <v>128</v>
      </c>
    </row>
    <row r="902" spans="8:19" ht="27.6" x14ac:dyDescent="0.3">
      <c r="H902" s="32" t="s">
        <v>51</v>
      </c>
      <c r="I902" s="33" t="s">
        <v>10</v>
      </c>
      <c r="J902" s="34" t="s">
        <v>444</v>
      </c>
      <c r="K902" s="35" t="s">
        <v>0</v>
      </c>
      <c r="L902" s="33"/>
      <c r="M902" s="33"/>
      <c r="N902" s="36"/>
      <c r="O902" s="33">
        <v>2</v>
      </c>
      <c r="P902" s="33">
        <f>IF(Tabela1[[#This Row],[Status]]="✔️",Tabela1[[#This Row],[Peso]],IF(Tabela1[[#This Row],[Status]]="✔️✔️",Tabela1[[#This Row],[Peso]]/2,0))</f>
        <v>2</v>
      </c>
      <c r="Q902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902" s="33" t="s">
        <v>130</v>
      </c>
      <c r="S902" s="37" t="s">
        <v>132</v>
      </c>
    </row>
    <row r="903" spans="8:19" ht="27.6" x14ac:dyDescent="0.3">
      <c r="H903" s="32" t="s">
        <v>51</v>
      </c>
      <c r="I903" s="33" t="s">
        <v>10</v>
      </c>
      <c r="J903" s="34" t="s">
        <v>11</v>
      </c>
      <c r="K903" s="35" t="s">
        <v>0</v>
      </c>
      <c r="L903" s="33"/>
      <c r="M903" s="33"/>
      <c r="N903" s="36"/>
      <c r="O903" s="33">
        <v>2</v>
      </c>
      <c r="P903" s="33">
        <f>IF(Tabela1[[#This Row],[Status]]="✔️",Tabela1[[#This Row],[Peso]],IF(Tabela1[[#This Row],[Status]]="✔️✔️",Tabela1[[#This Row],[Peso]]/2,0))</f>
        <v>2</v>
      </c>
      <c r="Q903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903" s="33" t="s">
        <v>130</v>
      </c>
      <c r="S903" s="37" t="s">
        <v>128</v>
      </c>
    </row>
    <row r="904" spans="8:19" ht="27.6" x14ac:dyDescent="0.3">
      <c r="H904" s="32" t="s">
        <v>51</v>
      </c>
      <c r="I904" s="33" t="s">
        <v>10</v>
      </c>
      <c r="J904" s="34" t="s">
        <v>439</v>
      </c>
      <c r="K904" s="35" t="s">
        <v>0</v>
      </c>
      <c r="L904" s="33"/>
      <c r="M904" s="33"/>
      <c r="N904" s="36"/>
      <c r="O904" s="33">
        <v>3</v>
      </c>
      <c r="P904" s="33">
        <f>IF(Tabela1[[#This Row],[Status]]="✔️",Tabela1[[#This Row],[Peso]],IF(Tabela1[[#This Row],[Status]]="✔️✔️",Tabela1[[#This Row],[Peso]]/2,0))</f>
        <v>3</v>
      </c>
      <c r="Q90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04" s="33" t="s">
        <v>130</v>
      </c>
      <c r="S904" s="37" t="s">
        <v>128</v>
      </c>
    </row>
    <row r="905" spans="8:19" ht="27.6" x14ac:dyDescent="0.3">
      <c r="H905" s="32" t="s">
        <v>51</v>
      </c>
      <c r="I905" s="33" t="s">
        <v>10</v>
      </c>
      <c r="J905" s="34" t="s">
        <v>440</v>
      </c>
      <c r="K905" s="35" t="s">
        <v>0</v>
      </c>
      <c r="L905" s="33"/>
      <c r="M905" s="33"/>
      <c r="N905" s="36"/>
      <c r="O905" s="33">
        <v>3</v>
      </c>
      <c r="P905" s="33">
        <f>IF(Tabela1[[#This Row],[Status]]="✔️",Tabela1[[#This Row],[Peso]],IF(Tabela1[[#This Row],[Status]]="✔️✔️",Tabela1[[#This Row],[Peso]]/2,0))</f>
        <v>3</v>
      </c>
      <c r="Q90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05" s="33" t="s">
        <v>130</v>
      </c>
      <c r="S905" s="37" t="s">
        <v>128</v>
      </c>
    </row>
    <row r="906" spans="8:19" ht="27.6" x14ac:dyDescent="0.3">
      <c r="H906" s="32" t="s">
        <v>51</v>
      </c>
      <c r="I906" s="33" t="s">
        <v>12</v>
      </c>
      <c r="J906" s="34" t="s">
        <v>13</v>
      </c>
      <c r="K906" s="35" t="s">
        <v>0</v>
      </c>
      <c r="L906" s="33"/>
      <c r="M906" s="33"/>
      <c r="N906" s="36"/>
      <c r="O906" s="33">
        <v>2</v>
      </c>
      <c r="P906" s="33">
        <f>IF(Tabela1[[#This Row],[Status]]="✔️",Tabela1[[#This Row],[Peso]],IF(Tabela1[[#This Row],[Status]]="✔️✔️",Tabela1[[#This Row],[Peso]]/2,0))</f>
        <v>2</v>
      </c>
      <c r="Q90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906" s="33" t="s">
        <v>130</v>
      </c>
      <c r="S906" s="37" t="s">
        <v>128</v>
      </c>
    </row>
    <row r="907" spans="8:19" ht="27.6" x14ac:dyDescent="0.3">
      <c r="H907" s="32" t="s">
        <v>51</v>
      </c>
      <c r="I907" s="33" t="s">
        <v>14</v>
      </c>
      <c r="J907" s="34" t="s">
        <v>15</v>
      </c>
      <c r="K907" s="35" t="s">
        <v>0</v>
      </c>
      <c r="L907" s="33"/>
      <c r="M907" s="33"/>
      <c r="N907" s="36"/>
      <c r="O907" s="33">
        <v>3</v>
      </c>
      <c r="P907" s="33">
        <f>IF(Tabela1[[#This Row],[Status]]="✔️",Tabela1[[#This Row],[Peso]],IF(Tabela1[[#This Row],[Status]]="✔️✔️",Tabela1[[#This Row],[Peso]]/2,0))</f>
        <v>3</v>
      </c>
      <c r="Q90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07" s="33" t="s">
        <v>130</v>
      </c>
      <c r="S907" s="37" t="s">
        <v>128</v>
      </c>
    </row>
    <row r="908" spans="8:19" ht="27.6" x14ac:dyDescent="0.3">
      <c r="H908" s="32" t="s">
        <v>51</v>
      </c>
      <c r="I908" s="33" t="s">
        <v>14</v>
      </c>
      <c r="J908" s="34" t="s">
        <v>16</v>
      </c>
      <c r="K908" s="35" t="s">
        <v>0</v>
      </c>
      <c r="L908" s="33"/>
      <c r="M908" s="33"/>
      <c r="N908" s="36"/>
      <c r="O908" s="33">
        <v>1</v>
      </c>
      <c r="P908" s="33">
        <f>IF(Tabela1[[#This Row],[Status]]="✔️",Tabela1[[#This Row],[Peso]],IF(Tabela1[[#This Row],[Status]]="✔️✔️",Tabela1[[#This Row],[Peso]]/2,0))</f>
        <v>1</v>
      </c>
      <c r="Q90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908" s="33" t="s">
        <v>130</v>
      </c>
      <c r="S908" s="37" t="s">
        <v>128</v>
      </c>
    </row>
    <row r="909" spans="8:19" ht="27.6" x14ac:dyDescent="0.3">
      <c r="H909" s="32" t="s">
        <v>51</v>
      </c>
      <c r="I909" s="33" t="s">
        <v>17</v>
      </c>
      <c r="J909" s="34" t="s">
        <v>18</v>
      </c>
      <c r="K909" s="35" t="s">
        <v>0</v>
      </c>
      <c r="L909" s="33"/>
      <c r="M909" s="33"/>
      <c r="N909" s="36"/>
      <c r="O909" s="33">
        <v>3</v>
      </c>
      <c r="P909" s="33">
        <f>IF(Tabela1[[#This Row],[Status]]="✔️",Tabela1[[#This Row],[Peso]],IF(Tabela1[[#This Row],[Status]]="✔️✔️",Tabela1[[#This Row],[Peso]]/2,0))</f>
        <v>3</v>
      </c>
      <c r="Q90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09" s="33" t="s">
        <v>130</v>
      </c>
      <c r="S909" s="37" t="s">
        <v>128</v>
      </c>
    </row>
    <row r="910" spans="8:19" ht="27.6" x14ac:dyDescent="0.3">
      <c r="H910" s="32" t="s">
        <v>51</v>
      </c>
      <c r="I910" s="33" t="s">
        <v>17</v>
      </c>
      <c r="J910" s="34" t="s">
        <v>19</v>
      </c>
      <c r="K910" s="35" t="s">
        <v>0</v>
      </c>
      <c r="L910" s="33"/>
      <c r="M910" s="33"/>
      <c r="N910" s="36"/>
      <c r="O910" s="33">
        <v>3</v>
      </c>
      <c r="P910" s="33">
        <f>IF(Tabela1[[#This Row],[Status]]="✔️",Tabela1[[#This Row],[Peso]],IF(Tabela1[[#This Row],[Status]]="✔️✔️",Tabela1[[#This Row],[Peso]]/2,0))</f>
        <v>3</v>
      </c>
      <c r="Q91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10" s="33" t="s">
        <v>130</v>
      </c>
      <c r="S910" s="37" t="s">
        <v>128</v>
      </c>
    </row>
    <row r="911" spans="8:19" ht="27.6" x14ac:dyDescent="0.3">
      <c r="H911" s="32" t="s">
        <v>51</v>
      </c>
      <c r="I911" s="33" t="s">
        <v>20</v>
      </c>
      <c r="J911" s="34" t="s">
        <v>21</v>
      </c>
      <c r="K911" s="35" t="s">
        <v>0</v>
      </c>
      <c r="L911" s="33"/>
      <c r="M911" s="33"/>
      <c r="N911" s="36"/>
      <c r="O911" s="33">
        <v>3</v>
      </c>
      <c r="P911" s="33">
        <f>IF(Tabela1[[#This Row],[Status]]="✔️",Tabela1[[#This Row],[Peso]],IF(Tabela1[[#This Row],[Status]]="✔️✔️",Tabela1[[#This Row],[Peso]]/2,0))</f>
        <v>3</v>
      </c>
      <c r="Q91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11" s="33" t="s">
        <v>130</v>
      </c>
      <c r="S911" s="37" t="s">
        <v>128</v>
      </c>
    </row>
    <row r="912" spans="8:19" ht="27.6" x14ac:dyDescent="0.3">
      <c r="H912" s="32" t="s">
        <v>51</v>
      </c>
      <c r="I912" s="33" t="s">
        <v>20</v>
      </c>
      <c r="J912" s="34" t="s">
        <v>441</v>
      </c>
      <c r="K912" s="35" t="s">
        <v>0</v>
      </c>
      <c r="L912" s="33"/>
      <c r="M912" s="33"/>
      <c r="N912" s="36"/>
      <c r="O912" s="33">
        <v>1</v>
      </c>
      <c r="P912" s="33">
        <f>IF(Tabela1[[#This Row],[Status]]="✔️",Tabela1[[#This Row],[Peso]],IF(Tabela1[[#This Row],[Status]]="✔️✔️",Tabela1[[#This Row],[Peso]]/2,0))</f>
        <v>1</v>
      </c>
      <c r="Q91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912" s="33" t="s">
        <v>130</v>
      </c>
      <c r="S912" s="37" t="s">
        <v>128</v>
      </c>
    </row>
    <row r="913" spans="8:19" ht="27.6" x14ac:dyDescent="0.3">
      <c r="H913" s="32" t="s">
        <v>51</v>
      </c>
      <c r="I913" s="33" t="s">
        <v>25</v>
      </c>
      <c r="J913" s="34" t="s">
        <v>28</v>
      </c>
      <c r="K913" s="35" t="s">
        <v>290</v>
      </c>
      <c r="L913" s="33" t="s">
        <v>281</v>
      </c>
      <c r="M913" s="33">
        <v>9884</v>
      </c>
      <c r="N913" s="36"/>
      <c r="O913" s="33">
        <v>3</v>
      </c>
      <c r="P913" s="33">
        <f>IF(Tabela1[[#This Row],[Status]]="✔️",Tabela1[[#This Row],[Peso]],IF(Tabela1[[#This Row],[Status]]="✔️✔️",Tabela1[[#This Row],[Peso]]/2,0))</f>
        <v>0</v>
      </c>
      <c r="Q91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13" s="33" t="s">
        <v>130</v>
      </c>
      <c r="S913" s="37" t="s">
        <v>128</v>
      </c>
    </row>
    <row r="914" spans="8:19" ht="27.6" x14ac:dyDescent="0.3">
      <c r="H914" s="32" t="s">
        <v>51</v>
      </c>
      <c r="I914" s="33" t="s">
        <v>25</v>
      </c>
      <c r="J914" s="34" t="s">
        <v>29</v>
      </c>
      <c r="K914" s="35" t="s">
        <v>0</v>
      </c>
      <c r="L914" s="33"/>
      <c r="M914" s="33"/>
      <c r="N914" s="36"/>
      <c r="O914" s="33">
        <v>3</v>
      </c>
      <c r="P914" s="33">
        <f>IF(Tabela1[[#This Row],[Status]]="✔️",Tabela1[[#This Row],[Peso]],IF(Tabela1[[#This Row],[Status]]="✔️✔️",Tabela1[[#This Row],[Peso]]/2,0))</f>
        <v>3</v>
      </c>
      <c r="Q91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14" s="33" t="s">
        <v>130</v>
      </c>
      <c r="S914" s="37" t="s">
        <v>128</v>
      </c>
    </row>
    <row r="915" spans="8:19" ht="27.6" x14ac:dyDescent="0.3">
      <c r="H915" s="32" t="s">
        <v>51</v>
      </c>
      <c r="I915" s="33" t="s">
        <v>25</v>
      </c>
      <c r="J915" s="34" t="s">
        <v>449</v>
      </c>
      <c r="K915" s="35" t="s">
        <v>291</v>
      </c>
      <c r="L915" s="33" t="s">
        <v>248</v>
      </c>
      <c r="M915" s="33"/>
      <c r="N915" s="36"/>
      <c r="O915" s="33">
        <v>3</v>
      </c>
      <c r="P915" s="33">
        <f>IF(Tabela1[[#This Row],[Status]]="✔️",Tabela1[[#This Row],[Peso]],IF(Tabela1[[#This Row],[Status]]="✔️✔️",Tabela1[[#This Row],[Peso]]/2,0))</f>
        <v>1.5</v>
      </c>
      <c r="Q915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915" s="33" t="s">
        <v>130</v>
      </c>
      <c r="S915" s="37" t="s">
        <v>128</v>
      </c>
    </row>
    <row r="916" spans="8:19" ht="41.4" x14ac:dyDescent="0.3">
      <c r="H916" s="32" t="s">
        <v>51</v>
      </c>
      <c r="I916" s="33" t="s">
        <v>41</v>
      </c>
      <c r="J916" s="34" t="s">
        <v>442</v>
      </c>
      <c r="K916" s="35" t="s">
        <v>291</v>
      </c>
      <c r="L916" s="33" t="s">
        <v>248</v>
      </c>
      <c r="M916" s="33"/>
      <c r="N916" s="36"/>
      <c r="O916" s="33">
        <v>3</v>
      </c>
      <c r="P916" s="33">
        <f>IF(Tabela1[[#This Row],[Status]]="✔️",Tabela1[[#This Row],[Peso]],IF(Tabela1[[#This Row],[Status]]="✔️✔️",Tabela1[[#This Row],[Peso]]/2,0))</f>
        <v>1.5</v>
      </c>
      <c r="Q916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916" s="33" t="s">
        <v>130</v>
      </c>
      <c r="S916" s="37" t="s">
        <v>128</v>
      </c>
    </row>
    <row r="917" spans="8:19" ht="41.4" x14ac:dyDescent="0.3">
      <c r="H917" s="32" t="s">
        <v>51</v>
      </c>
      <c r="I917" s="33" t="s">
        <v>41</v>
      </c>
      <c r="J917" s="34" t="s">
        <v>443</v>
      </c>
      <c r="K917" s="35" t="s">
        <v>291</v>
      </c>
      <c r="L917" s="33" t="s">
        <v>248</v>
      </c>
      <c r="M917" s="33"/>
      <c r="N917" s="36"/>
      <c r="O917" s="33">
        <v>2</v>
      </c>
      <c r="P917" s="33">
        <f>IF(Tabela1[[#This Row],[Status]]="✔️",Tabela1[[#This Row],[Peso]],IF(Tabela1[[#This Row],[Status]]="✔️✔️",Tabela1[[#This Row],[Peso]]/2,0))</f>
        <v>1</v>
      </c>
      <c r="Q91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917" s="33" t="s">
        <v>130</v>
      </c>
      <c r="S917" s="37" t="s">
        <v>128</v>
      </c>
    </row>
    <row r="918" spans="8:19" ht="27.6" x14ac:dyDescent="0.3">
      <c r="H918" s="32" t="s">
        <v>51</v>
      </c>
      <c r="I918" s="33" t="s">
        <v>10</v>
      </c>
      <c r="J918" s="34" t="s">
        <v>444</v>
      </c>
      <c r="K918" s="35" t="s">
        <v>0</v>
      </c>
      <c r="L918" s="33"/>
      <c r="M918" s="33"/>
      <c r="N918" s="36"/>
      <c r="O918" s="33">
        <v>2</v>
      </c>
      <c r="P918" s="33">
        <f>IF(Tabela1[[#This Row],[Status]]="✔️",Tabela1[[#This Row],[Peso]],IF(Tabela1[[#This Row],[Status]]="✔️✔️",Tabela1[[#This Row],[Peso]]/2,0))</f>
        <v>2</v>
      </c>
      <c r="Q918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918" s="33" t="s">
        <v>130</v>
      </c>
      <c r="S918" s="37" t="s">
        <v>128</v>
      </c>
    </row>
    <row r="919" spans="8:19" ht="41.4" x14ac:dyDescent="0.3">
      <c r="H919" s="32" t="s">
        <v>51</v>
      </c>
      <c r="I919" s="33" t="s">
        <v>30</v>
      </c>
      <c r="J919" s="34" t="s">
        <v>438</v>
      </c>
      <c r="K919" s="35" t="s">
        <v>0</v>
      </c>
      <c r="L919" s="33"/>
      <c r="M919" s="33"/>
      <c r="N919" s="36"/>
      <c r="O919" s="33">
        <v>3</v>
      </c>
      <c r="P919" s="33">
        <f>IF(Tabela1[[#This Row],[Status]]="✔️",Tabela1[[#This Row],[Peso]],IF(Tabela1[[#This Row],[Status]]="✔️✔️",Tabela1[[#This Row],[Peso]]/2,0))</f>
        <v>3</v>
      </c>
      <c r="Q91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19" s="33" t="s">
        <v>187</v>
      </c>
      <c r="S919" s="37" t="s">
        <v>132</v>
      </c>
    </row>
    <row r="920" spans="8:19" ht="41.4" x14ac:dyDescent="0.3">
      <c r="H920" s="32" t="s">
        <v>51</v>
      </c>
      <c r="I920" s="33" t="s">
        <v>10</v>
      </c>
      <c r="J920" s="34" t="s">
        <v>11</v>
      </c>
      <c r="K920" s="35" t="s">
        <v>0</v>
      </c>
      <c r="L920" s="33"/>
      <c r="M920" s="33"/>
      <c r="N920" s="36"/>
      <c r="O920" s="33">
        <v>3</v>
      </c>
      <c r="P920" s="33">
        <f>IF(Tabela1[[#This Row],[Status]]="✔️",Tabela1[[#This Row],[Peso]],IF(Tabela1[[#This Row],[Status]]="✔️✔️",Tabela1[[#This Row],[Peso]]/2,0))</f>
        <v>3</v>
      </c>
      <c r="Q92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20" s="33" t="s">
        <v>187</v>
      </c>
      <c r="S920" s="37" t="s">
        <v>132</v>
      </c>
    </row>
    <row r="921" spans="8:19" ht="41.4" x14ac:dyDescent="0.3">
      <c r="H921" s="32" t="s">
        <v>51</v>
      </c>
      <c r="I921" s="33" t="s">
        <v>10</v>
      </c>
      <c r="J921" s="34" t="s">
        <v>439</v>
      </c>
      <c r="K921" s="35" t="s">
        <v>0</v>
      </c>
      <c r="L921" s="33"/>
      <c r="M921" s="33"/>
      <c r="N921" s="36"/>
      <c r="O921" s="33">
        <v>3</v>
      </c>
      <c r="P921" s="33">
        <f>IF(Tabela1[[#This Row],[Status]]="✔️",Tabela1[[#This Row],[Peso]],IF(Tabela1[[#This Row],[Status]]="✔️✔️",Tabela1[[#This Row],[Peso]]/2,0))</f>
        <v>3</v>
      </c>
      <c r="Q92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21" s="33" t="s">
        <v>187</v>
      </c>
      <c r="S921" s="37" t="s">
        <v>132</v>
      </c>
    </row>
    <row r="922" spans="8:19" ht="41.4" x14ac:dyDescent="0.3">
      <c r="H922" s="32" t="s">
        <v>51</v>
      </c>
      <c r="I922" s="33" t="s">
        <v>10</v>
      </c>
      <c r="J922" s="34" t="s">
        <v>440</v>
      </c>
      <c r="K922" s="35" t="s">
        <v>0</v>
      </c>
      <c r="L922" s="33"/>
      <c r="M922" s="33"/>
      <c r="N922" s="36"/>
      <c r="O922" s="33">
        <v>3</v>
      </c>
      <c r="P922" s="33">
        <f>IF(Tabela1[[#This Row],[Status]]="✔️",Tabela1[[#This Row],[Peso]],IF(Tabela1[[#This Row],[Status]]="✔️✔️",Tabela1[[#This Row],[Peso]]/2,0))</f>
        <v>3</v>
      </c>
      <c r="Q92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22" s="33" t="s">
        <v>187</v>
      </c>
      <c r="S922" s="37" t="s">
        <v>132</v>
      </c>
    </row>
    <row r="923" spans="8:19" ht="41.4" x14ac:dyDescent="0.3">
      <c r="H923" s="32" t="s">
        <v>51</v>
      </c>
      <c r="I923" s="33" t="s">
        <v>12</v>
      </c>
      <c r="J923" s="34" t="s">
        <v>13</v>
      </c>
      <c r="K923" s="35" t="s">
        <v>290</v>
      </c>
      <c r="L923" s="33" t="s">
        <v>209</v>
      </c>
      <c r="M923" s="33">
        <v>5178</v>
      </c>
      <c r="N923" s="36"/>
      <c r="O923" s="33">
        <v>2</v>
      </c>
      <c r="P923" s="33">
        <f>IF(Tabela1[[#This Row],[Status]]="✔️",Tabela1[[#This Row],[Peso]],IF(Tabela1[[#This Row],[Status]]="✔️✔️",Tabela1[[#This Row],[Peso]]/2,0))</f>
        <v>0</v>
      </c>
      <c r="Q923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923" s="33" t="s">
        <v>187</v>
      </c>
      <c r="S923" s="37" t="s">
        <v>132</v>
      </c>
    </row>
    <row r="924" spans="8:19" ht="41.4" x14ac:dyDescent="0.3">
      <c r="H924" s="32" t="s">
        <v>51</v>
      </c>
      <c r="I924" s="33" t="s">
        <v>14</v>
      </c>
      <c r="J924" s="34" t="s">
        <v>15</v>
      </c>
      <c r="K924" s="35" t="s">
        <v>290</v>
      </c>
      <c r="L924" s="33" t="s">
        <v>216</v>
      </c>
      <c r="M924" s="33">
        <v>4225</v>
      </c>
      <c r="N924" s="36"/>
      <c r="O924" s="33">
        <v>3</v>
      </c>
      <c r="P924" s="33">
        <f>IF(Tabela1[[#This Row],[Status]]="✔️",Tabela1[[#This Row],[Peso]],IF(Tabela1[[#This Row],[Status]]="✔️✔️",Tabela1[[#This Row],[Peso]]/2,0))</f>
        <v>0</v>
      </c>
      <c r="Q92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24" s="33" t="s">
        <v>187</v>
      </c>
      <c r="S924" s="37" t="s">
        <v>132</v>
      </c>
    </row>
    <row r="925" spans="8:19" ht="41.4" x14ac:dyDescent="0.3">
      <c r="H925" s="32" t="s">
        <v>51</v>
      </c>
      <c r="I925" s="33" t="s">
        <v>14</v>
      </c>
      <c r="J925" s="34" t="s">
        <v>16</v>
      </c>
      <c r="K925" s="35" t="s">
        <v>0</v>
      </c>
      <c r="L925" s="33"/>
      <c r="M925" s="33"/>
      <c r="N925" s="36"/>
      <c r="O925" s="33">
        <v>1</v>
      </c>
      <c r="P925" s="33">
        <f>IF(Tabela1[[#This Row],[Status]]="✔️",Tabela1[[#This Row],[Peso]],IF(Tabela1[[#This Row],[Status]]="✔️✔️",Tabela1[[#This Row],[Peso]]/2,0))</f>
        <v>1</v>
      </c>
      <c r="Q92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925" s="33" t="s">
        <v>187</v>
      </c>
      <c r="S925" s="37" t="s">
        <v>132</v>
      </c>
    </row>
    <row r="926" spans="8:19" ht="41.4" x14ac:dyDescent="0.3">
      <c r="H926" s="32" t="s">
        <v>51</v>
      </c>
      <c r="I926" s="33" t="s">
        <v>17</v>
      </c>
      <c r="J926" s="34" t="s">
        <v>18</v>
      </c>
      <c r="K926" s="35" t="s">
        <v>0</v>
      </c>
      <c r="L926" s="33"/>
      <c r="M926" s="33"/>
      <c r="N926" s="36"/>
      <c r="O926" s="33">
        <v>3</v>
      </c>
      <c r="P926" s="33">
        <f>IF(Tabela1[[#This Row],[Status]]="✔️",Tabela1[[#This Row],[Peso]],IF(Tabela1[[#This Row],[Status]]="✔️✔️",Tabela1[[#This Row],[Peso]]/2,0))</f>
        <v>3</v>
      </c>
      <c r="Q92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26" s="33" t="s">
        <v>187</v>
      </c>
      <c r="S926" s="37" t="s">
        <v>132</v>
      </c>
    </row>
    <row r="927" spans="8:19" ht="41.4" x14ac:dyDescent="0.3">
      <c r="H927" s="32" t="s">
        <v>51</v>
      </c>
      <c r="I927" s="33" t="s">
        <v>17</v>
      </c>
      <c r="J927" s="34" t="s">
        <v>19</v>
      </c>
      <c r="K927" s="35" t="s">
        <v>0</v>
      </c>
      <c r="L927" s="33"/>
      <c r="M927" s="33"/>
      <c r="N927" s="36"/>
      <c r="O927" s="33">
        <v>1</v>
      </c>
      <c r="P927" s="33">
        <f>IF(Tabela1[[#This Row],[Status]]="✔️",Tabela1[[#This Row],[Peso]],IF(Tabela1[[#This Row],[Status]]="✔️✔️",Tabela1[[#This Row],[Peso]]/2,0))</f>
        <v>1</v>
      </c>
      <c r="Q92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927" s="33" t="s">
        <v>187</v>
      </c>
      <c r="S927" s="37" t="s">
        <v>132</v>
      </c>
    </row>
    <row r="928" spans="8:19" ht="41.4" x14ac:dyDescent="0.3">
      <c r="H928" s="32" t="s">
        <v>51</v>
      </c>
      <c r="I928" s="33" t="s">
        <v>20</v>
      </c>
      <c r="J928" s="34" t="s">
        <v>21</v>
      </c>
      <c r="K928" s="35" t="s">
        <v>0</v>
      </c>
      <c r="L928" s="33" t="s">
        <v>217</v>
      </c>
      <c r="M928" s="33">
        <v>8965</v>
      </c>
      <c r="N928" s="36"/>
      <c r="O928" s="33">
        <v>3</v>
      </c>
      <c r="P928" s="33">
        <f>IF(Tabela1[[#This Row],[Status]]="✔️",Tabela1[[#This Row],[Peso]],IF(Tabela1[[#This Row],[Status]]="✔️✔️",Tabela1[[#This Row],[Peso]]/2,0))</f>
        <v>3</v>
      </c>
      <c r="Q92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28" s="33" t="s">
        <v>187</v>
      </c>
      <c r="S928" s="37" t="s">
        <v>132</v>
      </c>
    </row>
    <row r="929" spans="8:19" ht="41.4" x14ac:dyDescent="0.3">
      <c r="H929" s="32" t="s">
        <v>51</v>
      </c>
      <c r="I929" s="33" t="s">
        <v>20</v>
      </c>
      <c r="J929" s="34" t="s">
        <v>441</v>
      </c>
      <c r="K929" s="35" t="s">
        <v>0</v>
      </c>
      <c r="L929" s="33" t="s">
        <v>218</v>
      </c>
      <c r="M929" s="33">
        <v>9524</v>
      </c>
      <c r="N929" s="36"/>
      <c r="O929" s="33">
        <v>1</v>
      </c>
      <c r="P929" s="33">
        <f>IF(Tabela1[[#This Row],[Status]]="✔️",Tabela1[[#This Row],[Peso]],IF(Tabela1[[#This Row],[Status]]="✔️✔️",Tabela1[[#This Row],[Peso]]/2,0))</f>
        <v>1</v>
      </c>
      <c r="Q92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929" s="33" t="s">
        <v>187</v>
      </c>
      <c r="S929" s="37" t="s">
        <v>132</v>
      </c>
    </row>
    <row r="930" spans="8:19" ht="41.4" x14ac:dyDescent="0.3">
      <c r="H930" s="32" t="s">
        <v>51</v>
      </c>
      <c r="I930" s="33" t="s">
        <v>25</v>
      </c>
      <c r="J930" s="34" t="s">
        <v>28</v>
      </c>
      <c r="K930" s="35" t="s">
        <v>290</v>
      </c>
      <c r="L930" s="33" t="s">
        <v>219</v>
      </c>
      <c r="M930" s="33">
        <v>3445</v>
      </c>
      <c r="N930" s="36"/>
      <c r="O930" s="33">
        <v>3</v>
      </c>
      <c r="P930" s="33">
        <f>IF(Tabela1[[#This Row],[Status]]="✔️",Tabela1[[#This Row],[Peso]],IF(Tabela1[[#This Row],[Status]]="✔️✔️",Tabela1[[#This Row],[Peso]]/2,0))</f>
        <v>0</v>
      </c>
      <c r="Q93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30" s="33" t="s">
        <v>187</v>
      </c>
      <c r="S930" s="37" t="s">
        <v>132</v>
      </c>
    </row>
    <row r="931" spans="8:19" ht="41.4" x14ac:dyDescent="0.3">
      <c r="H931" s="32" t="s">
        <v>51</v>
      </c>
      <c r="I931" s="33" t="s">
        <v>25</v>
      </c>
      <c r="J931" s="34" t="s">
        <v>29</v>
      </c>
      <c r="K931" s="35" t="s">
        <v>0</v>
      </c>
      <c r="L931" s="33"/>
      <c r="M931" s="33"/>
      <c r="N931" s="36"/>
      <c r="O931" s="33">
        <v>3</v>
      </c>
      <c r="P931" s="33">
        <f>IF(Tabela1[[#This Row],[Status]]="✔️",Tabela1[[#This Row],[Peso]],IF(Tabela1[[#This Row],[Status]]="✔️✔️",Tabela1[[#This Row],[Peso]]/2,0))</f>
        <v>3</v>
      </c>
      <c r="Q93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31" s="33" t="s">
        <v>187</v>
      </c>
      <c r="S931" s="37" t="s">
        <v>132</v>
      </c>
    </row>
    <row r="932" spans="8:19" ht="41.4" x14ac:dyDescent="0.3">
      <c r="H932" s="32" t="s">
        <v>51</v>
      </c>
      <c r="I932" s="33" t="s">
        <v>25</v>
      </c>
      <c r="J932" s="34" t="s">
        <v>449</v>
      </c>
      <c r="K932" s="35" t="s">
        <v>290</v>
      </c>
      <c r="L932" s="33" t="s">
        <v>220</v>
      </c>
      <c r="M932" s="33">
        <v>4542</v>
      </c>
      <c r="N932" s="36"/>
      <c r="O932" s="33">
        <v>3</v>
      </c>
      <c r="P932" s="33">
        <f>IF(Tabela1[[#This Row],[Status]]="✔️",Tabela1[[#This Row],[Peso]],IF(Tabela1[[#This Row],[Status]]="✔️✔️",Tabela1[[#This Row],[Peso]]/2,0))</f>
        <v>0</v>
      </c>
      <c r="Q93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32" s="33" t="s">
        <v>187</v>
      </c>
      <c r="S932" s="37" t="s">
        <v>132</v>
      </c>
    </row>
    <row r="933" spans="8:19" ht="41.4" x14ac:dyDescent="0.3">
      <c r="H933" s="32" t="s">
        <v>51</v>
      </c>
      <c r="I933" s="33" t="s">
        <v>41</v>
      </c>
      <c r="J933" s="34" t="s">
        <v>442</v>
      </c>
      <c r="K933" s="35" t="s">
        <v>290</v>
      </c>
      <c r="L933" s="33" t="s">
        <v>47</v>
      </c>
      <c r="M933" s="33">
        <v>9106</v>
      </c>
      <c r="N933" s="36"/>
      <c r="O933" s="33">
        <v>3</v>
      </c>
      <c r="P933" s="33">
        <f>IF(Tabela1[[#This Row],[Status]]="✔️",Tabela1[[#This Row],[Peso]],IF(Tabela1[[#This Row],[Status]]="✔️✔️",Tabela1[[#This Row],[Peso]]/2,0))</f>
        <v>0</v>
      </c>
      <c r="Q93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33" s="33" t="s">
        <v>187</v>
      </c>
      <c r="S933" s="37" t="s">
        <v>132</v>
      </c>
    </row>
    <row r="934" spans="8:19" ht="41.4" x14ac:dyDescent="0.3">
      <c r="H934" s="32" t="s">
        <v>51</v>
      </c>
      <c r="I934" s="33" t="s">
        <v>41</v>
      </c>
      <c r="J934" s="34" t="s">
        <v>443</v>
      </c>
      <c r="K934" s="35" t="s">
        <v>290</v>
      </c>
      <c r="L934" s="33" t="s">
        <v>47</v>
      </c>
      <c r="M934" s="33">
        <v>9106</v>
      </c>
      <c r="N934" s="36"/>
      <c r="O934" s="33">
        <v>2</v>
      </c>
      <c r="P934" s="33">
        <f>IF(Tabela1[[#This Row],[Status]]="✔️",Tabela1[[#This Row],[Peso]],IF(Tabela1[[#This Row],[Status]]="✔️✔️",Tabela1[[#This Row],[Peso]]/2,0))</f>
        <v>0</v>
      </c>
      <c r="Q93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934" s="33" t="s">
        <v>187</v>
      </c>
      <c r="S934" s="37" t="s">
        <v>132</v>
      </c>
    </row>
    <row r="935" spans="8:19" ht="41.4" x14ac:dyDescent="0.3">
      <c r="H935" s="32" t="s">
        <v>51</v>
      </c>
      <c r="I935" s="33" t="s">
        <v>10</v>
      </c>
      <c r="J935" s="34" t="s">
        <v>444</v>
      </c>
      <c r="K935" s="35" t="s">
        <v>290</v>
      </c>
      <c r="L935" s="33" t="s">
        <v>210</v>
      </c>
      <c r="M935" s="33">
        <v>8967</v>
      </c>
      <c r="N935" s="36"/>
      <c r="O935" s="33">
        <v>3</v>
      </c>
      <c r="P935" s="33">
        <f>IF(Tabela1[[#This Row],[Status]]="✔️",Tabela1[[#This Row],[Peso]],IF(Tabela1[[#This Row],[Status]]="✔️✔️",Tabela1[[#This Row],[Peso]]/2,0))</f>
        <v>0</v>
      </c>
      <c r="Q93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35" s="33" t="s">
        <v>187</v>
      </c>
      <c r="S935" s="37" t="s">
        <v>132</v>
      </c>
    </row>
    <row r="936" spans="8:19" ht="27.6" x14ac:dyDescent="0.3">
      <c r="H936" s="32" t="s">
        <v>83</v>
      </c>
      <c r="I936" s="33" t="s">
        <v>30</v>
      </c>
      <c r="J936" s="34" t="s">
        <v>438</v>
      </c>
      <c r="K936" s="35" t="s">
        <v>0</v>
      </c>
      <c r="L936" s="33"/>
      <c r="M936" s="33"/>
      <c r="N936" s="36"/>
      <c r="O936" s="33">
        <v>3</v>
      </c>
      <c r="P936" s="33">
        <f>IF(Tabela1[[#This Row],[Status]]="✔️",Tabela1[[#This Row],[Peso]],IF(Tabela1[[#This Row],[Status]]="✔️✔️",Tabela1[[#This Row],[Peso]]/2,0))</f>
        <v>3</v>
      </c>
      <c r="Q93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36" s="33" t="s">
        <v>127</v>
      </c>
      <c r="S936" s="37" t="s">
        <v>128</v>
      </c>
    </row>
    <row r="937" spans="8:19" ht="27" customHeight="1" x14ac:dyDescent="0.3">
      <c r="H937" s="32" t="s">
        <v>83</v>
      </c>
      <c r="I937" s="33" t="s">
        <v>10</v>
      </c>
      <c r="J937" s="34" t="s">
        <v>11</v>
      </c>
      <c r="K937" s="35" t="s">
        <v>0</v>
      </c>
      <c r="L937" s="33"/>
      <c r="M937" s="33"/>
      <c r="N937" s="36"/>
      <c r="O937" s="33">
        <v>3</v>
      </c>
      <c r="P937" s="33">
        <f>IF(Tabela1[[#This Row],[Status]]="✔️",Tabela1[[#This Row],[Peso]],IF(Tabela1[[#This Row],[Status]]="✔️✔️",Tabela1[[#This Row],[Peso]]/2,0))</f>
        <v>3</v>
      </c>
      <c r="Q93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37" s="33" t="s">
        <v>127</v>
      </c>
      <c r="S937" s="37" t="s">
        <v>128</v>
      </c>
    </row>
    <row r="938" spans="8:19" ht="35.4" customHeight="1" x14ac:dyDescent="0.3">
      <c r="H938" s="32" t="s">
        <v>83</v>
      </c>
      <c r="I938" s="33" t="s">
        <v>10</v>
      </c>
      <c r="J938" s="34" t="s">
        <v>439</v>
      </c>
      <c r="K938" s="35" t="s">
        <v>0</v>
      </c>
      <c r="L938" s="33"/>
      <c r="M938" s="33"/>
      <c r="N938" s="36"/>
      <c r="O938" s="33">
        <v>3</v>
      </c>
      <c r="P938" s="33">
        <f>IF(Tabela1[[#This Row],[Status]]="✔️",Tabela1[[#This Row],[Peso]],IF(Tabela1[[#This Row],[Status]]="✔️✔️",Tabela1[[#This Row],[Peso]]/2,0))</f>
        <v>3</v>
      </c>
      <c r="Q93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38" s="33" t="s">
        <v>127</v>
      </c>
      <c r="S938" s="37" t="s">
        <v>128</v>
      </c>
    </row>
    <row r="939" spans="8:19" ht="34.200000000000003" customHeight="1" x14ac:dyDescent="0.3">
      <c r="H939" s="32" t="s">
        <v>83</v>
      </c>
      <c r="I939" s="33" t="s">
        <v>10</v>
      </c>
      <c r="J939" s="34" t="s">
        <v>440</v>
      </c>
      <c r="K939" s="35" t="s">
        <v>0</v>
      </c>
      <c r="L939" s="33"/>
      <c r="M939" s="33"/>
      <c r="N939" s="36"/>
      <c r="O939" s="33">
        <v>3</v>
      </c>
      <c r="P939" s="33">
        <f>IF(Tabela1[[#This Row],[Status]]="✔️",Tabela1[[#This Row],[Peso]],IF(Tabela1[[#This Row],[Status]]="✔️✔️",Tabela1[[#This Row],[Peso]]/2,0))</f>
        <v>3</v>
      </c>
      <c r="Q93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39" s="33" t="s">
        <v>127</v>
      </c>
      <c r="S939" s="37" t="s">
        <v>128</v>
      </c>
    </row>
    <row r="940" spans="8:19" ht="34.799999999999997" customHeight="1" x14ac:dyDescent="0.3">
      <c r="H940" s="32" t="s">
        <v>83</v>
      </c>
      <c r="I940" s="33" t="s">
        <v>12</v>
      </c>
      <c r="J940" s="34" t="s">
        <v>13</v>
      </c>
      <c r="K940" s="35" t="s">
        <v>290</v>
      </c>
      <c r="L940" s="33" t="s">
        <v>65</v>
      </c>
      <c r="M940" s="33">
        <v>2955</v>
      </c>
      <c r="N940" s="36"/>
      <c r="O940" s="33">
        <v>2</v>
      </c>
      <c r="P940" s="33">
        <f>IF(Tabela1[[#This Row],[Status]]="✔️",Tabela1[[#This Row],[Peso]],IF(Tabela1[[#This Row],[Status]]="✔️✔️",Tabela1[[#This Row],[Peso]]/2,0))</f>
        <v>0</v>
      </c>
      <c r="Q940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940" s="33" t="s">
        <v>127</v>
      </c>
      <c r="S940" s="37" t="s">
        <v>128</v>
      </c>
    </row>
    <row r="941" spans="8:19" ht="27.6" x14ac:dyDescent="0.3">
      <c r="H941" s="32" t="s">
        <v>83</v>
      </c>
      <c r="I941" s="33" t="s">
        <v>14</v>
      </c>
      <c r="J941" s="34" t="s">
        <v>15</v>
      </c>
      <c r="K941" s="35" t="s">
        <v>290</v>
      </c>
      <c r="L941" s="33" t="s">
        <v>88</v>
      </c>
      <c r="M941" s="33">
        <v>2083</v>
      </c>
      <c r="N941" s="36"/>
      <c r="O941" s="33">
        <v>3</v>
      </c>
      <c r="P941" s="33">
        <f>IF(Tabela1[[#This Row],[Status]]="✔️",Tabela1[[#This Row],[Peso]],IF(Tabela1[[#This Row],[Status]]="✔️✔️",Tabela1[[#This Row],[Peso]]/2,0))</f>
        <v>0</v>
      </c>
      <c r="Q94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41" s="33" t="s">
        <v>127</v>
      </c>
      <c r="S941" s="33" t="s">
        <v>128</v>
      </c>
    </row>
    <row r="942" spans="8:19" ht="27.6" x14ac:dyDescent="0.3">
      <c r="H942" s="32" t="s">
        <v>83</v>
      </c>
      <c r="I942" s="33" t="s">
        <v>14</v>
      </c>
      <c r="J942" s="34" t="s">
        <v>16</v>
      </c>
      <c r="K942" s="35" t="s">
        <v>290</v>
      </c>
      <c r="L942" s="33" t="s">
        <v>84</v>
      </c>
      <c r="M942" s="33">
        <v>9172</v>
      </c>
      <c r="N942" s="36"/>
      <c r="O942" s="33">
        <v>1</v>
      </c>
      <c r="P942" s="33">
        <f>IF(Tabela1[[#This Row],[Status]]="✔️",Tabela1[[#This Row],[Peso]],IF(Tabela1[[#This Row],[Status]]="✔️✔️",Tabela1[[#This Row],[Peso]]/2,0))</f>
        <v>0</v>
      </c>
      <c r="Q94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942" s="33" t="s">
        <v>127</v>
      </c>
      <c r="S942" s="37" t="s">
        <v>128</v>
      </c>
    </row>
    <row r="943" spans="8:19" ht="27.6" x14ac:dyDescent="0.3">
      <c r="H943" s="32" t="s">
        <v>83</v>
      </c>
      <c r="I943" s="33" t="s">
        <v>17</v>
      </c>
      <c r="J943" s="34" t="s">
        <v>18</v>
      </c>
      <c r="K943" s="35" t="s">
        <v>290</v>
      </c>
      <c r="L943" s="33" t="s">
        <v>85</v>
      </c>
      <c r="M943" s="33">
        <v>1254</v>
      </c>
      <c r="N943" s="36"/>
      <c r="O943" s="33">
        <v>3</v>
      </c>
      <c r="P943" s="33">
        <f>IF(Tabela1[[#This Row],[Status]]="✔️",Tabela1[[#This Row],[Peso]],IF(Tabela1[[#This Row],[Status]]="✔️✔️",Tabela1[[#This Row],[Peso]]/2,0))</f>
        <v>0</v>
      </c>
      <c r="Q94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43" s="33" t="s">
        <v>127</v>
      </c>
      <c r="S943" s="37" t="s">
        <v>128</v>
      </c>
    </row>
    <row r="944" spans="8:19" ht="27.6" x14ac:dyDescent="0.3">
      <c r="H944" s="32" t="s">
        <v>83</v>
      </c>
      <c r="I944" s="33" t="s">
        <v>17</v>
      </c>
      <c r="J944" s="34" t="s">
        <v>19</v>
      </c>
      <c r="K944" s="35" t="s">
        <v>0</v>
      </c>
      <c r="L944" s="33"/>
      <c r="M944" s="33"/>
      <c r="N944" s="36"/>
      <c r="O944" s="33">
        <v>3</v>
      </c>
      <c r="P944" s="33">
        <f>IF(Tabela1[[#This Row],[Status]]="✔️",Tabela1[[#This Row],[Peso]],IF(Tabela1[[#This Row],[Status]]="✔️✔️",Tabela1[[#This Row],[Peso]]/2,0))</f>
        <v>3</v>
      </c>
      <c r="Q94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44" s="33" t="s">
        <v>127</v>
      </c>
      <c r="S944" s="37" t="s">
        <v>128</v>
      </c>
    </row>
    <row r="945" spans="1:1020 1029:2040 2049:3070 3079:4090 4099:5120 5129:6140 6149:7160 7169:8190 8199:9210 9219:10240 10249:11260 11269:12280 12289:13310 13319:14330 14339:15360 15369:16380" ht="27.6" x14ac:dyDescent="0.3">
      <c r="H945" s="32" t="s">
        <v>83</v>
      </c>
      <c r="I945" s="33" t="s">
        <v>20</v>
      </c>
      <c r="J945" s="34" t="s">
        <v>21</v>
      </c>
      <c r="K945" s="35" t="s">
        <v>0</v>
      </c>
      <c r="L945" s="33"/>
      <c r="M945" s="33"/>
      <c r="N945" s="36"/>
      <c r="O945" s="33">
        <v>3</v>
      </c>
      <c r="P945" s="33">
        <f>IF(Tabela1[[#This Row],[Status]]="✔️",Tabela1[[#This Row],[Peso]],IF(Tabela1[[#This Row],[Status]]="✔️✔️",Tabela1[[#This Row],[Peso]]/2,0))</f>
        <v>3</v>
      </c>
      <c r="Q94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45" s="33" t="s">
        <v>127</v>
      </c>
      <c r="S945" s="37" t="s">
        <v>128</v>
      </c>
    </row>
    <row r="946" spans="1:1020 1029:2040 2049:3070 3079:4090 4099:5120 5129:6140 6149:7160 7169:8190 8199:9210 9219:10240 10249:11260 11269:12280 12289:13310 13319:14330 14339:15360 15369:16380" ht="27.6" x14ac:dyDescent="0.3">
      <c r="H946" s="32" t="s">
        <v>83</v>
      </c>
      <c r="I946" s="33" t="s">
        <v>20</v>
      </c>
      <c r="J946" s="34" t="s">
        <v>441</v>
      </c>
      <c r="K946" s="35" t="s">
        <v>290</v>
      </c>
      <c r="L946" s="33" t="s">
        <v>90</v>
      </c>
      <c r="M946" s="33">
        <v>9172</v>
      </c>
      <c r="N946" s="36"/>
      <c r="O946" s="33">
        <v>1</v>
      </c>
      <c r="P946" s="33">
        <f>IF(Tabela1[[#This Row],[Status]]="✔️",Tabela1[[#This Row],[Peso]],IF(Tabela1[[#This Row],[Status]]="✔️✔️",Tabela1[[#This Row],[Peso]]/2,0))</f>
        <v>0</v>
      </c>
      <c r="Q94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946" s="33" t="s">
        <v>127</v>
      </c>
      <c r="S946" s="37" t="s">
        <v>128</v>
      </c>
    </row>
    <row r="947" spans="1:1020 1029:2040 2049:3070 3079:4090 4099:5120 5129:6140 6149:7160 7169:8190 8199:9210 9219:10240 10249:11260 11269:12280 12289:13310 13319:14330 14339:15360 15369:16380" ht="27.6" x14ac:dyDescent="0.3">
      <c r="H947" s="32" t="s">
        <v>83</v>
      </c>
      <c r="I947" s="33" t="s">
        <v>25</v>
      </c>
      <c r="J947" s="34" t="s">
        <v>28</v>
      </c>
      <c r="K947" s="35" t="s">
        <v>0</v>
      </c>
      <c r="L947" s="33" t="s">
        <v>86</v>
      </c>
      <c r="M947" s="33"/>
      <c r="N947" s="36"/>
      <c r="O947" s="33">
        <v>3</v>
      </c>
      <c r="P947" s="33">
        <f>IF(Tabela1[[#This Row],[Status]]="✔️",Tabela1[[#This Row],[Peso]],IF(Tabela1[[#This Row],[Status]]="✔️✔️",Tabela1[[#This Row],[Peso]]/2,0))</f>
        <v>3</v>
      </c>
      <c r="Q94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47" s="33" t="s">
        <v>127</v>
      </c>
      <c r="S947" s="37" t="s">
        <v>128</v>
      </c>
    </row>
    <row r="948" spans="1:1020 1029:2040 2049:3070 3079:4090 4099:5120 5129:6140 6149:7160 7169:8190 8199:9210 9219:10240 10249:11260 11269:12280 12289:13310 13319:14330 14339:15360 15369:16380" ht="27.6" x14ac:dyDescent="0.3">
      <c r="H948" s="32" t="s">
        <v>83</v>
      </c>
      <c r="I948" s="33" t="s">
        <v>25</v>
      </c>
      <c r="J948" s="34" t="s">
        <v>29</v>
      </c>
      <c r="K948" s="35" t="s">
        <v>0</v>
      </c>
      <c r="L948" s="33"/>
      <c r="M948" s="33"/>
      <c r="N948" s="36"/>
      <c r="O948" s="33">
        <v>3</v>
      </c>
      <c r="P948" s="33">
        <f>IF(Tabela1[[#This Row],[Status]]="✔️",Tabela1[[#This Row],[Peso]],IF(Tabela1[[#This Row],[Status]]="✔️✔️",Tabela1[[#This Row],[Peso]]/2,0))</f>
        <v>3</v>
      </c>
      <c r="Q94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48" s="33" t="s">
        <v>127</v>
      </c>
      <c r="S948" s="37" t="s">
        <v>128</v>
      </c>
    </row>
    <row r="949" spans="1:1020 1029:2040 2049:3070 3079:4090 4099:5120 5129:6140 6149:7160 7169:8190 8199:9210 9219:10240 10249:11260 11269:12280 12289:13310 13319:14330 14339:15360 15369:16380" ht="28.8" customHeight="1" x14ac:dyDescent="0.3">
      <c r="H949" s="32" t="s">
        <v>83</v>
      </c>
      <c r="I949" s="33" t="s">
        <v>25</v>
      </c>
      <c r="J949" s="34" t="s">
        <v>449</v>
      </c>
      <c r="K949" s="35" t="s">
        <v>0</v>
      </c>
      <c r="L949" s="33"/>
      <c r="M949" s="33"/>
      <c r="N949" s="36"/>
      <c r="O949" s="33">
        <v>3</v>
      </c>
      <c r="P949" s="33">
        <f>IF(Tabela1[[#This Row],[Status]]="✔️",Tabela1[[#This Row],[Peso]],IF(Tabela1[[#This Row],[Status]]="✔️✔️",Tabela1[[#This Row],[Peso]]/2,0))</f>
        <v>3</v>
      </c>
      <c r="Q94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49" s="33" t="s">
        <v>127</v>
      </c>
      <c r="S949" s="37" t="s">
        <v>128</v>
      </c>
    </row>
    <row r="950" spans="1:1020 1029:2040 2049:3070 3079:4090 4099:5120 5129:6140 6149:7160 7169:8190 8199:9210 9219:10240 10249:11260 11269:12280 12289:13310 13319:14330 14339:15360 15369:16380" s="10" customFormat="1" ht="28.8" customHeight="1" x14ac:dyDescent="0.3">
      <c r="A950"/>
      <c r="B950"/>
      <c r="C950"/>
      <c r="D950"/>
      <c r="E950"/>
      <c r="F950"/>
      <c r="G950"/>
      <c r="H950" s="32" t="s">
        <v>83</v>
      </c>
      <c r="I950" s="33" t="s">
        <v>41</v>
      </c>
      <c r="J950" s="34" t="s">
        <v>442</v>
      </c>
      <c r="K950" s="35" t="s">
        <v>290</v>
      </c>
      <c r="L950" s="33" t="s">
        <v>47</v>
      </c>
      <c r="M950" s="33">
        <v>8115</v>
      </c>
      <c r="N950" s="36"/>
      <c r="O950" s="33">
        <v>3</v>
      </c>
      <c r="P950" s="33">
        <f>IF(Tabela1[[#This Row],[Status]]="✔️",Tabela1[[#This Row],[Peso]],IF(Tabela1[[#This Row],[Status]]="✔️✔️",Tabela1[[#This Row],[Peso]]/2,0))</f>
        <v>0</v>
      </c>
      <c r="Q95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50" s="33" t="s">
        <v>127</v>
      </c>
      <c r="S950" s="37" t="s">
        <v>128</v>
      </c>
      <c r="T950" s="12"/>
      <c r="AC950" s="11"/>
      <c r="AD950" s="12"/>
      <c r="AM950" s="11"/>
      <c r="AN950" s="12"/>
      <c r="AW950" s="11"/>
      <c r="AX950" s="12"/>
      <c r="BG950" s="11"/>
      <c r="BH950" s="12"/>
      <c r="BQ950" s="11"/>
      <c r="BR950" s="12"/>
      <c r="CA950" s="11"/>
      <c r="CB950" s="12"/>
      <c r="CK950" s="11"/>
      <c r="CL950" s="12"/>
      <c r="CU950" s="11"/>
      <c r="CV950" s="12"/>
      <c r="DE950" s="11"/>
      <c r="DF950" s="12"/>
      <c r="DO950" s="11"/>
      <c r="DP950" s="12"/>
      <c r="DY950" s="11"/>
      <c r="DZ950" s="12"/>
      <c r="EI950" s="11"/>
      <c r="EJ950" s="12"/>
      <c r="ES950" s="11"/>
      <c r="ET950" s="12"/>
      <c r="FC950" s="11"/>
      <c r="FD950" s="12"/>
      <c r="FM950" s="11"/>
      <c r="FN950" s="12"/>
      <c r="FW950" s="11"/>
      <c r="FX950" s="12"/>
      <c r="GG950" s="11"/>
      <c r="GH950" s="12"/>
      <c r="GQ950" s="11"/>
      <c r="GR950" s="12"/>
      <c r="HA950" s="11"/>
      <c r="HB950" s="12"/>
      <c r="HK950" s="11"/>
      <c r="HL950" s="12"/>
      <c r="HU950" s="11"/>
      <c r="HV950" s="12"/>
      <c r="IE950" s="11"/>
      <c r="IF950" s="12"/>
      <c r="IO950" s="11"/>
      <c r="IP950" s="12"/>
      <c r="IY950" s="11"/>
      <c r="IZ950" s="12"/>
      <c r="JI950" s="11"/>
      <c r="JJ950" s="12"/>
      <c r="JS950" s="11"/>
      <c r="JT950" s="12"/>
      <c r="KC950" s="11"/>
      <c r="KD950" s="12"/>
      <c r="KM950" s="11"/>
      <c r="KN950" s="12"/>
      <c r="KW950" s="11"/>
      <c r="KX950" s="12"/>
      <c r="LG950" s="11"/>
      <c r="LH950" s="12"/>
      <c r="LQ950" s="11"/>
      <c r="LR950" s="12"/>
      <c r="MA950" s="11"/>
      <c r="MB950" s="12"/>
      <c r="MK950" s="11"/>
      <c r="ML950" s="12"/>
      <c r="MU950" s="11"/>
      <c r="MV950" s="12"/>
      <c r="NE950" s="11"/>
      <c r="NF950" s="12"/>
      <c r="NO950" s="11"/>
      <c r="NP950" s="12"/>
      <c r="NY950" s="11"/>
      <c r="NZ950" s="12"/>
      <c r="OI950" s="11"/>
      <c r="OJ950" s="12"/>
      <c r="OS950" s="11"/>
      <c r="OT950" s="12"/>
      <c r="PC950" s="11"/>
      <c r="PD950" s="12"/>
      <c r="PM950" s="11"/>
      <c r="PN950" s="12"/>
      <c r="PW950" s="11"/>
      <c r="PX950" s="12"/>
      <c r="QG950" s="11"/>
      <c r="QH950" s="12"/>
      <c r="QQ950" s="11"/>
      <c r="QR950" s="12"/>
      <c r="RA950" s="11"/>
      <c r="RB950" s="12"/>
      <c r="RK950" s="11"/>
      <c r="RL950" s="12"/>
      <c r="RU950" s="11"/>
      <c r="RV950" s="12"/>
      <c r="SE950" s="11"/>
      <c r="SF950" s="12"/>
      <c r="SO950" s="11"/>
      <c r="SP950" s="12"/>
      <c r="SY950" s="11"/>
      <c r="SZ950" s="12"/>
      <c r="TI950" s="11"/>
      <c r="TJ950" s="12"/>
      <c r="TS950" s="11"/>
      <c r="TT950" s="12"/>
      <c r="UC950" s="11"/>
      <c r="UD950" s="12"/>
      <c r="UM950" s="11"/>
      <c r="UN950" s="12"/>
      <c r="UW950" s="11"/>
      <c r="UX950" s="12"/>
      <c r="VG950" s="11"/>
      <c r="VH950" s="12"/>
      <c r="VQ950" s="11"/>
      <c r="VR950" s="12"/>
      <c r="WA950" s="11"/>
      <c r="WB950" s="12"/>
      <c r="WK950" s="11"/>
      <c r="WL950" s="12"/>
      <c r="WU950" s="11"/>
      <c r="WV950" s="12"/>
      <c r="XE950" s="11"/>
      <c r="XF950" s="12"/>
      <c r="XO950" s="11"/>
      <c r="XP950" s="12"/>
      <c r="XY950" s="11"/>
      <c r="XZ950" s="12"/>
      <c r="YI950" s="11"/>
      <c r="YJ950" s="12"/>
      <c r="YS950" s="11"/>
      <c r="YT950" s="12"/>
      <c r="ZC950" s="11"/>
      <c r="ZD950" s="12"/>
      <c r="ZM950" s="11"/>
      <c r="ZN950" s="12"/>
      <c r="ZW950" s="11"/>
      <c r="ZX950" s="12"/>
      <c r="AAG950" s="11"/>
      <c r="AAH950" s="12"/>
      <c r="AAQ950" s="11"/>
      <c r="AAR950" s="12"/>
      <c r="ABA950" s="11"/>
      <c r="ABB950" s="12"/>
      <c r="ABK950" s="11"/>
      <c r="ABL950" s="12"/>
      <c r="ABU950" s="11"/>
      <c r="ABV950" s="12"/>
      <c r="ACE950" s="11"/>
      <c r="ACF950" s="12"/>
      <c r="ACO950" s="11"/>
      <c r="ACP950" s="12"/>
      <c r="ACY950" s="11"/>
      <c r="ACZ950" s="12"/>
      <c r="ADI950" s="11"/>
      <c r="ADJ950" s="12"/>
      <c r="ADS950" s="11"/>
      <c r="ADT950" s="12"/>
      <c r="AEC950" s="11"/>
      <c r="AED950" s="12"/>
      <c r="AEM950" s="11"/>
      <c r="AEN950" s="12"/>
      <c r="AEW950" s="11"/>
      <c r="AEX950" s="12"/>
      <c r="AFG950" s="11"/>
      <c r="AFH950" s="12"/>
      <c r="AFQ950" s="11"/>
      <c r="AFR950" s="12"/>
      <c r="AGA950" s="11"/>
      <c r="AGB950" s="12"/>
      <c r="AGK950" s="11"/>
      <c r="AGL950" s="12"/>
      <c r="AGU950" s="11"/>
      <c r="AGV950" s="12"/>
      <c r="AHE950" s="11"/>
      <c r="AHF950" s="12"/>
      <c r="AHO950" s="11"/>
      <c r="AHP950" s="12"/>
      <c r="AHY950" s="11"/>
      <c r="AHZ950" s="12"/>
      <c r="AII950" s="11"/>
      <c r="AIJ950" s="12"/>
      <c r="AIS950" s="11"/>
      <c r="AIT950" s="12"/>
      <c r="AJC950" s="11"/>
      <c r="AJD950" s="12"/>
      <c r="AJM950" s="11"/>
      <c r="AJN950" s="12"/>
      <c r="AJW950" s="11"/>
      <c r="AJX950" s="12"/>
      <c r="AKG950" s="11"/>
      <c r="AKH950" s="12"/>
      <c r="AKQ950" s="11"/>
      <c r="AKR950" s="12"/>
      <c r="ALA950" s="11"/>
      <c r="ALB950" s="12"/>
      <c r="ALK950" s="11"/>
      <c r="ALL950" s="12"/>
      <c r="ALU950" s="11"/>
      <c r="ALV950" s="12"/>
      <c r="AME950" s="11"/>
      <c r="AMF950" s="12"/>
      <c r="AMO950" s="11"/>
      <c r="AMP950" s="12"/>
      <c r="AMY950" s="11"/>
      <c r="AMZ950" s="12"/>
      <c r="ANI950" s="11"/>
      <c r="ANJ950" s="12"/>
      <c r="ANS950" s="11"/>
      <c r="ANT950" s="12"/>
      <c r="AOC950" s="11"/>
      <c r="AOD950" s="12"/>
      <c r="AOM950" s="11"/>
      <c r="AON950" s="12"/>
      <c r="AOW950" s="11"/>
      <c r="AOX950" s="12"/>
      <c r="APG950" s="11"/>
      <c r="APH950" s="12"/>
      <c r="APQ950" s="11"/>
      <c r="APR950" s="12"/>
      <c r="AQA950" s="11"/>
      <c r="AQB950" s="12"/>
      <c r="AQK950" s="11"/>
      <c r="AQL950" s="12"/>
      <c r="AQU950" s="11"/>
      <c r="AQV950" s="12"/>
      <c r="ARE950" s="11"/>
      <c r="ARF950" s="12"/>
      <c r="ARO950" s="11"/>
      <c r="ARP950" s="12"/>
      <c r="ARY950" s="11"/>
      <c r="ARZ950" s="12"/>
      <c r="ASI950" s="11"/>
      <c r="ASJ950" s="12"/>
      <c r="ASS950" s="11"/>
      <c r="AST950" s="12"/>
      <c r="ATC950" s="11"/>
      <c r="ATD950" s="12"/>
      <c r="ATM950" s="11"/>
      <c r="ATN950" s="12"/>
      <c r="ATW950" s="11"/>
      <c r="ATX950" s="12"/>
      <c r="AUG950" s="11"/>
      <c r="AUH950" s="12"/>
      <c r="AUQ950" s="11"/>
      <c r="AUR950" s="12"/>
      <c r="AVA950" s="11"/>
      <c r="AVB950" s="12"/>
      <c r="AVK950" s="11"/>
      <c r="AVL950" s="12"/>
      <c r="AVU950" s="11"/>
      <c r="AVV950" s="12"/>
      <c r="AWE950" s="11"/>
      <c r="AWF950" s="12"/>
      <c r="AWO950" s="11"/>
      <c r="AWP950" s="12"/>
      <c r="AWY950" s="11"/>
      <c r="AWZ950" s="12"/>
      <c r="AXI950" s="11"/>
      <c r="AXJ950" s="12"/>
      <c r="AXS950" s="11"/>
      <c r="AXT950" s="12"/>
      <c r="AYC950" s="11"/>
      <c r="AYD950" s="12"/>
      <c r="AYM950" s="11"/>
      <c r="AYN950" s="12"/>
      <c r="AYW950" s="11"/>
      <c r="AYX950" s="12"/>
      <c r="AZG950" s="11"/>
      <c r="AZH950" s="12"/>
      <c r="AZQ950" s="11"/>
      <c r="AZR950" s="12"/>
      <c r="BAA950" s="11"/>
      <c r="BAB950" s="12"/>
      <c r="BAK950" s="11"/>
      <c r="BAL950" s="12"/>
      <c r="BAU950" s="11"/>
      <c r="BAV950" s="12"/>
      <c r="BBE950" s="11"/>
      <c r="BBF950" s="12"/>
      <c r="BBO950" s="11"/>
      <c r="BBP950" s="12"/>
      <c r="BBY950" s="11"/>
      <c r="BBZ950" s="12"/>
      <c r="BCI950" s="11"/>
      <c r="BCJ950" s="12"/>
      <c r="BCS950" s="11"/>
      <c r="BCT950" s="12"/>
      <c r="BDC950" s="11"/>
      <c r="BDD950" s="12"/>
      <c r="BDM950" s="11"/>
      <c r="BDN950" s="12"/>
      <c r="BDW950" s="11"/>
      <c r="BDX950" s="12"/>
      <c r="BEG950" s="11"/>
      <c r="BEH950" s="12"/>
      <c r="BEQ950" s="11"/>
      <c r="BER950" s="12"/>
      <c r="BFA950" s="11"/>
      <c r="BFB950" s="12"/>
      <c r="BFK950" s="11"/>
      <c r="BFL950" s="12"/>
      <c r="BFU950" s="11"/>
      <c r="BFV950" s="12"/>
      <c r="BGE950" s="11"/>
      <c r="BGF950" s="12"/>
      <c r="BGO950" s="11"/>
      <c r="BGP950" s="12"/>
      <c r="BGY950" s="11"/>
      <c r="BGZ950" s="12"/>
      <c r="BHI950" s="11"/>
      <c r="BHJ950" s="12"/>
      <c r="BHS950" s="11"/>
      <c r="BHT950" s="12"/>
      <c r="BIC950" s="11"/>
      <c r="BID950" s="12"/>
      <c r="BIM950" s="11"/>
      <c r="BIN950" s="12"/>
      <c r="BIW950" s="11"/>
      <c r="BIX950" s="12"/>
      <c r="BJG950" s="11"/>
      <c r="BJH950" s="12"/>
      <c r="BJQ950" s="11"/>
      <c r="BJR950" s="12"/>
      <c r="BKA950" s="11"/>
      <c r="BKB950" s="12"/>
      <c r="BKK950" s="11"/>
      <c r="BKL950" s="12"/>
      <c r="BKU950" s="11"/>
      <c r="BKV950" s="12"/>
      <c r="BLE950" s="11"/>
      <c r="BLF950" s="12"/>
      <c r="BLO950" s="11"/>
      <c r="BLP950" s="12"/>
      <c r="BLY950" s="11"/>
      <c r="BLZ950" s="12"/>
      <c r="BMI950" s="11"/>
      <c r="BMJ950" s="12"/>
      <c r="BMS950" s="11"/>
      <c r="BMT950" s="12"/>
      <c r="BNC950" s="11"/>
      <c r="BND950" s="12"/>
      <c r="BNM950" s="11"/>
      <c r="BNN950" s="12"/>
      <c r="BNW950" s="11"/>
      <c r="BNX950" s="12"/>
      <c r="BOG950" s="11"/>
      <c r="BOH950" s="12"/>
      <c r="BOQ950" s="11"/>
      <c r="BOR950" s="12"/>
      <c r="BPA950" s="11"/>
      <c r="BPB950" s="12"/>
      <c r="BPK950" s="11"/>
      <c r="BPL950" s="12"/>
      <c r="BPU950" s="11"/>
      <c r="BPV950" s="12"/>
      <c r="BQE950" s="11"/>
      <c r="BQF950" s="12"/>
      <c r="BQO950" s="11"/>
      <c r="BQP950" s="12"/>
      <c r="BQY950" s="11"/>
      <c r="BQZ950" s="12"/>
      <c r="BRI950" s="11"/>
      <c r="BRJ950" s="12"/>
      <c r="BRS950" s="11"/>
      <c r="BRT950" s="12"/>
      <c r="BSC950" s="11"/>
      <c r="BSD950" s="12"/>
      <c r="BSM950" s="11"/>
      <c r="BSN950" s="12"/>
      <c r="BSW950" s="11"/>
      <c r="BSX950" s="12"/>
      <c r="BTG950" s="11"/>
      <c r="BTH950" s="12"/>
      <c r="BTQ950" s="11"/>
      <c r="BTR950" s="12"/>
      <c r="BUA950" s="11"/>
      <c r="BUB950" s="12"/>
      <c r="BUK950" s="11"/>
      <c r="BUL950" s="12"/>
      <c r="BUU950" s="11"/>
      <c r="BUV950" s="12"/>
      <c r="BVE950" s="11"/>
      <c r="BVF950" s="12"/>
      <c r="BVO950" s="11"/>
      <c r="BVP950" s="12"/>
      <c r="BVY950" s="11"/>
      <c r="BVZ950" s="12"/>
      <c r="BWI950" s="11"/>
      <c r="BWJ950" s="12"/>
      <c r="BWS950" s="11"/>
      <c r="BWT950" s="12"/>
      <c r="BXC950" s="11"/>
      <c r="BXD950" s="12"/>
      <c r="BXM950" s="11"/>
      <c r="BXN950" s="12"/>
      <c r="BXW950" s="11"/>
      <c r="BXX950" s="12"/>
      <c r="BYG950" s="11"/>
      <c r="BYH950" s="12"/>
      <c r="BYQ950" s="11"/>
      <c r="BYR950" s="12"/>
      <c r="BZA950" s="11"/>
      <c r="BZB950" s="12"/>
      <c r="BZK950" s="11"/>
      <c r="BZL950" s="12"/>
      <c r="BZU950" s="11"/>
      <c r="BZV950" s="12"/>
      <c r="CAE950" s="11"/>
      <c r="CAF950" s="12"/>
      <c r="CAO950" s="11"/>
      <c r="CAP950" s="12"/>
      <c r="CAY950" s="11"/>
      <c r="CAZ950" s="12"/>
      <c r="CBI950" s="11"/>
      <c r="CBJ950" s="12"/>
      <c r="CBS950" s="11"/>
      <c r="CBT950" s="12"/>
      <c r="CCC950" s="11"/>
      <c r="CCD950" s="12"/>
      <c r="CCM950" s="11"/>
      <c r="CCN950" s="12"/>
      <c r="CCW950" s="11"/>
      <c r="CCX950" s="12"/>
      <c r="CDG950" s="11"/>
      <c r="CDH950" s="12"/>
      <c r="CDQ950" s="11"/>
      <c r="CDR950" s="12"/>
      <c r="CEA950" s="11"/>
      <c r="CEB950" s="12"/>
      <c r="CEK950" s="11"/>
      <c r="CEL950" s="12"/>
      <c r="CEU950" s="11"/>
      <c r="CEV950" s="12"/>
      <c r="CFE950" s="11"/>
      <c r="CFF950" s="12"/>
      <c r="CFO950" s="11"/>
      <c r="CFP950" s="12"/>
      <c r="CFY950" s="11"/>
      <c r="CFZ950" s="12"/>
      <c r="CGI950" s="11"/>
      <c r="CGJ950" s="12"/>
      <c r="CGS950" s="11"/>
      <c r="CGT950" s="12"/>
      <c r="CHC950" s="11"/>
      <c r="CHD950" s="12"/>
      <c r="CHM950" s="11"/>
      <c r="CHN950" s="12"/>
      <c r="CHW950" s="11"/>
      <c r="CHX950" s="12"/>
      <c r="CIG950" s="11"/>
      <c r="CIH950" s="12"/>
      <c r="CIQ950" s="11"/>
      <c r="CIR950" s="12"/>
      <c r="CJA950" s="11"/>
      <c r="CJB950" s="12"/>
      <c r="CJK950" s="11"/>
      <c r="CJL950" s="12"/>
      <c r="CJU950" s="11"/>
      <c r="CJV950" s="12"/>
      <c r="CKE950" s="11"/>
      <c r="CKF950" s="12"/>
      <c r="CKO950" s="11"/>
      <c r="CKP950" s="12"/>
      <c r="CKY950" s="11"/>
      <c r="CKZ950" s="12"/>
      <c r="CLI950" s="11"/>
      <c r="CLJ950" s="12"/>
      <c r="CLS950" s="11"/>
      <c r="CLT950" s="12"/>
      <c r="CMC950" s="11"/>
      <c r="CMD950" s="12"/>
      <c r="CMM950" s="11"/>
      <c r="CMN950" s="12"/>
      <c r="CMW950" s="11"/>
      <c r="CMX950" s="12"/>
      <c r="CNG950" s="11"/>
      <c r="CNH950" s="12"/>
      <c r="CNQ950" s="11"/>
      <c r="CNR950" s="12"/>
      <c r="COA950" s="11"/>
      <c r="COB950" s="12"/>
      <c r="COK950" s="11"/>
      <c r="COL950" s="12"/>
      <c r="COU950" s="11"/>
      <c r="COV950" s="12"/>
      <c r="CPE950" s="11"/>
      <c r="CPF950" s="12"/>
      <c r="CPO950" s="11"/>
      <c r="CPP950" s="12"/>
      <c r="CPY950" s="11"/>
      <c r="CPZ950" s="12"/>
      <c r="CQI950" s="11"/>
      <c r="CQJ950" s="12"/>
      <c r="CQS950" s="11"/>
      <c r="CQT950" s="12"/>
      <c r="CRC950" s="11"/>
      <c r="CRD950" s="12"/>
      <c r="CRM950" s="11"/>
      <c r="CRN950" s="12"/>
      <c r="CRW950" s="11"/>
      <c r="CRX950" s="12"/>
      <c r="CSG950" s="11"/>
      <c r="CSH950" s="12"/>
      <c r="CSQ950" s="11"/>
      <c r="CSR950" s="12"/>
      <c r="CTA950" s="11"/>
      <c r="CTB950" s="12"/>
      <c r="CTK950" s="11"/>
      <c r="CTL950" s="12"/>
      <c r="CTU950" s="11"/>
      <c r="CTV950" s="12"/>
      <c r="CUE950" s="11"/>
      <c r="CUF950" s="12"/>
      <c r="CUO950" s="11"/>
      <c r="CUP950" s="12"/>
      <c r="CUY950" s="11"/>
      <c r="CUZ950" s="12"/>
      <c r="CVI950" s="11"/>
      <c r="CVJ950" s="12"/>
      <c r="CVS950" s="11"/>
      <c r="CVT950" s="12"/>
      <c r="CWC950" s="11"/>
      <c r="CWD950" s="12"/>
      <c r="CWM950" s="11"/>
      <c r="CWN950" s="12"/>
      <c r="CWW950" s="11"/>
      <c r="CWX950" s="12"/>
      <c r="CXG950" s="11"/>
      <c r="CXH950" s="12"/>
      <c r="CXQ950" s="11"/>
      <c r="CXR950" s="12"/>
      <c r="CYA950" s="11"/>
      <c r="CYB950" s="12"/>
      <c r="CYK950" s="11"/>
      <c r="CYL950" s="12"/>
      <c r="CYU950" s="11"/>
      <c r="CYV950" s="12"/>
      <c r="CZE950" s="11"/>
      <c r="CZF950" s="12"/>
      <c r="CZO950" s="11"/>
      <c r="CZP950" s="12"/>
      <c r="CZY950" s="11"/>
      <c r="CZZ950" s="12"/>
      <c r="DAI950" s="11"/>
      <c r="DAJ950" s="12"/>
      <c r="DAS950" s="11"/>
      <c r="DAT950" s="12"/>
      <c r="DBC950" s="11"/>
      <c r="DBD950" s="12"/>
      <c r="DBM950" s="11"/>
      <c r="DBN950" s="12"/>
      <c r="DBW950" s="11"/>
      <c r="DBX950" s="12"/>
      <c r="DCG950" s="11"/>
      <c r="DCH950" s="12"/>
      <c r="DCQ950" s="11"/>
      <c r="DCR950" s="12"/>
      <c r="DDA950" s="11"/>
      <c r="DDB950" s="12"/>
      <c r="DDK950" s="11"/>
      <c r="DDL950" s="12"/>
      <c r="DDU950" s="11"/>
      <c r="DDV950" s="12"/>
      <c r="DEE950" s="11"/>
      <c r="DEF950" s="12"/>
      <c r="DEO950" s="11"/>
      <c r="DEP950" s="12"/>
      <c r="DEY950" s="11"/>
      <c r="DEZ950" s="12"/>
      <c r="DFI950" s="11"/>
      <c r="DFJ950" s="12"/>
      <c r="DFS950" s="11"/>
      <c r="DFT950" s="12"/>
      <c r="DGC950" s="11"/>
      <c r="DGD950" s="12"/>
      <c r="DGM950" s="11"/>
      <c r="DGN950" s="12"/>
      <c r="DGW950" s="11"/>
      <c r="DGX950" s="12"/>
      <c r="DHG950" s="11"/>
      <c r="DHH950" s="12"/>
      <c r="DHQ950" s="11"/>
      <c r="DHR950" s="12"/>
      <c r="DIA950" s="11"/>
      <c r="DIB950" s="12"/>
      <c r="DIK950" s="11"/>
      <c r="DIL950" s="12"/>
      <c r="DIU950" s="11"/>
      <c r="DIV950" s="12"/>
      <c r="DJE950" s="11"/>
      <c r="DJF950" s="12"/>
      <c r="DJO950" s="11"/>
      <c r="DJP950" s="12"/>
      <c r="DJY950" s="11"/>
      <c r="DJZ950" s="12"/>
      <c r="DKI950" s="11"/>
      <c r="DKJ950" s="12"/>
      <c r="DKS950" s="11"/>
      <c r="DKT950" s="12"/>
      <c r="DLC950" s="11"/>
      <c r="DLD950" s="12"/>
      <c r="DLM950" s="11"/>
      <c r="DLN950" s="12"/>
      <c r="DLW950" s="11"/>
      <c r="DLX950" s="12"/>
      <c r="DMG950" s="11"/>
      <c r="DMH950" s="12"/>
      <c r="DMQ950" s="11"/>
      <c r="DMR950" s="12"/>
      <c r="DNA950" s="11"/>
      <c r="DNB950" s="12"/>
      <c r="DNK950" s="11"/>
      <c r="DNL950" s="12"/>
      <c r="DNU950" s="11"/>
      <c r="DNV950" s="12"/>
      <c r="DOE950" s="11"/>
      <c r="DOF950" s="12"/>
      <c r="DOO950" s="11"/>
      <c r="DOP950" s="12"/>
      <c r="DOY950" s="11"/>
      <c r="DOZ950" s="12"/>
      <c r="DPI950" s="11"/>
      <c r="DPJ950" s="12"/>
      <c r="DPS950" s="11"/>
      <c r="DPT950" s="12"/>
      <c r="DQC950" s="11"/>
      <c r="DQD950" s="12"/>
      <c r="DQM950" s="11"/>
      <c r="DQN950" s="12"/>
      <c r="DQW950" s="11"/>
      <c r="DQX950" s="12"/>
      <c r="DRG950" s="11"/>
      <c r="DRH950" s="12"/>
      <c r="DRQ950" s="11"/>
      <c r="DRR950" s="12"/>
      <c r="DSA950" s="11"/>
      <c r="DSB950" s="12"/>
      <c r="DSK950" s="11"/>
      <c r="DSL950" s="12"/>
      <c r="DSU950" s="11"/>
      <c r="DSV950" s="12"/>
      <c r="DTE950" s="11"/>
      <c r="DTF950" s="12"/>
      <c r="DTO950" s="11"/>
      <c r="DTP950" s="12"/>
      <c r="DTY950" s="11"/>
      <c r="DTZ950" s="12"/>
      <c r="DUI950" s="11"/>
      <c r="DUJ950" s="12"/>
      <c r="DUS950" s="11"/>
      <c r="DUT950" s="12"/>
      <c r="DVC950" s="11"/>
      <c r="DVD950" s="12"/>
      <c r="DVM950" s="11"/>
      <c r="DVN950" s="12"/>
      <c r="DVW950" s="11"/>
      <c r="DVX950" s="12"/>
      <c r="DWG950" s="11"/>
      <c r="DWH950" s="12"/>
      <c r="DWQ950" s="11"/>
      <c r="DWR950" s="12"/>
      <c r="DXA950" s="11"/>
      <c r="DXB950" s="12"/>
      <c r="DXK950" s="11"/>
      <c r="DXL950" s="12"/>
      <c r="DXU950" s="11"/>
      <c r="DXV950" s="12"/>
      <c r="DYE950" s="11"/>
      <c r="DYF950" s="12"/>
      <c r="DYO950" s="11"/>
      <c r="DYP950" s="12"/>
      <c r="DYY950" s="11"/>
      <c r="DYZ950" s="12"/>
      <c r="DZI950" s="11"/>
      <c r="DZJ950" s="12"/>
      <c r="DZS950" s="11"/>
      <c r="DZT950" s="12"/>
      <c r="EAC950" s="11"/>
      <c r="EAD950" s="12"/>
      <c r="EAM950" s="11"/>
      <c r="EAN950" s="12"/>
      <c r="EAW950" s="11"/>
      <c r="EAX950" s="12"/>
      <c r="EBG950" s="11"/>
      <c r="EBH950" s="12"/>
      <c r="EBQ950" s="11"/>
      <c r="EBR950" s="12"/>
      <c r="ECA950" s="11"/>
      <c r="ECB950" s="12"/>
      <c r="ECK950" s="11"/>
      <c r="ECL950" s="12"/>
      <c r="ECU950" s="11"/>
      <c r="ECV950" s="12"/>
      <c r="EDE950" s="11"/>
      <c r="EDF950" s="12"/>
      <c r="EDO950" s="11"/>
      <c r="EDP950" s="12"/>
      <c r="EDY950" s="11"/>
      <c r="EDZ950" s="12"/>
      <c r="EEI950" s="11"/>
      <c r="EEJ950" s="12"/>
      <c r="EES950" s="11"/>
      <c r="EET950" s="12"/>
      <c r="EFC950" s="11"/>
      <c r="EFD950" s="12"/>
      <c r="EFM950" s="11"/>
      <c r="EFN950" s="12"/>
      <c r="EFW950" s="11"/>
      <c r="EFX950" s="12"/>
      <c r="EGG950" s="11"/>
      <c r="EGH950" s="12"/>
      <c r="EGQ950" s="11"/>
      <c r="EGR950" s="12"/>
      <c r="EHA950" s="11"/>
      <c r="EHB950" s="12"/>
      <c r="EHK950" s="11"/>
      <c r="EHL950" s="12"/>
      <c r="EHU950" s="11"/>
      <c r="EHV950" s="12"/>
      <c r="EIE950" s="11"/>
      <c r="EIF950" s="12"/>
      <c r="EIO950" s="11"/>
      <c r="EIP950" s="12"/>
      <c r="EIY950" s="11"/>
      <c r="EIZ950" s="12"/>
      <c r="EJI950" s="11"/>
      <c r="EJJ950" s="12"/>
      <c r="EJS950" s="11"/>
      <c r="EJT950" s="12"/>
      <c r="EKC950" s="11"/>
      <c r="EKD950" s="12"/>
      <c r="EKM950" s="11"/>
      <c r="EKN950" s="12"/>
      <c r="EKW950" s="11"/>
      <c r="EKX950" s="12"/>
      <c r="ELG950" s="11"/>
      <c r="ELH950" s="12"/>
      <c r="ELQ950" s="11"/>
      <c r="ELR950" s="12"/>
      <c r="EMA950" s="11"/>
      <c r="EMB950" s="12"/>
      <c r="EMK950" s="11"/>
      <c r="EML950" s="12"/>
      <c r="EMU950" s="11"/>
      <c r="EMV950" s="12"/>
      <c r="ENE950" s="11"/>
      <c r="ENF950" s="12"/>
      <c r="ENO950" s="11"/>
      <c r="ENP950" s="12"/>
      <c r="ENY950" s="11"/>
      <c r="ENZ950" s="12"/>
      <c r="EOI950" s="11"/>
      <c r="EOJ950" s="12"/>
      <c r="EOS950" s="11"/>
      <c r="EOT950" s="12"/>
      <c r="EPC950" s="11"/>
      <c r="EPD950" s="12"/>
      <c r="EPM950" s="11"/>
      <c r="EPN950" s="12"/>
      <c r="EPW950" s="11"/>
      <c r="EPX950" s="12"/>
      <c r="EQG950" s="11"/>
      <c r="EQH950" s="12"/>
      <c r="EQQ950" s="11"/>
      <c r="EQR950" s="12"/>
      <c r="ERA950" s="11"/>
      <c r="ERB950" s="12"/>
      <c r="ERK950" s="11"/>
      <c r="ERL950" s="12"/>
      <c r="ERU950" s="11"/>
      <c r="ERV950" s="12"/>
      <c r="ESE950" s="11"/>
      <c r="ESF950" s="12"/>
      <c r="ESO950" s="11"/>
      <c r="ESP950" s="12"/>
      <c r="ESY950" s="11"/>
      <c r="ESZ950" s="12"/>
      <c r="ETI950" s="11"/>
      <c r="ETJ950" s="12"/>
      <c r="ETS950" s="11"/>
      <c r="ETT950" s="12"/>
      <c r="EUC950" s="11"/>
      <c r="EUD950" s="12"/>
      <c r="EUM950" s="11"/>
      <c r="EUN950" s="12"/>
      <c r="EUW950" s="11"/>
      <c r="EUX950" s="12"/>
      <c r="EVG950" s="11"/>
      <c r="EVH950" s="12"/>
      <c r="EVQ950" s="11"/>
      <c r="EVR950" s="12"/>
      <c r="EWA950" s="11"/>
      <c r="EWB950" s="12"/>
      <c r="EWK950" s="11"/>
      <c r="EWL950" s="12"/>
      <c r="EWU950" s="11"/>
      <c r="EWV950" s="12"/>
      <c r="EXE950" s="11"/>
      <c r="EXF950" s="12"/>
      <c r="EXO950" s="11"/>
      <c r="EXP950" s="12"/>
      <c r="EXY950" s="11"/>
      <c r="EXZ950" s="12"/>
      <c r="EYI950" s="11"/>
      <c r="EYJ950" s="12"/>
      <c r="EYS950" s="11"/>
      <c r="EYT950" s="12"/>
      <c r="EZC950" s="11"/>
      <c r="EZD950" s="12"/>
      <c r="EZM950" s="11"/>
      <c r="EZN950" s="12"/>
      <c r="EZW950" s="11"/>
      <c r="EZX950" s="12"/>
      <c r="FAG950" s="11"/>
      <c r="FAH950" s="12"/>
      <c r="FAQ950" s="11"/>
      <c r="FAR950" s="12"/>
      <c r="FBA950" s="11"/>
      <c r="FBB950" s="12"/>
      <c r="FBK950" s="11"/>
      <c r="FBL950" s="12"/>
      <c r="FBU950" s="11"/>
      <c r="FBV950" s="12"/>
      <c r="FCE950" s="11"/>
      <c r="FCF950" s="12"/>
      <c r="FCO950" s="11"/>
      <c r="FCP950" s="12"/>
      <c r="FCY950" s="11"/>
      <c r="FCZ950" s="12"/>
      <c r="FDI950" s="11"/>
      <c r="FDJ950" s="12"/>
      <c r="FDS950" s="11"/>
      <c r="FDT950" s="12"/>
      <c r="FEC950" s="11"/>
      <c r="FED950" s="12"/>
      <c r="FEM950" s="11"/>
      <c r="FEN950" s="12"/>
      <c r="FEW950" s="11"/>
      <c r="FEX950" s="12"/>
      <c r="FFG950" s="11"/>
      <c r="FFH950" s="12"/>
      <c r="FFQ950" s="11"/>
      <c r="FFR950" s="12"/>
      <c r="FGA950" s="11"/>
      <c r="FGB950" s="12"/>
      <c r="FGK950" s="11"/>
      <c r="FGL950" s="12"/>
      <c r="FGU950" s="11"/>
      <c r="FGV950" s="12"/>
      <c r="FHE950" s="11"/>
      <c r="FHF950" s="12"/>
      <c r="FHO950" s="11"/>
      <c r="FHP950" s="12"/>
      <c r="FHY950" s="11"/>
      <c r="FHZ950" s="12"/>
      <c r="FII950" s="11"/>
      <c r="FIJ950" s="12"/>
      <c r="FIS950" s="11"/>
      <c r="FIT950" s="12"/>
      <c r="FJC950" s="11"/>
      <c r="FJD950" s="12"/>
      <c r="FJM950" s="11"/>
      <c r="FJN950" s="12"/>
      <c r="FJW950" s="11"/>
      <c r="FJX950" s="12"/>
      <c r="FKG950" s="11"/>
      <c r="FKH950" s="12"/>
      <c r="FKQ950" s="11"/>
      <c r="FKR950" s="12"/>
      <c r="FLA950" s="11"/>
      <c r="FLB950" s="12"/>
      <c r="FLK950" s="11"/>
      <c r="FLL950" s="12"/>
      <c r="FLU950" s="11"/>
      <c r="FLV950" s="12"/>
      <c r="FME950" s="11"/>
      <c r="FMF950" s="12"/>
      <c r="FMO950" s="11"/>
      <c r="FMP950" s="12"/>
      <c r="FMY950" s="11"/>
      <c r="FMZ950" s="12"/>
      <c r="FNI950" s="11"/>
      <c r="FNJ950" s="12"/>
      <c r="FNS950" s="11"/>
      <c r="FNT950" s="12"/>
      <c r="FOC950" s="11"/>
      <c r="FOD950" s="12"/>
      <c r="FOM950" s="11"/>
      <c r="FON950" s="12"/>
      <c r="FOW950" s="11"/>
      <c r="FOX950" s="12"/>
      <c r="FPG950" s="11"/>
      <c r="FPH950" s="12"/>
      <c r="FPQ950" s="11"/>
      <c r="FPR950" s="12"/>
      <c r="FQA950" s="11"/>
      <c r="FQB950" s="12"/>
      <c r="FQK950" s="11"/>
      <c r="FQL950" s="12"/>
      <c r="FQU950" s="11"/>
      <c r="FQV950" s="12"/>
      <c r="FRE950" s="11"/>
      <c r="FRF950" s="12"/>
      <c r="FRO950" s="11"/>
      <c r="FRP950" s="12"/>
      <c r="FRY950" s="11"/>
      <c r="FRZ950" s="12"/>
      <c r="FSI950" s="11"/>
      <c r="FSJ950" s="12"/>
      <c r="FSS950" s="11"/>
      <c r="FST950" s="12"/>
      <c r="FTC950" s="11"/>
      <c r="FTD950" s="12"/>
      <c r="FTM950" s="11"/>
      <c r="FTN950" s="12"/>
      <c r="FTW950" s="11"/>
      <c r="FTX950" s="12"/>
      <c r="FUG950" s="11"/>
      <c r="FUH950" s="12"/>
      <c r="FUQ950" s="11"/>
      <c r="FUR950" s="12"/>
      <c r="FVA950" s="11"/>
      <c r="FVB950" s="12"/>
      <c r="FVK950" s="11"/>
      <c r="FVL950" s="12"/>
      <c r="FVU950" s="11"/>
      <c r="FVV950" s="12"/>
      <c r="FWE950" s="11"/>
      <c r="FWF950" s="12"/>
      <c r="FWO950" s="11"/>
      <c r="FWP950" s="12"/>
      <c r="FWY950" s="11"/>
      <c r="FWZ950" s="12"/>
      <c r="FXI950" s="11"/>
      <c r="FXJ950" s="12"/>
      <c r="FXS950" s="11"/>
      <c r="FXT950" s="12"/>
      <c r="FYC950" s="11"/>
      <c r="FYD950" s="12"/>
      <c r="FYM950" s="11"/>
      <c r="FYN950" s="12"/>
      <c r="FYW950" s="11"/>
      <c r="FYX950" s="12"/>
      <c r="FZG950" s="11"/>
      <c r="FZH950" s="12"/>
      <c r="FZQ950" s="11"/>
      <c r="FZR950" s="12"/>
      <c r="GAA950" s="11"/>
      <c r="GAB950" s="12"/>
      <c r="GAK950" s="11"/>
      <c r="GAL950" s="12"/>
      <c r="GAU950" s="11"/>
      <c r="GAV950" s="12"/>
      <c r="GBE950" s="11"/>
      <c r="GBF950" s="12"/>
      <c r="GBO950" s="11"/>
      <c r="GBP950" s="12"/>
      <c r="GBY950" s="11"/>
      <c r="GBZ950" s="12"/>
      <c r="GCI950" s="11"/>
      <c r="GCJ950" s="12"/>
      <c r="GCS950" s="11"/>
      <c r="GCT950" s="12"/>
      <c r="GDC950" s="11"/>
      <c r="GDD950" s="12"/>
      <c r="GDM950" s="11"/>
      <c r="GDN950" s="12"/>
      <c r="GDW950" s="11"/>
      <c r="GDX950" s="12"/>
      <c r="GEG950" s="11"/>
      <c r="GEH950" s="12"/>
      <c r="GEQ950" s="11"/>
      <c r="GER950" s="12"/>
      <c r="GFA950" s="11"/>
      <c r="GFB950" s="12"/>
      <c r="GFK950" s="11"/>
      <c r="GFL950" s="12"/>
      <c r="GFU950" s="11"/>
      <c r="GFV950" s="12"/>
      <c r="GGE950" s="11"/>
      <c r="GGF950" s="12"/>
      <c r="GGO950" s="11"/>
      <c r="GGP950" s="12"/>
      <c r="GGY950" s="11"/>
      <c r="GGZ950" s="12"/>
      <c r="GHI950" s="11"/>
      <c r="GHJ950" s="12"/>
      <c r="GHS950" s="11"/>
      <c r="GHT950" s="12"/>
      <c r="GIC950" s="11"/>
      <c r="GID950" s="12"/>
      <c r="GIM950" s="11"/>
      <c r="GIN950" s="12"/>
      <c r="GIW950" s="11"/>
      <c r="GIX950" s="12"/>
      <c r="GJG950" s="11"/>
      <c r="GJH950" s="12"/>
      <c r="GJQ950" s="11"/>
      <c r="GJR950" s="12"/>
      <c r="GKA950" s="11"/>
      <c r="GKB950" s="12"/>
      <c r="GKK950" s="11"/>
      <c r="GKL950" s="12"/>
      <c r="GKU950" s="11"/>
      <c r="GKV950" s="12"/>
      <c r="GLE950" s="11"/>
      <c r="GLF950" s="12"/>
      <c r="GLO950" s="11"/>
      <c r="GLP950" s="12"/>
      <c r="GLY950" s="11"/>
      <c r="GLZ950" s="12"/>
      <c r="GMI950" s="11"/>
      <c r="GMJ950" s="12"/>
      <c r="GMS950" s="11"/>
      <c r="GMT950" s="12"/>
      <c r="GNC950" s="11"/>
      <c r="GND950" s="12"/>
      <c r="GNM950" s="11"/>
      <c r="GNN950" s="12"/>
      <c r="GNW950" s="11"/>
      <c r="GNX950" s="12"/>
      <c r="GOG950" s="11"/>
      <c r="GOH950" s="12"/>
      <c r="GOQ950" s="11"/>
      <c r="GOR950" s="12"/>
      <c r="GPA950" s="11"/>
      <c r="GPB950" s="12"/>
      <c r="GPK950" s="11"/>
      <c r="GPL950" s="12"/>
      <c r="GPU950" s="11"/>
      <c r="GPV950" s="12"/>
      <c r="GQE950" s="11"/>
      <c r="GQF950" s="12"/>
      <c r="GQO950" s="11"/>
      <c r="GQP950" s="12"/>
      <c r="GQY950" s="11"/>
      <c r="GQZ950" s="12"/>
      <c r="GRI950" s="11"/>
      <c r="GRJ950" s="12"/>
      <c r="GRS950" s="11"/>
      <c r="GRT950" s="12"/>
      <c r="GSC950" s="11"/>
      <c r="GSD950" s="12"/>
      <c r="GSM950" s="11"/>
      <c r="GSN950" s="12"/>
      <c r="GSW950" s="11"/>
      <c r="GSX950" s="12"/>
      <c r="GTG950" s="11"/>
      <c r="GTH950" s="12"/>
      <c r="GTQ950" s="11"/>
      <c r="GTR950" s="12"/>
      <c r="GUA950" s="11"/>
      <c r="GUB950" s="12"/>
      <c r="GUK950" s="11"/>
      <c r="GUL950" s="12"/>
      <c r="GUU950" s="11"/>
      <c r="GUV950" s="12"/>
      <c r="GVE950" s="11"/>
      <c r="GVF950" s="12"/>
      <c r="GVO950" s="11"/>
      <c r="GVP950" s="12"/>
      <c r="GVY950" s="11"/>
      <c r="GVZ950" s="12"/>
      <c r="GWI950" s="11"/>
      <c r="GWJ950" s="12"/>
      <c r="GWS950" s="11"/>
      <c r="GWT950" s="12"/>
      <c r="GXC950" s="11"/>
      <c r="GXD950" s="12"/>
      <c r="GXM950" s="11"/>
      <c r="GXN950" s="12"/>
      <c r="GXW950" s="11"/>
      <c r="GXX950" s="12"/>
      <c r="GYG950" s="11"/>
      <c r="GYH950" s="12"/>
      <c r="GYQ950" s="11"/>
      <c r="GYR950" s="12"/>
      <c r="GZA950" s="11"/>
      <c r="GZB950" s="12"/>
      <c r="GZK950" s="11"/>
      <c r="GZL950" s="12"/>
      <c r="GZU950" s="11"/>
      <c r="GZV950" s="12"/>
      <c r="HAE950" s="11"/>
      <c r="HAF950" s="12"/>
      <c r="HAO950" s="11"/>
      <c r="HAP950" s="12"/>
      <c r="HAY950" s="11"/>
      <c r="HAZ950" s="12"/>
      <c r="HBI950" s="11"/>
      <c r="HBJ950" s="12"/>
      <c r="HBS950" s="11"/>
      <c r="HBT950" s="12"/>
      <c r="HCC950" s="11"/>
      <c r="HCD950" s="12"/>
      <c r="HCM950" s="11"/>
      <c r="HCN950" s="12"/>
      <c r="HCW950" s="11"/>
      <c r="HCX950" s="12"/>
      <c r="HDG950" s="11"/>
      <c r="HDH950" s="12"/>
      <c r="HDQ950" s="11"/>
      <c r="HDR950" s="12"/>
      <c r="HEA950" s="11"/>
      <c r="HEB950" s="12"/>
      <c r="HEK950" s="11"/>
      <c r="HEL950" s="12"/>
      <c r="HEU950" s="11"/>
      <c r="HEV950" s="12"/>
      <c r="HFE950" s="11"/>
      <c r="HFF950" s="12"/>
      <c r="HFO950" s="11"/>
      <c r="HFP950" s="12"/>
      <c r="HFY950" s="11"/>
      <c r="HFZ950" s="12"/>
      <c r="HGI950" s="11"/>
      <c r="HGJ950" s="12"/>
      <c r="HGS950" s="11"/>
      <c r="HGT950" s="12"/>
      <c r="HHC950" s="11"/>
      <c r="HHD950" s="12"/>
      <c r="HHM950" s="11"/>
      <c r="HHN950" s="12"/>
      <c r="HHW950" s="11"/>
      <c r="HHX950" s="12"/>
      <c r="HIG950" s="11"/>
      <c r="HIH950" s="12"/>
      <c r="HIQ950" s="11"/>
      <c r="HIR950" s="12"/>
      <c r="HJA950" s="11"/>
      <c r="HJB950" s="12"/>
      <c r="HJK950" s="11"/>
      <c r="HJL950" s="12"/>
      <c r="HJU950" s="11"/>
      <c r="HJV950" s="12"/>
      <c r="HKE950" s="11"/>
      <c r="HKF950" s="12"/>
      <c r="HKO950" s="11"/>
      <c r="HKP950" s="12"/>
      <c r="HKY950" s="11"/>
      <c r="HKZ950" s="12"/>
      <c r="HLI950" s="11"/>
      <c r="HLJ950" s="12"/>
      <c r="HLS950" s="11"/>
      <c r="HLT950" s="12"/>
      <c r="HMC950" s="11"/>
      <c r="HMD950" s="12"/>
      <c r="HMM950" s="11"/>
      <c r="HMN950" s="12"/>
      <c r="HMW950" s="11"/>
      <c r="HMX950" s="12"/>
      <c r="HNG950" s="11"/>
      <c r="HNH950" s="12"/>
      <c r="HNQ950" s="11"/>
      <c r="HNR950" s="12"/>
      <c r="HOA950" s="11"/>
      <c r="HOB950" s="12"/>
      <c r="HOK950" s="11"/>
      <c r="HOL950" s="12"/>
      <c r="HOU950" s="11"/>
      <c r="HOV950" s="12"/>
      <c r="HPE950" s="11"/>
      <c r="HPF950" s="12"/>
      <c r="HPO950" s="11"/>
      <c r="HPP950" s="12"/>
      <c r="HPY950" s="11"/>
      <c r="HPZ950" s="12"/>
      <c r="HQI950" s="11"/>
      <c r="HQJ950" s="12"/>
      <c r="HQS950" s="11"/>
      <c r="HQT950" s="12"/>
      <c r="HRC950" s="11"/>
      <c r="HRD950" s="12"/>
      <c r="HRM950" s="11"/>
      <c r="HRN950" s="12"/>
      <c r="HRW950" s="11"/>
      <c r="HRX950" s="12"/>
      <c r="HSG950" s="11"/>
      <c r="HSH950" s="12"/>
      <c r="HSQ950" s="11"/>
      <c r="HSR950" s="12"/>
      <c r="HTA950" s="11"/>
      <c r="HTB950" s="12"/>
      <c r="HTK950" s="11"/>
      <c r="HTL950" s="12"/>
      <c r="HTU950" s="11"/>
      <c r="HTV950" s="12"/>
      <c r="HUE950" s="11"/>
      <c r="HUF950" s="12"/>
      <c r="HUO950" s="11"/>
      <c r="HUP950" s="12"/>
      <c r="HUY950" s="11"/>
      <c r="HUZ950" s="12"/>
      <c r="HVI950" s="11"/>
      <c r="HVJ950" s="12"/>
      <c r="HVS950" s="11"/>
      <c r="HVT950" s="12"/>
      <c r="HWC950" s="11"/>
      <c r="HWD950" s="12"/>
      <c r="HWM950" s="11"/>
      <c r="HWN950" s="12"/>
      <c r="HWW950" s="11"/>
      <c r="HWX950" s="12"/>
      <c r="HXG950" s="11"/>
      <c r="HXH950" s="12"/>
      <c r="HXQ950" s="11"/>
      <c r="HXR950" s="12"/>
      <c r="HYA950" s="11"/>
      <c r="HYB950" s="12"/>
      <c r="HYK950" s="11"/>
      <c r="HYL950" s="12"/>
      <c r="HYU950" s="11"/>
      <c r="HYV950" s="12"/>
      <c r="HZE950" s="11"/>
      <c r="HZF950" s="12"/>
      <c r="HZO950" s="11"/>
      <c r="HZP950" s="12"/>
      <c r="HZY950" s="11"/>
      <c r="HZZ950" s="12"/>
      <c r="IAI950" s="11"/>
      <c r="IAJ950" s="12"/>
      <c r="IAS950" s="11"/>
      <c r="IAT950" s="12"/>
      <c r="IBC950" s="11"/>
      <c r="IBD950" s="12"/>
      <c r="IBM950" s="11"/>
      <c r="IBN950" s="12"/>
      <c r="IBW950" s="11"/>
      <c r="IBX950" s="12"/>
      <c r="ICG950" s="11"/>
      <c r="ICH950" s="12"/>
      <c r="ICQ950" s="11"/>
      <c r="ICR950" s="12"/>
      <c r="IDA950" s="11"/>
      <c r="IDB950" s="12"/>
      <c r="IDK950" s="11"/>
      <c r="IDL950" s="12"/>
      <c r="IDU950" s="11"/>
      <c r="IDV950" s="12"/>
      <c r="IEE950" s="11"/>
      <c r="IEF950" s="12"/>
      <c r="IEO950" s="11"/>
      <c r="IEP950" s="12"/>
      <c r="IEY950" s="11"/>
      <c r="IEZ950" s="12"/>
      <c r="IFI950" s="11"/>
      <c r="IFJ950" s="12"/>
      <c r="IFS950" s="11"/>
      <c r="IFT950" s="12"/>
      <c r="IGC950" s="11"/>
      <c r="IGD950" s="12"/>
      <c r="IGM950" s="11"/>
      <c r="IGN950" s="12"/>
      <c r="IGW950" s="11"/>
      <c r="IGX950" s="12"/>
      <c r="IHG950" s="11"/>
      <c r="IHH950" s="12"/>
      <c r="IHQ950" s="11"/>
      <c r="IHR950" s="12"/>
      <c r="IIA950" s="11"/>
      <c r="IIB950" s="12"/>
      <c r="IIK950" s="11"/>
      <c r="IIL950" s="12"/>
      <c r="IIU950" s="11"/>
      <c r="IIV950" s="12"/>
      <c r="IJE950" s="11"/>
      <c r="IJF950" s="12"/>
      <c r="IJO950" s="11"/>
      <c r="IJP950" s="12"/>
      <c r="IJY950" s="11"/>
      <c r="IJZ950" s="12"/>
      <c r="IKI950" s="11"/>
      <c r="IKJ950" s="12"/>
      <c r="IKS950" s="11"/>
      <c r="IKT950" s="12"/>
      <c r="ILC950" s="11"/>
      <c r="ILD950" s="12"/>
      <c r="ILM950" s="11"/>
      <c r="ILN950" s="12"/>
      <c r="ILW950" s="11"/>
      <c r="ILX950" s="12"/>
      <c r="IMG950" s="11"/>
      <c r="IMH950" s="12"/>
      <c r="IMQ950" s="11"/>
      <c r="IMR950" s="12"/>
      <c r="INA950" s="11"/>
      <c r="INB950" s="12"/>
      <c r="INK950" s="11"/>
      <c r="INL950" s="12"/>
      <c r="INU950" s="11"/>
      <c r="INV950" s="12"/>
      <c r="IOE950" s="11"/>
      <c r="IOF950" s="12"/>
      <c r="IOO950" s="11"/>
      <c r="IOP950" s="12"/>
      <c r="IOY950" s="11"/>
      <c r="IOZ950" s="12"/>
      <c r="IPI950" s="11"/>
      <c r="IPJ950" s="12"/>
      <c r="IPS950" s="11"/>
      <c r="IPT950" s="12"/>
      <c r="IQC950" s="11"/>
      <c r="IQD950" s="12"/>
      <c r="IQM950" s="11"/>
      <c r="IQN950" s="12"/>
      <c r="IQW950" s="11"/>
      <c r="IQX950" s="12"/>
      <c r="IRG950" s="11"/>
      <c r="IRH950" s="12"/>
      <c r="IRQ950" s="11"/>
      <c r="IRR950" s="12"/>
      <c r="ISA950" s="11"/>
      <c r="ISB950" s="12"/>
      <c r="ISK950" s="11"/>
      <c r="ISL950" s="12"/>
      <c r="ISU950" s="11"/>
      <c r="ISV950" s="12"/>
      <c r="ITE950" s="11"/>
      <c r="ITF950" s="12"/>
      <c r="ITO950" s="11"/>
      <c r="ITP950" s="12"/>
      <c r="ITY950" s="11"/>
      <c r="ITZ950" s="12"/>
      <c r="IUI950" s="11"/>
      <c r="IUJ950" s="12"/>
      <c r="IUS950" s="11"/>
      <c r="IUT950" s="12"/>
      <c r="IVC950" s="11"/>
      <c r="IVD950" s="12"/>
      <c r="IVM950" s="11"/>
      <c r="IVN950" s="12"/>
      <c r="IVW950" s="11"/>
      <c r="IVX950" s="12"/>
      <c r="IWG950" s="11"/>
      <c r="IWH950" s="12"/>
      <c r="IWQ950" s="11"/>
      <c r="IWR950" s="12"/>
      <c r="IXA950" s="11"/>
      <c r="IXB950" s="12"/>
      <c r="IXK950" s="11"/>
      <c r="IXL950" s="12"/>
      <c r="IXU950" s="11"/>
      <c r="IXV950" s="12"/>
      <c r="IYE950" s="11"/>
      <c r="IYF950" s="12"/>
      <c r="IYO950" s="11"/>
      <c r="IYP950" s="12"/>
      <c r="IYY950" s="11"/>
      <c r="IYZ950" s="12"/>
      <c r="IZI950" s="11"/>
      <c r="IZJ950" s="12"/>
      <c r="IZS950" s="11"/>
      <c r="IZT950" s="12"/>
      <c r="JAC950" s="11"/>
      <c r="JAD950" s="12"/>
      <c r="JAM950" s="11"/>
      <c r="JAN950" s="12"/>
      <c r="JAW950" s="11"/>
      <c r="JAX950" s="12"/>
      <c r="JBG950" s="11"/>
      <c r="JBH950" s="12"/>
      <c r="JBQ950" s="11"/>
      <c r="JBR950" s="12"/>
      <c r="JCA950" s="11"/>
      <c r="JCB950" s="12"/>
      <c r="JCK950" s="11"/>
      <c r="JCL950" s="12"/>
      <c r="JCU950" s="11"/>
      <c r="JCV950" s="12"/>
      <c r="JDE950" s="11"/>
      <c r="JDF950" s="12"/>
      <c r="JDO950" s="11"/>
      <c r="JDP950" s="12"/>
      <c r="JDY950" s="11"/>
      <c r="JDZ950" s="12"/>
      <c r="JEI950" s="11"/>
      <c r="JEJ950" s="12"/>
      <c r="JES950" s="11"/>
      <c r="JET950" s="12"/>
      <c r="JFC950" s="11"/>
      <c r="JFD950" s="12"/>
      <c r="JFM950" s="11"/>
      <c r="JFN950" s="12"/>
      <c r="JFW950" s="11"/>
      <c r="JFX950" s="12"/>
      <c r="JGG950" s="11"/>
      <c r="JGH950" s="12"/>
      <c r="JGQ950" s="11"/>
      <c r="JGR950" s="12"/>
      <c r="JHA950" s="11"/>
      <c r="JHB950" s="12"/>
      <c r="JHK950" s="11"/>
      <c r="JHL950" s="12"/>
      <c r="JHU950" s="11"/>
      <c r="JHV950" s="12"/>
      <c r="JIE950" s="11"/>
      <c r="JIF950" s="12"/>
      <c r="JIO950" s="11"/>
      <c r="JIP950" s="12"/>
      <c r="JIY950" s="11"/>
      <c r="JIZ950" s="12"/>
      <c r="JJI950" s="11"/>
      <c r="JJJ950" s="12"/>
      <c r="JJS950" s="11"/>
      <c r="JJT950" s="12"/>
      <c r="JKC950" s="11"/>
      <c r="JKD950" s="12"/>
      <c r="JKM950" s="11"/>
      <c r="JKN950" s="12"/>
      <c r="JKW950" s="11"/>
      <c r="JKX950" s="12"/>
      <c r="JLG950" s="11"/>
      <c r="JLH950" s="12"/>
      <c r="JLQ950" s="11"/>
      <c r="JLR950" s="12"/>
      <c r="JMA950" s="11"/>
      <c r="JMB950" s="12"/>
      <c r="JMK950" s="11"/>
      <c r="JML950" s="12"/>
      <c r="JMU950" s="11"/>
      <c r="JMV950" s="12"/>
      <c r="JNE950" s="11"/>
      <c r="JNF950" s="12"/>
      <c r="JNO950" s="11"/>
      <c r="JNP950" s="12"/>
      <c r="JNY950" s="11"/>
      <c r="JNZ950" s="12"/>
      <c r="JOI950" s="11"/>
      <c r="JOJ950" s="12"/>
      <c r="JOS950" s="11"/>
      <c r="JOT950" s="12"/>
      <c r="JPC950" s="11"/>
      <c r="JPD950" s="12"/>
      <c r="JPM950" s="11"/>
      <c r="JPN950" s="12"/>
      <c r="JPW950" s="11"/>
      <c r="JPX950" s="12"/>
      <c r="JQG950" s="11"/>
      <c r="JQH950" s="12"/>
      <c r="JQQ950" s="11"/>
      <c r="JQR950" s="12"/>
      <c r="JRA950" s="11"/>
      <c r="JRB950" s="12"/>
      <c r="JRK950" s="11"/>
      <c r="JRL950" s="12"/>
      <c r="JRU950" s="11"/>
      <c r="JRV950" s="12"/>
      <c r="JSE950" s="11"/>
      <c r="JSF950" s="12"/>
      <c r="JSO950" s="11"/>
      <c r="JSP950" s="12"/>
      <c r="JSY950" s="11"/>
      <c r="JSZ950" s="12"/>
      <c r="JTI950" s="11"/>
      <c r="JTJ950" s="12"/>
      <c r="JTS950" s="11"/>
      <c r="JTT950" s="12"/>
      <c r="JUC950" s="11"/>
      <c r="JUD950" s="12"/>
      <c r="JUM950" s="11"/>
      <c r="JUN950" s="12"/>
      <c r="JUW950" s="11"/>
      <c r="JUX950" s="12"/>
      <c r="JVG950" s="11"/>
      <c r="JVH950" s="12"/>
      <c r="JVQ950" s="11"/>
      <c r="JVR950" s="12"/>
      <c r="JWA950" s="11"/>
      <c r="JWB950" s="12"/>
      <c r="JWK950" s="11"/>
      <c r="JWL950" s="12"/>
      <c r="JWU950" s="11"/>
      <c r="JWV950" s="12"/>
      <c r="JXE950" s="11"/>
      <c r="JXF950" s="12"/>
      <c r="JXO950" s="11"/>
      <c r="JXP950" s="12"/>
      <c r="JXY950" s="11"/>
      <c r="JXZ950" s="12"/>
      <c r="JYI950" s="11"/>
      <c r="JYJ950" s="12"/>
      <c r="JYS950" s="11"/>
      <c r="JYT950" s="12"/>
      <c r="JZC950" s="11"/>
      <c r="JZD950" s="12"/>
      <c r="JZM950" s="11"/>
      <c r="JZN950" s="12"/>
      <c r="JZW950" s="11"/>
      <c r="JZX950" s="12"/>
      <c r="KAG950" s="11"/>
      <c r="KAH950" s="12"/>
      <c r="KAQ950" s="11"/>
      <c r="KAR950" s="12"/>
      <c r="KBA950" s="11"/>
      <c r="KBB950" s="12"/>
      <c r="KBK950" s="11"/>
      <c r="KBL950" s="12"/>
      <c r="KBU950" s="11"/>
      <c r="KBV950" s="12"/>
      <c r="KCE950" s="11"/>
      <c r="KCF950" s="12"/>
      <c r="KCO950" s="11"/>
      <c r="KCP950" s="12"/>
      <c r="KCY950" s="11"/>
      <c r="KCZ950" s="12"/>
      <c r="KDI950" s="11"/>
      <c r="KDJ950" s="12"/>
      <c r="KDS950" s="11"/>
      <c r="KDT950" s="12"/>
      <c r="KEC950" s="11"/>
      <c r="KED950" s="12"/>
      <c r="KEM950" s="11"/>
      <c r="KEN950" s="12"/>
      <c r="KEW950" s="11"/>
      <c r="KEX950" s="12"/>
      <c r="KFG950" s="11"/>
      <c r="KFH950" s="12"/>
      <c r="KFQ950" s="11"/>
      <c r="KFR950" s="12"/>
      <c r="KGA950" s="11"/>
      <c r="KGB950" s="12"/>
      <c r="KGK950" s="11"/>
      <c r="KGL950" s="12"/>
      <c r="KGU950" s="11"/>
      <c r="KGV950" s="12"/>
      <c r="KHE950" s="11"/>
      <c r="KHF950" s="12"/>
      <c r="KHO950" s="11"/>
      <c r="KHP950" s="12"/>
      <c r="KHY950" s="11"/>
      <c r="KHZ950" s="12"/>
      <c r="KII950" s="11"/>
      <c r="KIJ950" s="12"/>
      <c r="KIS950" s="11"/>
      <c r="KIT950" s="12"/>
      <c r="KJC950" s="11"/>
      <c r="KJD950" s="12"/>
      <c r="KJM950" s="11"/>
      <c r="KJN950" s="12"/>
      <c r="KJW950" s="11"/>
      <c r="KJX950" s="12"/>
      <c r="KKG950" s="11"/>
      <c r="KKH950" s="12"/>
      <c r="KKQ950" s="11"/>
      <c r="KKR950" s="12"/>
      <c r="KLA950" s="11"/>
      <c r="KLB950" s="12"/>
      <c r="KLK950" s="11"/>
      <c r="KLL950" s="12"/>
      <c r="KLU950" s="11"/>
      <c r="KLV950" s="12"/>
      <c r="KME950" s="11"/>
      <c r="KMF950" s="12"/>
      <c r="KMO950" s="11"/>
      <c r="KMP950" s="12"/>
      <c r="KMY950" s="11"/>
      <c r="KMZ950" s="12"/>
      <c r="KNI950" s="11"/>
      <c r="KNJ950" s="12"/>
      <c r="KNS950" s="11"/>
      <c r="KNT950" s="12"/>
      <c r="KOC950" s="11"/>
      <c r="KOD950" s="12"/>
      <c r="KOM950" s="11"/>
      <c r="KON950" s="12"/>
      <c r="KOW950" s="11"/>
      <c r="KOX950" s="12"/>
      <c r="KPG950" s="11"/>
      <c r="KPH950" s="12"/>
      <c r="KPQ950" s="11"/>
      <c r="KPR950" s="12"/>
      <c r="KQA950" s="11"/>
      <c r="KQB950" s="12"/>
      <c r="KQK950" s="11"/>
      <c r="KQL950" s="12"/>
      <c r="KQU950" s="11"/>
      <c r="KQV950" s="12"/>
      <c r="KRE950" s="11"/>
      <c r="KRF950" s="12"/>
      <c r="KRO950" s="11"/>
      <c r="KRP950" s="12"/>
      <c r="KRY950" s="11"/>
      <c r="KRZ950" s="12"/>
      <c r="KSI950" s="11"/>
      <c r="KSJ950" s="12"/>
      <c r="KSS950" s="11"/>
      <c r="KST950" s="12"/>
      <c r="KTC950" s="11"/>
      <c r="KTD950" s="12"/>
      <c r="KTM950" s="11"/>
      <c r="KTN950" s="12"/>
      <c r="KTW950" s="11"/>
      <c r="KTX950" s="12"/>
      <c r="KUG950" s="11"/>
      <c r="KUH950" s="12"/>
      <c r="KUQ950" s="11"/>
      <c r="KUR950" s="12"/>
      <c r="KVA950" s="11"/>
      <c r="KVB950" s="12"/>
      <c r="KVK950" s="11"/>
      <c r="KVL950" s="12"/>
      <c r="KVU950" s="11"/>
      <c r="KVV950" s="12"/>
      <c r="KWE950" s="11"/>
      <c r="KWF950" s="12"/>
      <c r="KWO950" s="11"/>
      <c r="KWP950" s="12"/>
      <c r="KWY950" s="11"/>
      <c r="KWZ950" s="12"/>
      <c r="KXI950" s="11"/>
      <c r="KXJ950" s="12"/>
      <c r="KXS950" s="11"/>
      <c r="KXT950" s="12"/>
      <c r="KYC950" s="11"/>
      <c r="KYD950" s="12"/>
      <c r="KYM950" s="11"/>
      <c r="KYN950" s="12"/>
      <c r="KYW950" s="11"/>
      <c r="KYX950" s="12"/>
      <c r="KZG950" s="11"/>
      <c r="KZH950" s="12"/>
      <c r="KZQ950" s="11"/>
      <c r="KZR950" s="12"/>
      <c r="LAA950" s="11"/>
      <c r="LAB950" s="12"/>
      <c r="LAK950" s="11"/>
      <c r="LAL950" s="12"/>
      <c r="LAU950" s="11"/>
      <c r="LAV950" s="12"/>
      <c r="LBE950" s="11"/>
      <c r="LBF950" s="12"/>
      <c r="LBO950" s="11"/>
      <c r="LBP950" s="12"/>
      <c r="LBY950" s="11"/>
      <c r="LBZ950" s="12"/>
      <c r="LCI950" s="11"/>
      <c r="LCJ950" s="12"/>
      <c r="LCS950" s="11"/>
      <c r="LCT950" s="12"/>
      <c r="LDC950" s="11"/>
      <c r="LDD950" s="12"/>
      <c r="LDM950" s="11"/>
      <c r="LDN950" s="12"/>
      <c r="LDW950" s="11"/>
      <c r="LDX950" s="12"/>
      <c r="LEG950" s="11"/>
      <c r="LEH950" s="12"/>
      <c r="LEQ950" s="11"/>
      <c r="LER950" s="12"/>
      <c r="LFA950" s="11"/>
      <c r="LFB950" s="12"/>
      <c r="LFK950" s="11"/>
      <c r="LFL950" s="12"/>
      <c r="LFU950" s="11"/>
      <c r="LFV950" s="12"/>
      <c r="LGE950" s="11"/>
      <c r="LGF950" s="12"/>
      <c r="LGO950" s="11"/>
      <c r="LGP950" s="12"/>
      <c r="LGY950" s="11"/>
      <c r="LGZ950" s="12"/>
      <c r="LHI950" s="11"/>
      <c r="LHJ950" s="12"/>
      <c r="LHS950" s="11"/>
      <c r="LHT950" s="12"/>
      <c r="LIC950" s="11"/>
      <c r="LID950" s="12"/>
      <c r="LIM950" s="11"/>
      <c r="LIN950" s="12"/>
      <c r="LIW950" s="11"/>
      <c r="LIX950" s="12"/>
      <c r="LJG950" s="11"/>
      <c r="LJH950" s="12"/>
      <c r="LJQ950" s="11"/>
      <c r="LJR950" s="12"/>
      <c r="LKA950" s="11"/>
      <c r="LKB950" s="12"/>
      <c r="LKK950" s="11"/>
      <c r="LKL950" s="12"/>
      <c r="LKU950" s="11"/>
      <c r="LKV950" s="12"/>
      <c r="LLE950" s="11"/>
      <c r="LLF950" s="12"/>
      <c r="LLO950" s="11"/>
      <c r="LLP950" s="12"/>
      <c r="LLY950" s="11"/>
      <c r="LLZ950" s="12"/>
      <c r="LMI950" s="11"/>
      <c r="LMJ950" s="12"/>
      <c r="LMS950" s="11"/>
      <c r="LMT950" s="12"/>
      <c r="LNC950" s="11"/>
      <c r="LND950" s="12"/>
      <c r="LNM950" s="11"/>
      <c r="LNN950" s="12"/>
      <c r="LNW950" s="11"/>
      <c r="LNX950" s="12"/>
      <c r="LOG950" s="11"/>
      <c r="LOH950" s="12"/>
      <c r="LOQ950" s="11"/>
      <c r="LOR950" s="12"/>
      <c r="LPA950" s="11"/>
      <c r="LPB950" s="12"/>
      <c r="LPK950" s="11"/>
      <c r="LPL950" s="12"/>
      <c r="LPU950" s="11"/>
      <c r="LPV950" s="12"/>
      <c r="LQE950" s="11"/>
      <c r="LQF950" s="12"/>
      <c r="LQO950" s="11"/>
      <c r="LQP950" s="12"/>
      <c r="LQY950" s="11"/>
      <c r="LQZ950" s="12"/>
      <c r="LRI950" s="11"/>
      <c r="LRJ950" s="12"/>
      <c r="LRS950" s="11"/>
      <c r="LRT950" s="12"/>
      <c r="LSC950" s="11"/>
      <c r="LSD950" s="12"/>
      <c r="LSM950" s="11"/>
      <c r="LSN950" s="12"/>
      <c r="LSW950" s="11"/>
      <c r="LSX950" s="12"/>
      <c r="LTG950" s="11"/>
      <c r="LTH950" s="12"/>
      <c r="LTQ950" s="11"/>
      <c r="LTR950" s="12"/>
      <c r="LUA950" s="11"/>
      <c r="LUB950" s="12"/>
      <c r="LUK950" s="11"/>
      <c r="LUL950" s="12"/>
      <c r="LUU950" s="11"/>
      <c r="LUV950" s="12"/>
      <c r="LVE950" s="11"/>
      <c r="LVF950" s="12"/>
      <c r="LVO950" s="11"/>
      <c r="LVP950" s="12"/>
      <c r="LVY950" s="11"/>
      <c r="LVZ950" s="12"/>
      <c r="LWI950" s="11"/>
      <c r="LWJ950" s="12"/>
      <c r="LWS950" s="11"/>
      <c r="LWT950" s="12"/>
      <c r="LXC950" s="11"/>
      <c r="LXD950" s="12"/>
      <c r="LXM950" s="11"/>
      <c r="LXN950" s="12"/>
      <c r="LXW950" s="11"/>
      <c r="LXX950" s="12"/>
      <c r="LYG950" s="11"/>
      <c r="LYH950" s="12"/>
      <c r="LYQ950" s="11"/>
      <c r="LYR950" s="12"/>
      <c r="LZA950" s="11"/>
      <c r="LZB950" s="12"/>
      <c r="LZK950" s="11"/>
      <c r="LZL950" s="12"/>
      <c r="LZU950" s="11"/>
      <c r="LZV950" s="12"/>
      <c r="MAE950" s="11"/>
      <c r="MAF950" s="12"/>
      <c r="MAO950" s="11"/>
      <c r="MAP950" s="12"/>
      <c r="MAY950" s="11"/>
      <c r="MAZ950" s="12"/>
      <c r="MBI950" s="11"/>
      <c r="MBJ950" s="12"/>
      <c r="MBS950" s="11"/>
      <c r="MBT950" s="12"/>
      <c r="MCC950" s="11"/>
      <c r="MCD950" s="12"/>
      <c r="MCM950" s="11"/>
      <c r="MCN950" s="12"/>
      <c r="MCW950" s="11"/>
      <c r="MCX950" s="12"/>
      <c r="MDG950" s="11"/>
      <c r="MDH950" s="12"/>
      <c r="MDQ950" s="11"/>
      <c r="MDR950" s="12"/>
      <c r="MEA950" s="11"/>
      <c r="MEB950" s="12"/>
      <c r="MEK950" s="11"/>
      <c r="MEL950" s="12"/>
      <c r="MEU950" s="11"/>
      <c r="MEV950" s="12"/>
      <c r="MFE950" s="11"/>
      <c r="MFF950" s="12"/>
      <c r="MFO950" s="11"/>
      <c r="MFP950" s="12"/>
      <c r="MFY950" s="11"/>
      <c r="MFZ950" s="12"/>
      <c r="MGI950" s="11"/>
      <c r="MGJ950" s="12"/>
      <c r="MGS950" s="11"/>
      <c r="MGT950" s="12"/>
      <c r="MHC950" s="11"/>
      <c r="MHD950" s="12"/>
      <c r="MHM950" s="11"/>
      <c r="MHN950" s="12"/>
      <c r="MHW950" s="11"/>
      <c r="MHX950" s="12"/>
      <c r="MIG950" s="11"/>
      <c r="MIH950" s="12"/>
      <c r="MIQ950" s="11"/>
      <c r="MIR950" s="12"/>
      <c r="MJA950" s="11"/>
      <c r="MJB950" s="12"/>
      <c r="MJK950" s="11"/>
      <c r="MJL950" s="12"/>
      <c r="MJU950" s="11"/>
      <c r="MJV950" s="12"/>
      <c r="MKE950" s="11"/>
      <c r="MKF950" s="12"/>
      <c r="MKO950" s="11"/>
      <c r="MKP950" s="12"/>
      <c r="MKY950" s="11"/>
      <c r="MKZ950" s="12"/>
      <c r="MLI950" s="11"/>
      <c r="MLJ950" s="12"/>
      <c r="MLS950" s="11"/>
      <c r="MLT950" s="12"/>
      <c r="MMC950" s="11"/>
      <c r="MMD950" s="12"/>
      <c r="MMM950" s="11"/>
      <c r="MMN950" s="12"/>
      <c r="MMW950" s="11"/>
      <c r="MMX950" s="12"/>
      <c r="MNG950" s="11"/>
      <c r="MNH950" s="12"/>
      <c r="MNQ950" s="11"/>
      <c r="MNR950" s="12"/>
      <c r="MOA950" s="11"/>
      <c r="MOB950" s="12"/>
      <c r="MOK950" s="11"/>
      <c r="MOL950" s="12"/>
      <c r="MOU950" s="11"/>
      <c r="MOV950" s="12"/>
      <c r="MPE950" s="11"/>
      <c r="MPF950" s="12"/>
      <c r="MPO950" s="11"/>
      <c r="MPP950" s="12"/>
      <c r="MPY950" s="11"/>
      <c r="MPZ950" s="12"/>
      <c r="MQI950" s="11"/>
      <c r="MQJ950" s="12"/>
      <c r="MQS950" s="11"/>
      <c r="MQT950" s="12"/>
      <c r="MRC950" s="11"/>
      <c r="MRD950" s="12"/>
      <c r="MRM950" s="11"/>
      <c r="MRN950" s="12"/>
      <c r="MRW950" s="11"/>
      <c r="MRX950" s="12"/>
      <c r="MSG950" s="11"/>
      <c r="MSH950" s="12"/>
      <c r="MSQ950" s="11"/>
      <c r="MSR950" s="12"/>
      <c r="MTA950" s="11"/>
      <c r="MTB950" s="12"/>
      <c r="MTK950" s="11"/>
      <c r="MTL950" s="12"/>
      <c r="MTU950" s="11"/>
      <c r="MTV950" s="12"/>
      <c r="MUE950" s="11"/>
      <c r="MUF950" s="12"/>
      <c r="MUO950" s="11"/>
      <c r="MUP950" s="12"/>
      <c r="MUY950" s="11"/>
      <c r="MUZ950" s="12"/>
      <c r="MVI950" s="11"/>
      <c r="MVJ950" s="12"/>
      <c r="MVS950" s="11"/>
      <c r="MVT950" s="12"/>
      <c r="MWC950" s="11"/>
      <c r="MWD950" s="12"/>
      <c r="MWM950" s="11"/>
      <c r="MWN950" s="12"/>
      <c r="MWW950" s="11"/>
      <c r="MWX950" s="12"/>
      <c r="MXG950" s="11"/>
      <c r="MXH950" s="12"/>
      <c r="MXQ950" s="11"/>
      <c r="MXR950" s="12"/>
      <c r="MYA950" s="11"/>
      <c r="MYB950" s="12"/>
      <c r="MYK950" s="11"/>
      <c r="MYL950" s="12"/>
      <c r="MYU950" s="11"/>
      <c r="MYV950" s="12"/>
      <c r="MZE950" s="11"/>
      <c r="MZF950" s="12"/>
      <c r="MZO950" s="11"/>
      <c r="MZP950" s="12"/>
      <c r="MZY950" s="11"/>
      <c r="MZZ950" s="12"/>
      <c r="NAI950" s="11"/>
      <c r="NAJ950" s="12"/>
      <c r="NAS950" s="11"/>
      <c r="NAT950" s="12"/>
      <c r="NBC950" s="11"/>
      <c r="NBD950" s="12"/>
      <c r="NBM950" s="11"/>
      <c r="NBN950" s="12"/>
      <c r="NBW950" s="11"/>
      <c r="NBX950" s="12"/>
      <c r="NCG950" s="11"/>
      <c r="NCH950" s="12"/>
      <c r="NCQ950" s="11"/>
      <c r="NCR950" s="12"/>
      <c r="NDA950" s="11"/>
      <c r="NDB950" s="12"/>
      <c r="NDK950" s="11"/>
      <c r="NDL950" s="12"/>
      <c r="NDU950" s="11"/>
      <c r="NDV950" s="12"/>
      <c r="NEE950" s="11"/>
      <c r="NEF950" s="12"/>
      <c r="NEO950" s="11"/>
      <c r="NEP950" s="12"/>
      <c r="NEY950" s="11"/>
      <c r="NEZ950" s="12"/>
      <c r="NFI950" s="11"/>
      <c r="NFJ950" s="12"/>
      <c r="NFS950" s="11"/>
      <c r="NFT950" s="12"/>
      <c r="NGC950" s="11"/>
      <c r="NGD950" s="12"/>
      <c r="NGM950" s="11"/>
      <c r="NGN950" s="12"/>
      <c r="NGW950" s="11"/>
      <c r="NGX950" s="12"/>
      <c r="NHG950" s="11"/>
      <c r="NHH950" s="12"/>
      <c r="NHQ950" s="11"/>
      <c r="NHR950" s="12"/>
      <c r="NIA950" s="11"/>
      <c r="NIB950" s="12"/>
      <c r="NIK950" s="11"/>
      <c r="NIL950" s="12"/>
      <c r="NIU950" s="11"/>
      <c r="NIV950" s="12"/>
      <c r="NJE950" s="11"/>
      <c r="NJF950" s="12"/>
      <c r="NJO950" s="11"/>
      <c r="NJP950" s="12"/>
      <c r="NJY950" s="11"/>
      <c r="NJZ950" s="12"/>
      <c r="NKI950" s="11"/>
      <c r="NKJ950" s="12"/>
      <c r="NKS950" s="11"/>
      <c r="NKT950" s="12"/>
      <c r="NLC950" s="11"/>
      <c r="NLD950" s="12"/>
      <c r="NLM950" s="11"/>
      <c r="NLN950" s="12"/>
      <c r="NLW950" s="11"/>
      <c r="NLX950" s="12"/>
      <c r="NMG950" s="11"/>
      <c r="NMH950" s="12"/>
      <c r="NMQ950" s="11"/>
      <c r="NMR950" s="12"/>
      <c r="NNA950" s="11"/>
      <c r="NNB950" s="12"/>
      <c r="NNK950" s="11"/>
      <c r="NNL950" s="12"/>
      <c r="NNU950" s="11"/>
      <c r="NNV950" s="12"/>
      <c r="NOE950" s="11"/>
      <c r="NOF950" s="12"/>
      <c r="NOO950" s="11"/>
      <c r="NOP950" s="12"/>
      <c r="NOY950" s="11"/>
      <c r="NOZ950" s="12"/>
      <c r="NPI950" s="11"/>
      <c r="NPJ950" s="12"/>
      <c r="NPS950" s="11"/>
      <c r="NPT950" s="12"/>
      <c r="NQC950" s="11"/>
      <c r="NQD950" s="12"/>
      <c r="NQM950" s="11"/>
      <c r="NQN950" s="12"/>
      <c r="NQW950" s="11"/>
      <c r="NQX950" s="12"/>
      <c r="NRG950" s="11"/>
      <c r="NRH950" s="12"/>
      <c r="NRQ950" s="11"/>
      <c r="NRR950" s="12"/>
      <c r="NSA950" s="11"/>
      <c r="NSB950" s="12"/>
      <c r="NSK950" s="11"/>
      <c r="NSL950" s="12"/>
      <c r="NSU950" s="11"/>
      <c r="NSV950" s="12"/>
      <c r="NTE950" s="11"/>
      <c r="NTF950" s="12"/>
      <c r="NTO950" s="11"/>
      <c r="NTP950" s="12"/>
      <c r="NTY950" s="11"/>
      <c r="NTZ950" s="12"/>
      <c r="NUI950" s="11"/>
      <c r="NUJ950" s="12"/>
      <c r="NUS950" s="11"/>
      <c r="NUT950" s="12"/>
      <c r="NVC950" s="11"/>
      <c r="NVD950" s="12"/>
      <c r="NVM950" s="11"/>
      <c r="NVN950" s="12"/>
      <c r="NVW950" s="11"/>
      <c r="NVX950" s="12"/>
      <c r="NWG950" s="11"/>
      <c r="NWH950" s="12"/>
      <c r="NWQ950" s="11"/>
      <c r="NWR950" s="12"/>
      <c r="NXA950" s="11"/>
      <c r="NXB950" s="12"/>
      <c r="NXK950" s="11"/>
      <c r="NXL950" s="12"/>
      <c r="NXU950" s="11"/>
      <c r="NXV950" s="12"/>
      <c r="NYE950" s="11"/>
      <c r="NYF950" s="12"/>
      <c r="NYO950" s="11"/>
      <c r="NYP950" s="12"/>
      <c r="NYY950" s="11"/>
      <c r="NYZ950" s="12"/>
      <c r="NZI950" s="11"/>
      <c r="NZJ950" s="12"/>
      <c r="NZS950" s="11"/>
      <c r="NZT950" s="12"/>
      <c r="OAC950" s="11"/>
      <c r="OAD950" s="12"/>
      <c r="OAM950" s="11"/>
      <c r="OAN950" s="12"/>
      <c r="OAW950" s="11"/>
      <c r="OAX950" s="12"/>
      <c r="OBG950" s="11"/>
      <c r="OBH950" s="12"/>
      <c r="OBQ950" s="11"/>
      <c r="OBR950" s="12"/>
      <c r="OCA950" s="11"/>
      <c r="OCB950" s="12"/>
      <c r="OCK950" s="11"/>
      <c r="OCL950" s="12"/>
      <c r="OCU950" s="11"/>
      <c r="OCV950" s="12"/>
      <c r="ODE950" s="11"/>
      <c r="ODF950" s="12"/>
      <c r="ODO950" s="11"/>
      <c r="ODP950" s="12"/>
      <c r="ODY950" s="11"/>
      <c r="ODZ950" s="12"/>
      <c r="OEI950" s="11"/>
      <c r="OEJ950" s="12"/>
      <c r="OES950" s="11"/>
      <c r="OET950" s="12"/>
      <c r="OFC950" s="11"/>
      <c r="OFD950" s="12"/>
      <c r="OFM950" s="11"/>
      <c r="OFN950" s="12"/>
      <c r="OFW950" s="11"/>
      <c r="OFX950" s="12"/>
      <c r="OGG950" s="11"/>
      <c r="OGH950" s="12"/>
      <c r="OGQ950" s="11"/>
      <c r="OGR950" s="12"/>
      <c r="OHA950" s="11"/>
      <c r="OHB950" s="12"/>
      <c r="OHK950" s="11"/>
      <c r="OHL950" s="12"/>
      <c r="OHU950" s="11"/>
      <c r="OHV950" s="12"/>
      <c r="OIE950" s="11"/>
      <c r="OIF950" s="12"/>
      <c r="OIO950" s="11"/>
      <c r="OIP950" s="12"/>
      <c r="OIY950" s="11"/>
      <c r="OIZ950" s="12"/>
      <c r="OJI950" s="11"/>
      <c r="OJJ950" s="12"/>
      <c r="OJS950" s="11"/>
      <c r="OJT950" s="12"/>
      <c r="OKC950" s="11"/>
      <c r="OKD950" s="12"/>
      <c r="OKM950" s="11"/>
      <c r="OKN950" s="12"/>
      <c r="OKW950" s="11"/>
      <c r="OKX950" s="12"/>
      <c r="OLG950" s="11"/>
      <c r="OLH950" s="12"/>
      <c r="OLQ950" s="11"/>
      <c r="OLR950" s="12"/>
      <c r="OMA950" s="11"/>
      <c r="OMB950" s="12"/>
      <c r="OMK950" s="11"/>
      <c r="OML950" s="12"/>
      <c r="OMU950" s="11"/>
      <c r="OMV950" s="12"/>
      <c r="ONE950" s="11"/>
      <c r="ONF950" s="12"/>
      <c r="ONO950" s="11"/>
      <c r="ONP950" s="12"/>
      <c r="ONY950" s="11"/>
      <c r="ONZ950" s="12"/>
      <c r="OOI950" s="11"/>
      <c r="OOJ950" s="12"/>
      <c r="OOS950" s="11"/>
      <c r="OOT950" s="12"/>
      <c r="OPC950" s="11"/>
      <c r="OPD950" s="12"/>
      <c r="OPM950" s="11"/>
      <c r="OPN950" s="12"/>
      <c r="OPW950" s="11"/>
      <c r="OPX950" s="12"/>
      <c r="OQG950" s="11"/>
      <c r="OQH950" s="12"/>
      <c r="OQQ950" s="11"/>
      <c r="OQR950" s="12"/>
      <c r="ORA950" s="11"/>
      <c r="ORB950" s="12"/>
      <c r="ORK950" s="11"/>
      <c r="ORL950" s="12"/>
      <c r="ORU950" s="11"/>
      <c r="ORV950" s="12"/>
      <c r="OSE950" s="11"/>
      <c r="OSF950" s="12"/>
      <c r="OSO950" s="11"/>
      <c r="OSP950" s="12"/>
      <c r="OSY950" s="11"/>
      <c r="OSZ950" s="12"/>
      <c r="OTI950" s="11"/>
      <c r="OTJ950" s="12"/>
      <c r="OTS950" s="11"/>
      <c r="OTT950" s="12"/>
      <c r="OUC950" s="11"/>
      <c r="OUD950" s="12"/>
      <c r="OUM950" s="11"/>
      <c r="OUN950" s="12"/>
      <c r="OUW950" s="11"/>
      <c r="OUX950" s="12"/>
      <c r="OVG950" s="11"/>
      <c r="OVH950" s="12"/>
      <c r="OVQ950" s="11"/>
      <c r="OVR950" s="12"/>
      <c r="OWA950" s="11"/>
      <c r="OWB950" s="12"/>
      <c r="OWK950" s="11"/>
      <c r="OWL950" s="12"/>
      <c r="OWU950" s="11"/>
      <c r="OWV950" s="12"/>
      <c r="OXE950" s="11"/>
      <c r="OXF950" s="12"/>
      <c r="OXO950" s="11"/>
      <c r="OXP950" s="12"/>
      <c r="OXY950" s="11"/>
      <c r="OXZ950" s="12"/>
      <c r="OYI950" s="11"/>
      <c r="OYJ950" s="12"/>
      <c r="OYS950" s="11"/>
      <c r="OYT950" s="12"/>
      <c r="OZC950" s="11"/>
      <c r="OZD950" s="12"/>
      <c r="OZM950" s="11"/>
      <c r="OZN950" s="12"/>
      <c r="OZW950" s="11"/>
      <c r="OZX950" s="12"/>
      <c r="PAG950" s="11"/>
      <c r="PAH950" s="12"/>
      <c r="PAQ950" s="11"/>
      <c r="PAR950" s="12"/>
      <c r="PBA950" s="11"/>
      <c r="PBB950" s="12"/>
      <c r="PBK950" s="11"/>
      <c r="PBL950" s="12"/>
      <c r="PBU950" s="11"/>
      <c r="PBV950" s="12"/>
      <c r="PCE950" s="11"/>
      <c r="PCF950" s="12"/>
      <c r="PCO950" s="11"/>
      <c r="PCP950" s="12"/>
      <c r="PCY950" s="11"/>
      <c r="PCZ950" s="12"/>
      <c r="PDI950" s="11"/>
      <c r="PDJ950" s="12"/>
      <c r="PDS950" s="11"/>
      <c r="PDT950" s="12"/>
      <c r="PEC950" s="11"/>
      <c r="PED950" s="12"/>
      <c r="PEM950" s="11"/>
      <c r="PEN950" s="12"/>
      <c r="PEW950" s="11"/>
      <c r="PEX950" s="12"/>
      <c r="PFG950" s="11"/>
      <c r="PFH950" s="12"/>
      <c r="PFQ950" s="11"/>
      <c r="PFR950" s="12"/>
      <c r="PGA950" s="11"/>
      <c r="PGB950" s="12"/>
      <c r="PGK950" s="11"/>
      <c r="PGL950" s="12"/>
      <c r="PGU950" s="11"/>
      <c r="PGV950" s="12"/>
      <c r="PHE950" s="11"/>
      <c r="PHF950" s="12"/>
      <c r="PHO950" s="11"/>
      <c r="PHP950" s="12"/>
      <c r="PHY950" s="11"/>
      <c r="PHZ950" s="12"/>
      <c r="PII950" s="11"/>
      <c r="PIJ950" s="12"/>
      <c r="PIS950" s="11"/>
      <c r="PIT950" s="12"/>
      <c r="PJC950" s="11"/>
      <c r="PJD950" s="12"/>
      <c r="PJM950" s="11"/>
      <c r="PJN950" s="12"/>
      <c r="PJW950" s="11"/>
      <c r="PJX950" s="12"/>
      <c r="PKG950" s="11"/>
      <c r="PKH950" s="12"/>
      <c r="PKQ950" s="11"/>
      <c r="PKR950" s="12"/>
      <c r="PLA950" s="11"/>
      <c r="PLB950" s="12"/>
      <c r="PLK950" s="11"/>
      <c r="PLL950" s="12"/>
      <c r="PLU950" s="11"/>
      <c r="PLV950" s="12"/>
      <c r="PME950" s="11"/>
      <c r="PMF950" s="12"/>
      <c r="PMO950" s="11"/>
      <c r="PMP950" s="12"/>
      <c r="PMY950" s="11"/>
      <c r="PMZ950" s="12"/>
      <c r="PNI950" s="11"/>
      <c r="PNJ950" s="12"/>
      <c r="PNS950" s="11"/>
      <c r="PNT950" s="12"/>
      <c r="POC950" s="11"/>
      <c r="POD950" s="12"/>
      <c r="POM950" s="11"/>
      <c r="PON950" s="12"/>
      <c r="POW950" s="11"/>
      <c r="POX950" s="12"/>
      <c r="PPG950" s="11"/>
      <c r="PPH950" s="12"/>
      <c r="PPQ950" s="11"/>
      <c r="PPR950" s="12"/>
      <c r="PQA950" s="11"/>
      <c r="PQB950" s="12"/>
      <c r="PQK950" s="11"/>
      <c r="PQL950" s="12"/>
      <c r="PQU950" s="11"/>
      <c r="PQV950" s="12"/>
      <c r="PRE950" s="11"/>
      <c r="PRF950" s="12"/>
      <c r="PRO950" s="11"/>
      <c r="PRP950" s="12"/>
      <c r="PRY950" s="11"/>
      <c r="PRZ950" s="12"/>
      <c r="PSI950" s="11"/>
      <c r="PSJ950" s="12"/>
      <c r="PSS950" s="11"/>
      <c r="PST950" s="12"/>
      <c r="PTC950" s="11"/>
      <c r="PTD950" s="12"/>
      <c r="PTM950" s="11"/>
      <c r="PTN950" s="12"/>
      <c r="PTW950" s="11"/>
      <c r="PTX950" s="12"/>
      <c r="PUG950" s="11"/>
      <c r="PUH950" s="12"/>
      <c r="PUQ950" s="11"/>
      <c r="PUR950" s="12"/>
      <c r="PVA950" s="11"/>
      <c r="PVB950" s="12"/>
      <c r="PVK950" s="11"/>
      <c r="PVL950" s="12"/>
      <c r="PVU950" s="11"/>
      <c r="PVV950" s="12"/>
      <c r="PWE950" s="11"/>
      <c r="PWF950" s="12"/>
      <c r="PWO950" s="11"/>
      <c r="PWP950" s="12"/>
      <c r="PWY950" s="11"/>
      <c r="PWZ950" s="12"/>
      <c r="PXI950" s="11"/>
      <c r="PXJ950" s="12"/>
      <c r="PXS950" s="11"/>
      <c r="PXT950" s="12"/>
      <c r="PYC950" s="11"/>
      <c r="PYD950" s="12"/>
      <c r="PYM950" s="11"/>
      <c r="PYN950" s="12"/>
      <c r="PYW950" s="11"/>
      <c r="PYX950" s="12"/>
      <c r="PZG950" s="11"/>
      <c r="PZH950" s="12"/>
      <c r="PZQ950" s="11"/>
      <c r="PZR950" s="12"/>
      <c r="QAA950" s="11"/>
      <c r="QAB950" s="12"/>
      <c r="QAK950" s="11"/>
      <c r="QAL950" s="12"/>
      <c r="QAU950" s="11"/>
      <c r="QAV950" s="12"/>
      <c r="QBE950" s="11"/>
      <c r="QBF950" s="12"/>
      <c r="QBO950" s="11"/>
      <c r="QBP950" s="12"/>
      <c r="QBY950" s="11"/>
      <c r="QBZ950" s="12"/>
      <c r="QCI950" s="11"/>
      <c r="QCJ950" s="12"/>
      <c r="QCS950" s="11"/>
      <c r="QCT950" s="12"/>
      <c r="QDC950" s="11"/>
      <c r="QDD950" s="12"/>
      <c r="QDM950" s="11"/>
      <c r="QDN950" s="12"/>
      <c r="QDW950" s="11"/>
      <c r="QDX950" s="12"/>
      <c r="QEG950" s="11"/>
      <c r="QEH950" s="12"/>
      <c r="QEQ950" s="11"/>
      <c r="QER950" s="12"/>
      <c r="QFA950" s="11"/>
      <c r="QFB950" s="12"/>
      <c r="QFK950" s="11"/>
      <c r="QFL950" s="12"/>
      <c r="QFU950" s="11"/>
      <c r="QFV950" s="12"/>
      <c r="QGE950" s="11"/>
      <c r="QGF950" s="12"/>
      <c r="QGO950" s="11"/>
      <c r="QGP950" s="12"/>
      <c r="QGY950" s="11"/>
      <c r="QGZ950" s="12"/>
      <c r="QHI950" s="11"/>
      <c r="QHJ950" s="12"/>
      <c r="QHS950" s="11"/>
      <c r="QHT950" s="12"/>
      <c r="QIC950" s="11"/>
      <c r="QID950" s="12"/>
      <c r="QIM950" s="11"/>
      <c r="QIN950" s="12"/>
      <c r="QIW950" s="11"/>
      <c r="QIX950" s="12"/>
      <c r="QJG950" s="11"/>
      <c r="QJH950" s="12"/>
      <c r="QJQ950" s="11"/>
      <c r="QJR950" s="12"/>
      <c r="QKA950" s="11"/>
      <c r="QKB950" s="12"/>
      <c r="QKK950" s="11"/>
      <c r="QKL950" s="12"/>
      <c r="QKU950" s="11"/>
      <c r="QKV950" s="12"/>
      <c r="QLE950" s="11"/>
      <c r="QLF950" s="12"/>
      <c r="QLO950" s="11"/>
      <c r="QLP950" s="12"/>
      <c r="QLY950" s="11"/>
      <c r="QLZ950" s="12"/>
      <c r="QMI950" s="11"/>
      <c r="QMJ950" s="12"/>
      <c r="QMS950" s="11"/>
      <c r="QMT950" s="12"/>
      <c r="QNC950" s="11"/>
      <c r="QND950" s="12"/>
      <c r="QNM950" s="11"/>
      <c r="QNN950" s="12"/>
      <c r="QNW950" s="11"/>
      <c r="QNX950" s="12"/>
      <c r="QOG950" s="11"/>
      <c r="QOH950" s="12"/>
      <c r="QOQ950" s="11"/>
      <c r="QOR950" s="12"/>
      <c r="QPA950" s="11"/>
      <c r="QPB950" s="12"/>
      <c r="QPK950" s="11"/>
      <c r="QPL950" s="12"/>
      <c r="QPU950" s="11"/>
      <c r="QPV950" s="12"/>
      <c r="QQE950" s="11"/>
      <c r="QQF950" s="12"/>
      <c r="QQO950" s="11"/>
      <c r="QQP950" s="12"/>
      <c r="QQY950" s="11"/>
      <c r="QQZ950" s="12"/>
      <c r="QRI950" s="11"/>
      <c r="QRJ950" s="12"/>
      <c r="QRS950" s="11"/>
      <c r="QRT950" s="12"/>
      <c r="QSC950" s="11"/>
      <c r="QSD950" s="12"/>
      <c r="QSM950" s="11"/>
      <c r="QSN950" s="12"/>
      <c r="QSW950" s="11"/>
      <c r="QSX950" s="12"/>
      <c r="QTG950" s="11"/>
      <c r="QTH950" s="12"/>
      <c r="QTQ950" s="11"/>
      <c r="QTR950" s="12"/>
      <c r="QUA950" s="11"/>
      <c r="QUB950" s="12"/>
      <c r="QUK950" s="11"/>
      <c r="QUL950" s="12"/>
      <c r="QUU950" s="11"/>
      <c r="QUV950" s="12"/>
      <c r="QVE950" s="11"/>
      <c r="QVF950" s="12"/>
      <c r="QVO950" s="11"/>
      <c r="QVP950" s="12"/>
      <c r="QVY950" s="11"/>
      <c r="QVZ950" s="12"/>
      <c r="QWI950" s="11"/>
      <c r="QWJ950" s="12"/>
      <c r="QWS950" s="11"/>
      <c r="QWT950" s="12"/>
      <c r="QXC950" s="11"/>
      <c r="QXD950" s="12"/>
      <c r="QXM950" s="11"/>
      <c r="QXN950" s="12"/>
      <c r="QXW950" s="11"/>
      <c r="QXX950" s="12"/>
      <c r="QYG950" s="11"/>
      <c r="QYH950" s="12"/>
      <c r="QYQ950" s="11"/>
      <c r="QYR950" s="12"/>
      <c r="QZA950" s="11"/>
      <c r="QZB950" s="12"/>
      <c r="QZK950" s="11"/>
      <c r="QZL950" s="12"/>
      <c r="QZU950" s="11"/>
      <c r="QZV950" s="12"/>
      <c r="RAE950" s="11"/>
      <c r="RAF950" s="12"/>
      <c r="RAO950" s="11"/>
      <c r="RAP950" s="12"/>
      <c r="RAY950" s="11"/>
      <c r="RAZ950" s="12"/>
      <c r="RBI950" s="11"/>
      <c r="RBJ950" s="12"/>
      <c r="RBS950" s="11"/>
      <c r="RBT950" s="12"/>
      <c r="RCC950" s="11"/>
      <c r="RCD950" s="12"/>
      <c r="RCM950" s="11"/>
      <c r="RCN950" s="12"/>
      <c r="RCW950" s="11"/>
      <c r="RCX950" s="12"/>
      <c r="RDG950" s="11"/>
      <c r="RDH950" s="12"/>
      <c r="RDQ950" s="11"/>
      <c r="RDR950" s="12"/>
      <c r="REA950" s="11"/>
      <c r="REB950" s="12"/>
      <c r="REK950" s="11"/>
      <c r="REL950" s="12"/>
      <c r="REU950" s="11"/>
      <c r="REV950" s="12"/>
      <c r="RFE950" s="11"/>
      <c r="RFF950" s="12"/>
      <c r="RFO950" s="11"/>
      <c r="RFP950" s="12"/>
      <c r="RFY950" s="11"/>
      <c r="RFZ950" s="12"/>
      <c r="RGI950" s="11"/>
      <c r="RGJ950" s="12"/>
      <c r="RGS950" s="11"/>
      <c r="RGT950" s="12"/>
      <c r="RHC950" s="11"/>
      <c r="RHD950" s="12"/>
      <c r="RHM950" s="11"/>
      <c r="RHN950" s="12"/>
      <c r="RHW950" s="11"/>
      <c r="RHX950" s="12"/>
      <c r="RIG950" s="11"/>
      <c r="RIH950" s="12"/>
      <c r="RIQ950" s="11"/>
      <c r="RIR950" s="12"/>
      <c r="RJA950" s="11"/>
      <c r="RJB950" s="12"/>
      <c r="RJK950" s="11"/>
      <c r="RJL950" s="12"/>
      <c r="RJU950" s="11"/>
      <c r="RJV950" s="12"/>
      <c r="RKE950" s="11"/>
      <c r="RKF950" s="12"/>
      <c r="RKO950" s="11"/>
      <c r="RKP950" s="12"/>
      <c r="RKY950" s="11"/>
      <c r="RKZ950" s="12"/>
      <c r="RLI950" s="11"/>
      <c r="RLJ950" s="12"/>
      <c r="RLS950" s="11"/>
      <c r="RLT950" s="12"/>
      <c r="RMC950" s="11"/>
      <c r="RMD950" s="12"/>
      <c r="RMM950" s="11"/>
      <c r="RMN950" s="12"/>
      <c r="RMW950" s="11"/>
      <c r="RMX950" s="12"/>
      <c r="RNG950" s="11"/>
      <c r="RNH950" s="12"/>
      <c r="RNQ950" s="11"/>
      <c r="RNR950" s="12"/>
      <c r="ROA950" s="11"/>
      <c r="ROB950" s="12"/>
      <c r="ROK950" s="11"/>
      <c r="ROL950" s="12"/>
      <c r="ROU950" s="11"/>
      <c r="ROV950" s="12"/>
      <c r="RPE950" s="11"/>
      <c r="RPF950" s="12"/>
      <c r="RPO950" s="11"/>
      <c r="RPP950" s="12"/>
      <c r="RPY950" s="11"/>
      <c r="RPZ950" s="12"/>
      <c r="RQI950" s="11"/>
      <c r="RQJ950" s="12"/>
      <c r="RQS950" s="11"/>
      <c r="RQT950" s="12"/>
      <c r="RRC950" s="11"/>
      <c r="RRD950" s="12"/>
      <c r="RRM950" s="11"/>
      <c r="RRN950" s="12"/>
      <c r="RRW950" s="11"/>
      <c r="RRX950" s="12"/>
      <c r="RSG950" s="11"/>
      <c r="RSH950" s="12"/>
      <c r="RSQ950" s="11"/>
      <c r="RSR950" s="12"/>
      <c r="RTA950" s="11"/>
      <c r="RTB950" s="12"/>
      <c r="RTK950" s="11"/>
      <c r="RTL950" s="12"/>
      <c r="RTU950" s="11"/>
      <c r="RTV950" s="12"/>
      <c r="RUE950" s="11"/>
      <c r="RUF950" s="12"/>
      <c r="RUO950" s="11"/>
      <c r="RUP950" s="12"/>
      <c r="RUY950" s="11"/>
      <c r="RUZ950" s="12"/>
      <c r="RVI950" s="11"/>
      <c r="RVJ950" s="12"/>
      <c r="RVS950" s="11"/>
      <c r="RVT950" s="12"/>
      <c r="RWC950" s="11"/>
      <c r="RWD950" s="12"/>
      <c r="RWM950" s="11"/>
      <c r="RWN950" s="12"/>
      <c r="RWW950" s="11"/>
      <c r="RWX950" s="12"/>
      <c r="RXG950" s="11"/>
      <c r="RXH950" s="12"/>
      <c r="RXQ950" s="11"/>
      <c r="RXR950" s="12"/>
      <c r="RYA950" s="11"/>
      <c r="RYB950" s="12"/>
      <c r="RYK950" s="11"/>
      <c r="RYL950" s="12"/>
      <c r="RYU950" s="11"/>
      <c r="RYV950" s="12"/>
      <c r="RZE950" s="11"/>
      <c r="RZF950" s="12"/>
      <c r="RZO950" s="11"/>
      <c r="RZP950" s="12"/>
      <c r="RZY950" s="11"/>
      <c r="RZZ950" s="12"/>
      <c r="SAI950" s="11"/>
      <c r="SAJ950" s="12"/>
      <c r="SAS950" s="11"/>
      <c r="SAT950" s="12"/>
      <c r="SBC950" s="11"/>
      <c r="SBD950" s="12"/>
      <c r="SBM950" s="11"/>
      <c r="SBN950" s="12"/>
      <c r="SBW950" s="11"/>
      <c r="SBX950" s="12"/>
      <c r="SCG950" s="11"/>
      <c r="SCH950" s="12"/>
      <c r="SCQ950" s="11"/>
      <c r="SCR950" s="12"/>
      <c r="SDA950" s="11"/>
      <c r="SDB950" s="12"/>
      <c r="SDK950" s="11"/>
      <c r="SDL950" s="12"/>
      <c r="SDU950" s="11"/>
      <c r="SDV950" s="12"/>
      <c r="SEE950" s="11"/>
      <c r="SEF950" s="12"/>
      <c r="SEO950" s="11"/>
      <c r="SEP950" s="12"/>
      <c r="SEY950" s="11"/>
      <c r="SEZ950" s="12"/>
      <c r="SFI950" s="11"/>
      <c r="SFJ950" s="12"/>
      <c r="SFS950" s="11"/>
      <c r="SFT950" s="12"/>
      <c r="SGC950" s="11"/>
      <c r="SGD950" s="12"/>
      <c r="SGM950" s="11"/>
      <c r="SGN950" s="12"/>
      <c r="SGW950" s="11"/>
      <c r="SGX950" s="12"/>
      <c r="SHG950" s="11"/>
      <c r="SHH950" s="12"/>
      <c r="SHQ950" s="11"/>
      <c r="SHR950" s="12"/>
      <c r="SIA950" s="11"/>
      <c r="SIB950" s="12"/>
      <c r="SIK950" s="11"/>
      <c r="SIL950" s="12"/>
      <c r="SIU950" s="11"/>
      <c r="SIV950" s="12"/>
      <c r="SJE950" s="11"/>
      <c r="SJF950" s="12"/>
      <c r="SJO950" s="11"/>
      <c r="SJP950" s="12"/>
      <c r="SJY950" s="11"/>
      <c r="SJZ950" s="12"/>
      <c r="SKI950" s="11"/>
      <c r="SKJ950" s="12"/>
      <c r="SKS950" s="11"/>
      <c r="SKT950" s="12"/>
      <c r="SLC950" s="11"/>
      <c r="SLD950" s="12"/>
      <c r="SLM950" s="11"/>
      <c r="SLN950" s="12"/>
      <c r="SLW950" s="11"/>
      <c r="SLX950" s="12"/>
      <c r="SMG950" s="11"/>
      <c r="SMH950" s="12"/>
      <c r="SMQ950" s="11"/>
      <c r="SMR950" s="12"/>
      <c r="SNA950" s="11"/>
      <c r="SNB950" s="12"/>
      <c r="SNK950" s="11"/>
      <c r="SNL950" s="12"/>
      <c r="SNU950" s="11"/>
      <c r="SNV950" s="12"/>
      <c r="SOE950" s="11"/>
      <c r="SOF950" s="12"/>
      <c r="SOO950" s="11"/>
      <c r="SOP950" s="12"/>
      <c r="SOY950" s="11"/>
      <c r="SOZ950" s="12"/>
      <c r="SPI950" s="11"/>
      <c r="SPJ950" s="12"/>
      <c r="SPS950" s="11"/>
      <c r="SPT950" s="12"/>
      <c r="SQC950" s="11"/>
      <c r="SQD950" s="12"/>
      <c r="SQM950" s="11"/>
      <c r="SQN950" s="12"/>
      <c r="SQW950" s="11"/>
      <c r="SQX950" s="12"/>
      <c r="SRG950" s="11"/>
      <c r="SRH950" s="12"/>
      <c r="SRQ950" s="11"/>
      <c r="SRR950" s="12"/>
      <c r="SSA950" s="11"/>
      <c r="SSB950" s="12"/>
      <c r="SSK950" s="11"/>
      <c r="SSL950" s="12"/>
      <c r="SSU950" s="11"/>
      <c r="SSV950" s="12"/>
      <c r="STE950" s="11"/>
      <c r="STF950" s="12"/>
      <c r="STO950" s="11"/>
      <c r="STP950" s="12"/>
      <c r="STY950" s="11"/>
      <c r="STZ950" s="12"/>
      <c r="SUI950" s="11"/>
      <c r="SUJ950" s="12"/>
      <c r="SUS950" s="11"/>
      <c r="SUT950" s="12"/>
      <c r="SVC950" s="11"/>
      <c r="SVD950" s="12"/>
      <c r="SVM950" s="11"/>
      <c r="SVN950" s="12"/>
      <c r="SVW950" s="11"/>
      <c r="SVX950" s="12"/>
      <c r="SWG950" s="11"/>
      <c r="SWH950" s="12"/>
      <c r="SWQ950" s="11"/>
      <c r="SWR950" s="12"/>
      <c r="SXA950" s="11"/>
      <c r="SXB950" s="12"/>
      <c r="SXK950" s="11"/>
      <c r="SXL950" s="12"/>
      <c r="SXU950" s="11"/>
      <c r="SXV950" s="12"/>
      <c r="SYE950" s="11"/>
      <c r="SYF950" s="12"/>
      <c r="SYO950" s="11"/>
      <c r="SYP950" s="12"/>
      <c r="SYY950" s="11"/>
      <c r="SYZ950" s="12"/>
      <c r="SZI950" s="11"/>
      <c r="SZJ950" s="12"/>
      <c r="SZS950" s="11"/>
      <c r="SZT950" s="12"/>
      <c r="TAC950" s="11"/>
      <c r="TAD950" s="12"/>
      <c r="TAM950" s="11"/>
      <c r="TAN950" s="12"/>
      <c r="TAW950" s="11"/>
      <c r="TAX950" s="12"/>
      <c r="TBG950" s="11"/>
      <c r="TBH950" s="12"/>
      <c r="TBQ950" s="11"/>
      <c r="TBR950" s="12"/>
      <c r="TCA950" s="11"/>
      <c r="TCB950" s="12"/>
      <c r="TCK950" s="11"/>
      <c r="TCL950" s="12"/>
      <c r="TCU950" s="11"/>
      <c r="TCV950" s="12"/>
      <c r="TDE950" s="11"/>
      <c r="TDF950" s="12"/>
      <c r="TDO950" s="11"/>
      <c r="TDP950" s="12"/>
      <c r="TDY950" s="11"/>
      <c r="TDZ950" s="12"/>
      <c r="TEI950" s="11"/>
      <c r="TEJ950" s="12"/>
      <c r="TES950" s="11"/>
      <c r="TET950" s="12"/>
      <c r="TFC950" s="11"/>
      <c r="TFD950" s="12"/>
      <c r="TFM950" s="11"/>
      <c r="TFN950" s="12"/>
      <c r="TFW950" s="11"/>
      <c r="TFX950" s="12"/>
      <c r="TGG950" s="11"/>
      <c r="TGH950" s="12"/>
      <c r="TGQ950" s="11"/>
      <c r="TGR950" s="12"/>
      <c r="THA950" s="11"/>
      <c r="THB950" s="12"/>
      <c r="THK950" s="11"/>
      <c r="THL950" s="12"/>
      <c r="THU950" s="11"/>
      <c r="THV950" s="12"/>
      <c r="TIE950" s="11"/>
      <c r="TIF950" s="12"/>
      <c r="TIO950" s="11"/>
      <c r="TIP950" s="12"/>
      <c r="TIY950" s="11"/>
      <c r="TIZ950" s="12"/>
      <c r="TJI950" s="11"/>
      <c r="TJJ950" s="12"/>
      <c r="TJS950" s="11"/>
      <c r="TJT950" s="12"/>
      <c r="TKC950" s="11"/>
      <c r="TKD950" s="12"/>
      <c r="TKM950" s="11"/>
      <c r="TKN950" s="12"/>
      <c r="TKW950" s="11"/>
      <c r="TKX950" s="12"/>
      <c r="TLG950" s="11"/>
      <c r="TLH950" s="12"/>
      <c r="TLQ950" s="11"/>
      <c r="TLR950" s="12"/>
      <c r="TMA950" s="11"/>
      <c r="TMB950" s="12"/>
      <c r="TMK950" s="11"/>
      <c r="TML950" s="12"/>
      <c r="TMU950" s="11"/>
      <c r="TMV950" s="12"/>
      <c r="TNE950" s="11"/>
      <c r="TNF950" s="12"/>
      <c r="TNO950" s="11"/>
      <c r="TNP950" s="12"/>
      <c r="TNY950" s="11"/>
      <c r="TNZ950" s="12"/>
      <c r="TOI950" s="11"/>
      <c r="TOJ950" s="12"/>
      <c r="TOS950" s="11"/>
      <c r="TOT950" s="12"/>
      <c r="TPC950" s="11"/>
      <c r="TPD950" s="12"/>
      <c r="TPM950" s="11"/>
      <c r="TPN950" s="12"/>
      <c r="TPW950" s="11"/>
      <c r="TPX950" s="12"/>
      <c r="TQG950" s="11"/>
      <c r="TQH950" s="12"/>
      <c r="TQQ950" s="11"/>
      <c r="TQR950" s="12"/>
      <c r="TRA950" s="11"/>
      <c r="TRB950" s="12"/>
      <c r="TRK950" s="11"/>
      <c r="TRL950" s="12"/>
      <c r="TRU950" s="11"/>
      <c r="TRV950" s="12"/>
      <c r="TSE950" s="11"/>
      <c r="TSF950" s="12"/>
      <c r="TSO950" s="11"/>
      <c r="TSP950" s="12"/>
      <c r="TSY950" s="11"/>
      <c r="TSZ950" s="12"/>
      <c r="TTI950" s="11"/>
      <c r="TTJ950" s="12"/>
      <c r="TTS950" s="11"/>
      <c r="TTT950" s="12"/>
      <c r="TUC950" s="11"/>
      <c r="TUD950" s="12"/>
      <c r="TUM950" s="11"/>
      <c r="TUN950" s="12"/>
      <c r="TUW950" s="11"/>
      <c r="TUX950" s="12"/>
      <c r="TVG950" s="11"/>
      <c r="TVH950" s="12"/>
      <c r="TVQ950" s="11"/>
      <c r="TVR950" s="12"/>
      <c r="TWA950" s="11"/>
      <c r="TWB950" s="12"/>
      <c r="TWK950" s="11"/>
      <c r="TWL950" s="12"/>
      <c r="TWU950" s="11"/>
      <c r="TWV950" s="12"/>
      <c r="TXE950" s="11"/>
      <c r="TXF950" s="12"/>
      <c r="TXO950" s="11"/>
      <c r="TXP950" s="12"/>
      <c r="TXY950" s="11"/>
      <c r="TXZ950" s="12"/>
      <c r="TYI950" s="11"/>
      <c r="TYJ950" s="12"/>
      <c r="TYS950" s="11"/>
      <c r="TYT950" s="12"/>
      <c r="TZC950" s="11"/>
      <c r="TZD950" s="12"/>
      <c r="TZM950" s="11"/>
      <c r="TZN950" s="12"/>
      <c r="TZW950" s="11"/>
      <c r="TZX950" s="12"/>
      <c r="UAG950" s="11"/>
      <c r="UAH950" s="12"/>
      <c r="UAQ950" s="11"/>
      <c r="UAR950" s="12"/>
      <c r="UBA950" s="11"/>
      <c r="UBB950" s="12"/>
      <c r="UBK950" s="11"/>
      <c r="UBL950" s="12"/>
      <c r="UBU950" s="11"/>
      <c r="UBV950" s="12"/>
      <c r="UCE950" s="11"/>
      <c r="UCF950" s="12"/>
      <c r="UCO950" s="11"/>
      <c r="UCP950" s="12"/>
      <c r="UCY950" s="11"/>
      <c r="UCZ950" s="12"/>
      <c r="UDI950" s="11"/>
      <c r="UDJ950" s="12"/>
      <c r="UDS950" s="11"/>
      <c r="UDT950" s="12"/>
      <c r="UEC950" s="11"/>
      <c r="UED950" s="12"/>
      <c r="UEM950" s="11"/>
      <c r="UEN950" s="12"/>
      <c r="UEW950" s="11"/>
      <c r="UEX950" s="12"/>
      <c r="UFG950" s="11"/>
      <c r="UFH950" s="12"/>
      <c r="UFQ950" s="11"/>
      <c r="UFR950" s="12"/>
      <c r="UGA950" s="11"/>
      <c r="UGB950" s="12"/>
      <c r="UGK950" s="11"/>
      <c r="UGL950" s="12"/>
      <c r="UGU950" s="11"/>
      <c r="UGV950" s="12"/>
      <c r="UHE950" s="11"/>
      <c r="UHF950" s="12"/>
      <c r="UHO950" s="11"/>
      <c r="UHP950" s="12"/>
      <c r="UHY950" s="11"/>
      <c r="UHZ950" s="12"/>
      <c r="UII950" s="11"/>
      <c r="UIJ950" s="12"/>
      <c r="UIS950" s="11"/>
      <c r="UIT950" s="12"/>
      <c r="UJC950" s="11"/>
      <c r="UJD950" s="12"/>
      <c r="UJM950" s="11"/>
      <c r="UJN950" s="12"/>
      <c r="UJW950" s="11"/>
      <c r="UJX950" s="12"/>
      <c r="UKG950" s="11"/>
      <c r="UKH950" s="12"/>
      <c r="UKQ950" s="11"/>
      <c r="UKR950" s="12"/>
      <c r="ULA950" s="11"/>
      <c r="ULB950" s="12"/>
      <c r="ULK950" s="11"/>
      <c r="ULL950" s="12"/>
      <c r="ULU950" s="11"/>
      <c r="ULV950" s="12"/>
      <c r="UME950" s="11"/>
      <c r="UMF950" s="12"/>
      <c r="UMO950" s="11"/>
      <c r="UMP950" s="12"/>
      <c r="UMY950" s="11"/>
      <c r="UMZ950" s="12"/>
      <c r="UNI950" s="11"/>
      <c r="UNJ950" s="12"/>
      <c r="UNS950" s="11"/>
      <c r="UNT950" s="12"/>
      <c r="UOC950" s="11"/>
      <c r="UOD950" s="12"/>
      <c r="UOM950" s="11"/>
      <c r="UON950" s="12"/>
      <c r="UOW950" s="11"/>
      <c r="UOX950" s="12"/>
      <c r="UPG950" s="11"/>
      <c r="UPH950" s="12"/>
      <c r="UPQ950" s="11"/>
      <c r="UPR950" s="12"/>
      <c r="UQA950" s="11"/>
      <c r="UQB950" s="12"/>
      <c r="UQK950" s="11"/>
      <c r="UQL950" s="12"/>
      <c r="UQU950" s="11"/>
      <c r="UQV950" s="12"/>
      <c r="URE950" s="11"/>
      <c r="URF950" s="12"/>
      <c r="URO950" s="11"/>
      <c r="URP950" s="12"/>
      <c r="URY950" s="11"/>
      <c r="URZ950" s="12"/>
      <c r="USI950" s="11"/>
      <c r="USJ950" s="12"/>
      <c r="USS950" s="11"/>
      <c r="UST950" s="12"/>
      <c r="UTC950" s="11"/>
      <c r="UTD950" s="12"/>
      <c r="UTM950" s="11"/>
      <c r="UTN950" s="12"/>
      <c r="UTW950" s="11"/>
      <c r="UTX950" s="12"/>
      <c r="UUG950" s="11"/>
      <c r="UUH950" s="12"/>
      <c r="UUQ950" s="11"/>
      <c r="UUR950" s="12"/>
      <c r="UVA950" s="11"/>
      <c r="UVB950" s="12"/>
      <c r="UVK950" s="11"/>
      <c r="UVL950" s="12"/>
      <c r="UVU950" s="11"/>
      <c r="UVV950" s="12"/>
      <c r="UWE950" s="11"/>
      <c r="UWF950" s="12"/>
      <c r="UWO950" s="11"/>
      <c r="UWP950" s="12"/>
      <c r="UWY950" s="11"/>
      <c r="UWZ950" s="12"/>
      <c r="UXI950" s="11"/>
      <c r="UXJ950" s="12"/>
      <c r="UXS950" s="11"/>
      <c r="UXT950" s="12"/>
      <c r="UYC950" s="11"/>
      <c r="UYD950" s="12"/>
      <c r="UYM950" s="11"/>
      <c r="UYN950" s="12"/>
      <c r="UYW950" s="11"/>
      <c r="UYX950" s="12"/>
      <c r="UZG950" s="11"/>
      <c r="UZH950" s="12"/>
      <c r="UZQ950" s="11"/>
      <c r="UZR950" s="12"/>
      <c r="VAA950" s="11"/>
      <c r="VAB950" s="12"/>
      <c r="VAK950" s="11"/>
      <c r="VAL950" s="12"/>
      <c r="VAU950" s="11"/>
      <c r="VAV950" s="12"/>
      <c r="VBE950" s="11"/>
      <c r="VBF950" s="12"/>
      <c r="VBO950" s="11"/>
      <c r="VBP950" s="12"/>
      <c r="VBY950" s="11"/>
      <c r="VBZ950" s="12"/>
      <c r="VCI950" s="11"/>
      <c r="VCJ950" s="12"/>
      <c r="VCS950" s="11"/>
      <c r="VCT950" s="12"/>
      <c r="VDC950" s="11"/>
      <c r="VDD950" s="12"/>
      <c r="VDM950" s="11"/>
      <c r="VDN950" s="12"/>
      <c r="VDW950" s="11"/>
      <c r="VDX950" s="12"/>
      <c r="VEG950" s="11"/>
      <c r="VEH950" s="12"/>
      <c r="VEQ950" s="11"/>
      <c r="VER950" s="12"/>
      <c r="VFA950" s="11"/>
      <c r="VFB950" s="12"/>
      <c r="VFK950" s="11"/>
      <c r="VFL950" s="12"/>
      <c r="VFU950" s="11"/>
      <c r="VFV950" s="12"/>
      <c r="VGE950" s="11"/>
      <c r="VGF950" s="12"/>
      <c r="VGO950" s="11"/>
      <c r="VGP950" s="12"/>
      <c r="VGY950" s="11"/>
      <c r="VGZ950" s="12"/>
      <c r="VHI950" s="11"/>
      <c r="VHJ950" s="12"/>
      <c r="VHS950" s="11"/>
      <c r="VHT950" s="12"/>
      <c r="VIC950" s="11"/>
      <c r="VID950" s="12"/>
      <c r="VIM950" s="11"/>
      <c r="VIN950" s="12"/>
      <c r="VIW950" s="11"/>
      <c r="VIX950" s="12"/>
      <c r="VJG950" s="11"/>
      <c r="VJH950" s="12"/>
      <c r="VJQ950" s="11"/>
      <c r="VJR950" s="12"/>
      <c r="VKA950" s="11"/>
      <c r="VKB950" s="12"/>
      <c r="VKK950" s="11"/>
      <c r="VKL950" s="12"/>
      <c r="VKU950" s="11"/>
      <c r="VKV950" s="12"/>
      <c r="VLE950" s="11"/>
      <c r="VLF950" s="12"/>
      <c r="VLO950" s="11"/>
      <c r="VLP950" s="12"/>
      <c r="VLY950" s="11"/>
      <c r="VLZ950" s="12"/>
      <c r="VMI950" s="11"/>
      <c r="VMJ950" s="12"/>
      <c r="VMS950" s="11"/>
      <c r="VMT950" s="12"/>
      <c r="VNC950" s="11"/>
      <c r="VND950" s="12"/>
      <c r="VNM950" s="11"/>
      <c r="VNN950" s="12"/>
      <c r="VNW950" s="11"/>
      <c r="VNX950" s="12"/>
      <c r="VOG950" s="11"/>
      <c r="VOH950" s="12"/>
      <c r="VOQ950" s="11"/>
      <c r="VOR950" s="12"/>
      <c r="VPA950" s="11"/>
      <c r="VPB950" s="12"/>
      <c r="VPK950" s="11"/>
      <c r="VPL950" s="12"/>
      <c r="VPU950" s="11"/>
      <c r="VPV950" s="12"/>
      <c r="VQE950" s="11"/>
      <c r="VQF950" s="12"/>
      <c r="VQO950" s="11"/>
      <c r="VQP950" s="12"/>
      <c r="VQY950" s="11"/>
      <c r="VQZ950" s="12"/>
      <c r="VRI950" s="11"/>
      <c r="VRJ950" s="12"/>
      <c r="VRS950" s="11"/>
      <c r="VRT950" s="12"/>
      <c r="VSC950" s="11"/>
      <c r="VSD950" s="12"/>
      <c r="VSM950" s="11"/>
      <c r="VSN950" s="12"/>
      <c r="VSW950" s="11"/>
      <c r="VSX950" s="12"/>
      <c r="VTG950" s="11"/>
      <c r="VTH950" s="12"/>
      <c r="VTQ950" s="11"/>
      <c r="VTR950" s="12"/>
      <c r="VUA950" s="11"/>
      <c r="VUB950" s="12"/>
      <c r="VUK950" s="11"/>
      <c r="VUL950" s="12"/>
      <c r="VUU950" s="11"/>
      <c r="VUV950" s="12"/>
      <c r="VVE950" s="11"/>
      <c r="VVF950" s="12"/>
      <c r="VVO950" s="11"/>
      <c r="VVP950" s="12"/>
      <c r="VVY950" s="11"/>
      <c r="VVZ950" s="12"/>
      <c r="VWI950" s="11"/>
      <c r="VWJ950" s="12"/>
      <c r="VWS950" s="11"/>
      <c r="VWT950" s="12"/>
      <c r="VXC950" s="11"/>
      <c r="VXD950" s="12"/>
      <c r="VXM950" s="11"/>
      <c r="VXN950" s="12"/>
      <c r="VXW950" s="11"/>
      <c r="VXX950" s="12"/>
      <c r="VYG950" s="11"/>
      <c r="VYH950" s="12"/>
      <c r="VYQ950" s="11"/>
      <c r="VYR950" s="12"/>
      <c r="VZA950" s="11"/>
      <c r="VZB950" s="12"/>
      <c r="VZK950" s="11"/>
      <c r="VZL950" s="12"/>
      <c r="VZU950" s="11"/>
      <c r="VZV950" s="12"/>
      <c r="WAE950" s="11"/>
      <c r="WAF950" s="12"/>
      <c r="WAO950" s="11"/>
      <c r="WAP950" s="12"/>
      <c r="WAY950" s="11"/>
      <c r="WAZ950" s="12"/>
      <c r="WBI950" s="11"/>
      <c r="WBJ950" s="12"/>
      <c r="WBS950" s="11"/>
      <c r="WBT950" s="12"/>
      <c r="WCC950" s="11"/>
      <c r="WCD950" s="12"/>
      <c r="WCM950" s="11"/>
      <c r="WCN950" s="12"/>
      <c r="WCW950" s="11"/>
      <c r="WCX950" s="12"/>
      <c r="WDG950" s="11"/>
      <c r="WDH950" s="12"/>
      <c r="WDQ950" s="11"/>
      <c r="WDR950" s="12"/>
      <c r="WEA950" s="11"/>
      <c r="WEB950" s="12"/>
      <c r="WEK950" s="11"/>
      <c r="WEL950" s="12"/>
      <c r="WEU950" s="11"/>
      <c r="WEV950" s="12"/>
      <c r="WFE950" s="11"/>
      <c r="WFF950" s="12"/>
      <c r="WFO950" s="11"/>
      <c r="WFP950" s="12"/>
      <c r="WFY950" s="11"/>
      <c r="WFZ950" s="12"/>
      <c r="WGI950" s="11"/>
      <c r="WGJ950" s="12"/>
      <c r="WGS950" s="11"/>
      <c r="WGT950" s="12"/>
      <c r="WHC950" s="11"/>
      <c r="WHD950" s="12"/>
      <c r="WHM950" s="11"/>
      <c r="WHN950" s="12"/>
      <c r="WHW950" s="11"/>
      <c r="WHX950" s="12"/>
      <c r="WIG950" s="11"/>
      <c r="WIH950" s="12"/>
      <c r="WIQ950" s="11"/>
      <c r="WIR950" s="12"/>
      <c r="WJA950" s="11"/>
      <c r="WJB950" s="12"/>
      <c r="WJK950" s="11"/>
      <c r="WJL950" s="12"/>
      <c r="WJU950" s="11"/>
      <c r="WJV950" s="12"/>
      <c r="WKE950" s="11"/>
      <c r="WKF950" s="12"/>
      <c r="WKO950" s="11"/>
      <c r="WKP950" s="12"/>
      <c r="WKY950" s="11"/>
      <c r="WKZ950" s="12"/>
      <c r="WLI950" s="11"/>
      <c r="WLJ950" s="12"/>
      <c r="WLS950" s="11"/>
      <c r="WLT950" s="12"/>
      <c r="WMC950" s="11"/>
      <c r="WMD950" s="12"/>
      <c r="WMM950" s="11"/>
      <c r="WMN950" s="12"/>
      <c r="WMW950" s="11"/>
      <c r="WMX950" s="12"/>
      <c r="WNG950" s="11"/>
      <c r="WNH950" s="12"/>
      <c r="WNQ950" s="11"/>
      <c r="WNR950" s="12"/>
      <c r="WOA950" s="11"/>
      <c r="WOB950" s="12"/>
      <c r="WOK950" s="11"/>
      <c r="WOL950" s="12"/>
      <c r="WOU950" s="11"/>
      <c r="WOV950" s="12"/>
      <c r="WPE950" s="11"/>
      <c r="WPF950" s="12"/>
      <c r="WPO950" s="11"/>
      <c r="WPP950" s="12"/>
      <c r="WPY950" s="11"/>
      <c r="WPZ950" s="12"/>
      <c r="WQI950" s="11"/>
      <c r="WQJ950" s="12"/>
      <c r="WQS950" s="11"/>
      <c r="WQT950" s="12"/>
      <c r="WRC950" s="11"/>
      <c r="WRD950" s="12"/>
      <c r="WRM950" s="11"/>
      <c r="WRN950" s="12"/>
      <c r="WRW950" s="11"/>
      <c r="WRX950" s="12"/>
      <c r="WSG950" s="11"/>
      <c r="WSH950" s="12"/>
      <c r="WSQ950" s="11"/>
      <c r="WSR950" s="12"/>
      <c r="WTA950" s="11"/>
      <c r="WTB950" s="12"/>
      <c r="WTK950" s="11"/>
      <c r="WTL950" s="12"/>
      <c r="WTU950" s="11"/>
      <c r="WTV950" s="12"/>
      <c r="WUE950" s="11"/>
      <c r="WUF950" s="12"/>
      <c r="WUO950" s="11"/>
      <c r="WUP950" s="12"/>
      <c r="WUY950" s="11"/>
      <c r="WUZ950" s="12"/>
      <c r="WVI950" s="11"/>
      <c r="WVJ950" s="12"/>
      <c r="WVS950" s="11"/>
      <c r="WVT950" s="12"/>
      <c r="WWC950" s="11"/>
      <c r="WWD950" s="12"/>
      <c r="WWM950" s="11"/>
      <c r="WWN950" s="12"/>
      <c r="WWW950" s="11"/>
      <c r="WWX950" s="12"/>
      <c r="WXG950" s="11"/>
      <c r="WXH950" s="12"/>
      <c r="WXQ950" s="11"/>
      <c r="WXR950" s="12"/>
      <c r="WYA950" s="11"/>
      <c r="WYB950" s="12"/>
      <c r="WYK950" s="11"/>
      <c r="WYL950" s="12"/>
      <c r="WYU950" s="11"/>
      <c r="WYV950" s="12"/>
      <c r="WZE950" s="11"/>
      <c r="WZF950" s="12"/>
      <c r="WZO950" s="11"/>
      <c r="WZP950" s="12"/>
      <c r="WZY950" s="11"/>
      <c r="WZZ950" s="12"/>
      <c r="XAI950" s="11"/>
      <c r="XAJ950" s="12"/>
      <c r="XAS950" s="11"/>
      <c r="XAT950" s="12"/>
      <c r="XBC950" s="11"/>
      <c r="XBD950" s="12"/>
      <c r="XBM950" s="11"/>
      <c r="XBN950" s="12"/>
      <c r="XBW950" s="11"/>
      <c r="XBX950" s="12"/>
      <c r="XCG950" s="11"/>
      <c r="XCH950" s="12"/>
      <c r="XCQ950" s="11"/>
      <c r="XCR950" s="12"/>
      <c r="XDA950" s="11"/>
      <c r="XDB950" s="12"/>
      <c r="XDK950" s="11"/>
      <c r="XDL950" s="12"/>
      <c r="XDU950" s="11"/>
      <c r="XDV950" s="12"/>
      <c r="XEE950" s="11"/>
      <c r="XEF950" s="12"/>
      <c r="XEO950" s="11"/>
      <c r="XEP950" s="12"/>
      <c r="XEY950" s="11"/>
      <c r="XEZ950" s="12"/>
    </row>
    <row r="951" spans="1:1020 1029:2040 2049:3070 3079:4090 4099:5120 5129:6140 6149:7160 7169:8190 8199:9210 9219:10240 10249:11260 11269:12280 12289:13310 13319:14330 14339:15360 15369:16380" ht="45.6" customHeight="1" x14ac:dyDescent="0.3">
      <c r="H951" s="32" t="s">
        <v>83</v>
      </c>
      <c r="I951" s="33" t="s">
        <v>41</v>
      </c>
      <c r="J951" s="34" t="s">
        <v>443</v>
      </c>
      <c r="K951" s="35" t="s">
        <v>290</v>
      </c>
      <c r="L951" s="33" t="s">
        <v>47</v>
      </c>
      <c r="M951" s="33">
        <v>8115</v>
      </c>
      <c r="N951" s="36"/>
      <c r="O951" s="33">
        <v>2</v>
      </c>
      <c r="P951" s="33">
        <f>IF(Tabela1[[#This Row],[Status]]="✔️",Tabela1[[#This Row],[Peso]],IF(Tabela1[[#This Row],[Status]]="✔️✔️",Tabela1[[#This Row],[Peso]]/2,0))</f>
        <v>0</v>
      </c>
      <c r="Q95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951" s="33" t="s">
        <v>127</v>
      </c>
      <c r="S951" s="37" t="s">
        <v>128</v>
      </c>
    </row>
    <row r="952" spans="1:1020 1029:2040 2049:3070 3079:4090 4099:5120 5129:6140 6149:7160 7169:8190 8199:9210 9219:10240 10249:11260 11269:12280 12289:13310 13319:14330 14339:15360 15369:16380" ht="45.6" customHeight="1" x14ac:dyDescent="0.3">
      <c r="H952" s="32" t="s">
        <v>83</v>
      </c>
      <c r="I952" s="33" t="s">
        <v>10</v>
      </c>
      <c r="J952" s="34" t="s">
        <v>444</v>
      </c>
      <c r="K952" s="35" t="s">
        <v>290</v>
      </c>
      <c r="L952" s="33" t="s">
        <v>87</v>
      </c>
      <c r="M952" s="33">
        <v>5214</v>
      </c>
      <c r="N952" s="36"/>
      <c r="O952" s="33">
        <v>3</v>
      </c>
      <c r="P952" s="33">
        <f>IF(Tabela1[[#This Row],[Status]]="✔️",Tabela1[[#This Row],[Peso]],IF(Tabela1[[#This Row],[Status]]="✔️✔️",Tabela1[[#This Row],[Peso]]/2,0))</f>
        <v>0</v>
      </c>
      <c r="Q95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52" s="33" t="s">
        <v>127</v>
      </c>
      <c r="S952" s="37" t="s">
        <v>128</v>
      </c>
    </row>
    <row r="953" spans="1:1020 1029:2040 2049:3070 3079:4090 4099:5120 5129:6140 6149:7160 7169:8190 8199:9210 9219:10240 10249:11260 11269:12280 12289:13310 13319:14330 14339:15360 15369:16380" ht="27.6" x14ac:dyDescent="0.3">
      <c r="H953" s="32" t="s">
        <v>83</v>
      </c>
      <c r="I953" s="33" t="s">
        <v>30</v>
      </c>
      <c r="J953" s="34" t="s">
        <v>438</v>
      </c>
      <c r="K953" s="35" t="s">
        <v>0</v>
      </c>
      <c r="L953" s="33"/>
      <c r="M953" s="33"/>
      <c r="N953" s="36"/>
      <c r="O953" s="33">
        <v>3</v>
      </c>
      <c r="P953" s="33">
        <f>IF(Tabela1[[#This Row],[Status]]="✔️",Tabela1[[#This Row],[Peso]],IF(Tabela1[[#This Row],[Status]]="✔️✔️",Tabela1[[#This Row],[Peso]]/2,0))</f>
        <v>3</v>
      </c>
      <c r="Q95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53" s="33" t="s">
        <v>130</v>
      </c>
      <c r="S953" s="37" t="s">
        <v>132</v>
      </c>
    </row>
    <row r="954" spans="1:1020 1029:2040 2049:3070 3079:4090 4099:5120 5129:6140 6149:7160 7169:8190 8199:9210 9219:10240 10249:11260 11269:12280 12289:13310 13319:14330 14339:15360 15369:16380" ht="27.6" x14ac:dyDescent="0.3">
      <c r="H954" s="32" t="s">
        <v>83</v>
      </c>
      <c r="I954" s="33" t="s">
        <v>10</v>
      </c>
      <c r="J954" s="34" t="s">
        <v>11</v>
      </c>
      <c r="K954" s="35" t="s">
        <v>290</v>
      </c>
      <c r="L954" s="33" t="s">
        <v>176</v>
      </c>
      <c r="M954" s="33">
        <v>8775</v>
      </c>
      <c r="N954" s="36"/>
      <c r="O954" s="33">
        <v>3</v>
      </c>
      <c r="P954" s="33">
        <f>IF(Tabela1[[#This Row],[Status]]="✔️",Tabela1[[#This Row],[Peso]],IF(Tabela1[[#This Row],[Status]]="✔️✔️",Tabela1[[#This Row],[Peso]]/2,0))</f>
        <v>0</v>
      </c>
      <c r="Q95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54" s="33" t="s">
        <v>130</v>
      </c>
      <c r="S954" s="37" t="s">
        <v>132</v>
      </c>
    </row>
    <row r="955" spans="1:1020 1029:2040 2049:3070 3079:4090 4099:5120 5129:6140 6149:7160 7169:8190 8199:9210 9219:10240 10249:11260 11269:12280 12289:13310 13319:14330 14339:15360 15369:16380" ht="27.6" x14ac:dyDescent="0.3">
      <c r="H955" s="32" t="s">
        <v>83</v>
      </c>
      <c r="I955" s="33" t="s">
        <v>10</v>
      </c>
      <c r="J955" s="34" t="s">
        <v>439</v>
      </c>
      <c r="K955" s="35" t="s">
        <v>0</v>
      </c>
      <c r="L955" s="33"/>
      <c r="M955" s="33"/>
      <c r="N955" s="36"/>
      <c r="O955" s="33">
        <v>3</v>
      </c>
      <c r="P955" s="33">
        <f>IF(Tabela1[[#This Row],[Status]]="✔️",Tabela1[[#This Row],[Peso]],IF(Tabela1[[#This Row],[Status]]="✔️✔️",Tabela1[[#This Row],[Peso]]/2,0))</f>
        <v>3</v>
      </c>
      <c r="Q95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55" s="33" t="s">
        <v>130</v>
      </c>
      <c r="S955" s="37" t="s">
        <v>132</v>
      </c>
    </row>
    <row r="956" spans="1:1020 1029:2040 2049:3070 3079:4090 4099:5120 5129:6140 6149:7160 7169:8190 8199:9210 9219:10240 10249:11260 11269:12280 12289:13310 13319:14330 14339:15360 15369:16380" ht="27.6" x14ac:dyDescent="0.3">
      <c r="H956" s="32" t="s">
        <v>83</v>
      </c>
      <c r="I956" s="33" t="s">
        <v>10</v>
      </c>
      <c r="J956" s="34" t="s">
        <v>440</v>
      </c>
      <c r="K956" s="35" t="s">
        <v>0</v>
      </c>
      <c r="L956" s="33"/>
      <c r="M956" s="33"/>
      <c r="N956" s="36"/>
      <c r="O956" s="33">
        <v>3</v>
      </c>
      <c r="P956" s="33">
        <f>IF(Tabela1[[#This Row],[Status]]="✔️",Tabela1[[#This Row],[Peso]],IF(Tabela1[[#This Row],[Status]]="✔️✔️",Tabela1[[#This Row],[Peso]]/2,0))</f>
        <v>3</v>
      </c>
      <c r="Q95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56" s="33" t="s">
        <v>130</v>
      </c>
      <c r="S956" s="37" t="s">
        <v>132</v>
      </c>
    </row>
    <row r="957" spans="1:1020 1029:2040 2049:3070 3079:4090 4099:5120 5129:6140 6149:7160 7169:8190 8199:9210 9219:10240 10249:11260 11269:12280 12289:13310 13319:14330 14339:15360 15369:16380" ht="27.6" x14ac:dyDescent="0.3">
      <c r="H957" s="32" t="s">
        <v>83</v>
      </c>
      <c r="I957" s="33" t="s">
        <v>12</v>
      </c>
      <c r="J957" s="34" t="s">
        <v>13</v>
      </c>
      <c r="K957" s="35" t="s">
        <v>0</v>
      </c>
      <c r="L957" s="33"/>
      <c r="M957" s="33"/>
      <c r="N957" s="36"/>
      <c r="O957" s="33">
        <v>2</v>
      </c>
      <c r="P957" s="33">
        <f>IF(Tabela1[[#This Row],[Status]]="✔️",Tabela1[[#This Row],[Peso]],IF(Tabela1[[#This Row],[Status]]="✔️✔️",Tabela1[[#This Row],[Peso]]/2,0))</f>
        <v>2</v>
      </c>
      <c r="Q95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957" s="33" t="s">
        <v>130</v>
      </c>
      <c r="S957" s="37" t="s">
        <v>132</v>
      </c>
    </row>
    <row r="958" spans="1:1020 1029:2040 2049:3070 3079:4090 4099:5120 5129:6140 6149:7160 7169:8190 8199:9210 9219:10240 10249:11260 11269:12280 12289:13310 13319:14330 14339:15360 15369:16380" ht="27.6" x14ac:dyDescent="0.3">
      <c r="H958" s="32" t="s">
        <v>83</v>
      </c>
      <c r="I958" s="33" t="s">
        <v>14</v>
      </c>
      <c r="J958" s="34" t="s">
        <v>15</v>
      </c>
      <c r="K958" s="35" t="s">
        <v>0</v>
      </c>
      <c r="L958" s="33"/>
      <c r="M958" s="33"/>
      <c r="N958" s="36"/>
      <c r="O958" s="33">
        <v>3</v>
      </c>
      <c r="P958" s="33">
        <f>IF(Tabela1[[#This Row],[Status]]="✔️",Tabela1[[#This Row],[Peso]],IF(Tabela1[[#This Row],[Status]]="✔️✔️",Tabela1[[#This Row],[Peso]]/2,0))</f>
        <v>3</v>
      </c>
      <c r="Q95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58" s="33" t="s">
        <v>130</v>
      </c>
      <c r="S958" s="37" t="s">
        <v>132</v>
      </c>
    </row>
    <row r="959" spans="1:1020 1029:2040 2049:3070 3079:4090 4099:5120 5129:6140 6149:7160 7169:8190 8199:9210 9219:10240 10249:11260 11269:12280 12289:13310 13319:14330 14339:15360 15369:16380" ht="27.6" x14ac:dyDescent="0.3">
      <c r="H959" s="32" t="s">
        <v>83</v>
      </c>
      <c r="I959" s="33" t="s">
        <v>14</v>
      </c>
      <c r="J959" s="34" t="s">
        <v>16</v>
      </c>
      <c r="K959" s="35" t="s">
        <v>0</v>
      </c>
      <c r="L959" s="33"/>
      <c r="M959" s="33"/>
      <c r="N959" s="36"/>
      <c r="O959" s="33">
        <v>1</v>
      </c>
      <c r="P959" s="33">
        <f>IF(Tabela1[[#This Row],[Status]]="✔️",Tabela1[[#This Row],[Peso]],IF(Tabela1[[#This Row],[Status]]="✔️✔️",Tabela1[[#This Row],[Peso]]/2,0))</f>
        <v>1</v>
      </c>
      <c r="Q95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959" s="33" t="s">
        <v>130</v>
      </c>
      <c r="S959" s="37" t="s">
        <v>132</v>
      </c>
    </row>
    <row r="960" spans="1:1020 1029:2040 2049:3070 3079:4090 4099:5120 5129:6140 6149:7160 7169:8190 8199:9210 9219:10240 10249:11260 11269:12280 12289:13310 13319:14330 14339:15360 15369:16380" ht="27.6" x14ac:dyDescent="0.3">
      <c r="H960" s="32" t="s">
        <v>83</v>
      </c>
      <c r="I960" s="33" t="s">
        <v>17</v>
      </c>
      <c r="J960" s="34" t="s">
        <v>18</v>
      </c>
      <c r="K960" s="35" t="s">
        <v>0</v>
      </c>
      <c r="L960" s="33"/>
      <c r="M960" s="33"/>
      <c r="N960" s="36"/>
      <c r="O960" s="33">
        <v>3</v>
      </c>
      <c r="P960" s="33">
        <f>IF(Tabela1[[#This Row],[Status]]="✔️",Tabela1[[#This Row],[Peso]],IF(Tabela1[[#This Row],[Status]]="✔️✔️",Tabela1[[#This Row],[Peso]]/2,0))</f>
        <v>3</v>
      </c>
      <c r="Q96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60" s="33" t="s">
        <v>130</v>
      </c>
      <c r="S960" s="37" t="s">
        <v>132</v>
      </c>
    </row>
    <row r="961" spans="8:19" ht="27.6" x14ac:dyDescent="0.3">
      <c r="H961" s="32" t="s">
        <v>83</v>
      </c>
      <c r="I961" s="33" t="s">
        <v>17</v>
      </c>
      <c r="J961" s="34" t="s">
        <v>19</v>
      </c>
      <c r="K961" s="35" t="s">
        <v>290</v>
      </c>
      <c r="L961" s="33" t="s">
        <v>178</v>
      </c>
      <c r="M961" s="33">
        <v>8775</v>
      </c>
      <c r="N961" s="36"/>
      <c r="O961" s="33">
        <v>3</v>
      </c>
      <c r="P961" s="33">
        <f>IF(Tabela1[[#This Row],[Status]]="✔️",Tabela1[[#This Row],[Peso]],IF(Tabela1[[#This Row],[Status]]="✔️✔️",Tabela1[[#This Row],[Peso]]/2,0))</f>
        <v>0</v>
      </c>
      <c r="Q96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61" s="33" t="s">
        <v>130</v>
      </c>
      <c r="S961" s="37" t="s">
        <v>132</v>
      </c>
    </row>
    <row r="962" spans="8:19" ht="27.6" x14ac:dyDescent="0.3">
      <c r="H962" s="32" t="s">
        <v>83</v>
      </c>
      <c r="I962" s="33" t="s">
        <v>20</v>
      </c>
      <c r="J962" s="34" t="s">
        <v>21</v>
      </c>
      <c r="K962" s="35" t="s">
        <v>0</v>
      </c>
      <c r="L962" s="33"/>
      <c r="M962" s="33"/>
      <c r="N962" s="36"/>
      <c r="O962" s="33">
        <v>3</v>
      </c>
      <c r="P962" s="33">
        <f>IF(Tabela1[[#This Row],[Status]]="✔️",Tabela1[[#This Row],[Peso]],IF(Tabela1[[#This Row],[Status]]="✔️✔️",Tabela1[[#This Row],[Peso]]/2,0))</f>
        <v>3</v>
      </c>
      <c r="Q96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62" s="33" t="s">
        <v>130</v>
      </c>
      <c r="S962" s="37" t="s">
        <v>132</v>
      </c>
    </row>
    <row r="963" spans="8:19" ht="27.6" x14ac:dyDescent="0.3">
      <c r="H963" s="32" t="s">
        <v>83</v>
      </c>
      <c r="I963" s="33" t="s">
        <v>20</v>
      </c>
      <c r="J963" s="34" t="s">
        <v>441</v>
      </c>
      <c r="K963" s="35" t="s">
        <v>290</v>
      </c>
      <c r="L963" s="33" t="s">
        <v>174</v>
      </c>
      <c r="M963" s="33">
        <v>8775</v>
      </c>
      <c r="N963" s="36"/>
      <c r="O963" s="33">
        <v>1</v>
      </c>
      <c r="P963" s="33">
        <f>IF(Tabela1[[#This Row],[Status]]="✔️",Tabela1[[#This Row],[Peso]],IF(Tabela1[[#This Row],[Status]]="✔️✔️",Tabela1[[#This Row],[Peso]]/2,0))</f>
        <v>0</v>
      </c>
      <c r="Q96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963" s="33" t="s">
        <v>130</v>
      </c>
      <c r="S963" s="37" t="s">
        <v>132</v>
      </c>
    </row>
    <row r="964" spans="8:19" ht="27.6" x14ac:dyDescent="0.3">
      <c r="H964" s="32" t="s">
        <v>83</v>
      </c>
      <c r="I964" s="33" t="s">
        <v>25</v>
      </c>
      <c r="J964" s="34" t="s">
        <v>28</v>
      </c>
      <c r="K964" s="35" t="s">
        <v>290</v>
      </c>
      <c r="L964" s="33" t="s">
        <v>179</v>
      </c>
      <c r="M964" s="33">
        <v>9884</v>
      </c>
      <c r="N964" s="36"/>
      <c r="O964" s="33">
        <v>3</v>
      </c>
      <c r="P964" s="33">
        <f>IF(Tabela1[[#This Row],[Status]]="✔️",Tabela1[[#This Row],[Peso]],IF(Tabela1[[#This Row],[Status]]="✔️✔️",Tabela1[[#This Row],[Peso]]/2,0))</f>
        <v>0</v>
      </c>
      <c r="Q96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64" s="33" t="s">
        <v>130</v>
      </c>
      <c r="S964" s="37" t="s">
        <v>132</v>
      </c>
    </row>
    <row r="965" spans="8:19" ht="27.6" x14ac:dyDescent="0.3">
      <c r="H965" s="32" t="s">
        <v>83</v>
      </c>
      <c r="I965" s="33" t="s">
        <v>25</v>
      </c>
      <c r="J965" s="34" t="s">
        <v>29</v>
      </c>
      <c r="K965" s="35" t="s">
        <v>0</v>
      </c>
      <c r="L965" s="33"/>
      <c r="M965" s="33"/>
      <c r="N965" s="36"/>
      <c r="O965" s="33">
        <v>3</v>
      </c>
      <c r="P965" s="33">
        <f>IF(Tabela1[[#This Row],[Status]]="✔️",Tabela1[[#This Row],[Peso]],IF(Tabela1[[#This Row],[Status]]="✔️✔️",Tabela1[[#This Row],[Peso]]/2,0))</f>
        <v>3</v>
      </c>
      <c r="Q96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65" s="33" t="s">
        <v>130</v>
      </c>
      <c r="S965" s="37" t="s">
        <v>132</v>
      </c>
    </row>
    <row r="966" spans="8:19" ht="27.6" x14ac:dyDescent="0.3">
      <c r="H966" s="32" t="s">
        <v>83</v>
      </c>
      <c r="I966" s="33" t="s">
        <v>25</v>
      </c>
      <c r="J966" s="34" t="s">
        <v>449</v>
      </c>
      <c r="K966" s="35" t="s">
        <v>0</v>
      </c>
      <c r="L966" s="33"/>
      <c r="M966" s="33"/>
      <c r="N966" s="36"/>
      <c r="O966" s="33">
        <v>3</v>
      </c>
      <c r="P966" s="33">
        <f>IF(Tabela1[[#This Row],[Status]]="✔️",Tabela1[[#This Row],[Peso]],IF(Tabela1[[#This Row],[Status]]="✔️✔️",Tabela1[[#This Row],[Peso]]/2,0))</f>
        <v>3</v>
      </c>
      <c r="Q96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66" s="33" t="s">
        <v>130</v>
      </c>
      <c r="S966" s="37" t="s">
        <v>132</v>
      </c>
    </row>
    <row r="967" spans="8:19" ht="41.4" x14ac:dyDescent="0.3">
      <c r="H967" s="32" t="s">
        <v>83</v>
      </c>
      <c r="I967" s="33" t="s">
        <v>41</v>
      </c>
      <c r="J967" s="34" t="s">
        <v>442</v>
      </c>
      <c r="K967" s="35" t="s">
        <v>290</v>
      </c>
      <c r="L967" s="33" t="s">
        <v>47</v>
      </c>
      <c r="M967" s="33">
        <v>8775</v>
      </c>
      <c r="N967" s="36"/>
      <c r="O967" s="33">
        <v>3</v>
      </c>
      <c r="P967" s="33">
        <f>IF(Tabela1[[#This Row],[Status]]="✔️",Tabela1[[#This Row],[Peso]],IF(Tabela1[[#This Row],[Status]]="✔️✔️",Tabela1[[#This Row],[Peso]]/2,0))</f>
        <v>0</v>
      </c>
      <c r="Q96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67" s="33" t="s">
        <v>130</v>
      </c>
      <c r="S967" s="37" t="s">
        <v>132</v>
      </c>
    </row>
    <row r="968" spans="8:19" ht="41.4" x14ac:dyDescent="0.3">
      <c r="H968" s="32" t="s">
        <v>83</v>
      </c>
      <c r="I968" s="33" t="s">
        <v>41</v>
      </c>
      <c r="J968" s="34" t="s">
        <v>443</v>
      </c>
      <c r="K968" s="35" t="s">
        <v>290</v>
      </c>
      <c r="L968" s="33" t="s">
        <v>47</v>
      </c>
      <c r="M968" s="33">
        <v>8775</v>
      </c>
      <c r="N968" s="36"/>
      <c r="O968" s="33">
        <v>2</v>
      </c>
      <c r="P968" s="33">
        <f>IF(Tabela1[[#This Row],[Status]]="✔️",Tabela1[[#This Row],[Peso]],IF(Tabela1[[#This Row],[Status]]="✔️✔️",Tabela1[[#This Row],[Peso]]/2,0))</f>
        <v>0</v>
      </c>
      <c r="Q968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968" s="33" t="s">
        <v>130</v>
      </c>
      <c r="S968" s="37" t="s">
        <v>132</v>
      </c>
    </row>
    <row r="969" spans="8:19" ht="27.6" x14ac:dyDescent="0.3">
      <c r="H969" s="52" t="s">
        <v>83</v>
      </c>
      <c r="I969" s="53" t="s">
        <v>30</v>
      </c>
      <c r="J969" s="34" t="s">
        <v>438</v>
      </c>
      <c r="K969" s="54" t="s">
        <v>0</v>
      </c>
      <c r="L969" s="53"/>
      <c r="M969" s="53"/>
      <c r="N969" s="55"/>
      <c r="O969" s="53">
        <v>3</v>
      </c>
      <c r="P969" s="33">
        <f>IF(Tabela1[[#This Row],[Status]]="✔️",Tabela1[[#This Row],[Peso]],IF(Tabela1[[#This Row],[Status]]="✔️✔️",Tabela1[[#This Row],[Peso]]/2,0))</f>
        <v>3</v>
      </c>
      <c r="Q96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69" s="53" t="s">
        <v>130</v>
      </c>
      <c r="S969" s="37" t="s">
        <v>128</v>
      </c>
    </row>
    <row r="970" spans="8:19" ht="27.6" x14ac:dyDescent="0.3">
      <c r="H970" s="32" t="s">
        <v>83</v>
      </c>
      <c r="I970" s="33" t="s">
        <v>10</v>
      </c>
      <c r="J970" s="34" t="s">
        <v>444</v>
      </c>
      <c r="K970" s="35" t="s">
        <v>290</v>
      </c>
      <c r="L970" s="33" t="s">
        <v>177</v>
      </c>
      <c r="M970" s="33">
        <v>8775</v>
      </c>
      <c r="N970" s="36"/>
      <c r="O970" s="33">
        <v>3</v>
      </c>
      <c r="P970" s="33">
        <f>IF(Tabela1[[#This Row],[Status]]="✔️",Tabela1[[#This Row],[Peso]],IF(Tabela1[[#This Row],[Status]]="✔️✔️",Tabela1[[#This Row],[Peso]]/2,0))</f>
        <v>0</v>
      </c>
      <c r="Q97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70" s="33" t="s">
        <v>130</v>
      </c>
      <c r="S970" s="37" t="s">
        <v>132</v>
      </c>
    </row>
    <row r="971" spans="8:19" ht="27.6" x14ac:dyDescent="0.3">
      <c r="H971" s="32" t="s">
        <v>83</v>
      </c>
      <c r="I971" s="33" t="s">
        <v>10</v>
      </c>
      <c r="J971" s="34" t="s">
        <v>11</v>
      </c>
      <c r="K971" s="35" t="s">
        <v>290</v>
      </c>
      <c r="L971" s="33" t="s">
        <v>176</v>
      </c>
      <c r="M971" s="33">
        <v>8775</v>
      </c>
      <c r="N971" s="36"/>
      <c r="O971" s="33">
        <v>3</v>
      </c>
      <c r="P971" s="33">
        <f>IF(Tabela1[[#This Row],[Status]]="✔️",Tabela1[[#This Row],[Peso]],IF(Tabela1[[#This Row],[Status]]="✔️✔️",Tabela1[[#This Row],[Peso]]/2,0))</f>
        <v>0</v>
      </c>
      <c r="Q97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71" s="33" t="s">
        <v>130</v>
      </c>
      <c r="S971" s="37" t="s">
        <v>128</v>
      </c>
    </row>
    <row r="972" spans="8:19" ht="27.6" x14ac:dyDescent="0.3">
      <c r="H972" s="32" t="s">
        <v>83</v>
      </c>
      <c r="I972" s="33" t="s">
        <v>10</v>
      </c>
      <c r="J972" s="34" t="s">
        <v>439</v>
      </c>
      <c r="K972" s="35" t="s">
        <v>0</v>
      </c>
      <c r="L972" s="33"/>
      <c r="M972" s="33"/>
      <c r="N972" s="36"/>
      <c r="O972" s="33">
        <v>3</v>
      </c>
      <c r="P972" s="33">
        <f>IF(Tabela1[[#This Row],[Status]]="✔️",Tabela1[[#This Row],[Peso]],IF(Tabela1[[#This Row],[Status]]="✔️✔️",Tabela1[[#This Row],[Peso]]/2,0))</f>
        <v>3</v>
      </c>
      <c r="Q97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72" s="33" t="s">
        <v>130</v>
      </c>
      <c r="S972" s="37" t="s">
        <v>128</v>
      </c>
    </row>
    <row r="973" spans="8:19" ht="27.6" x14ac:dyDescent="0.3">
      <c r="H973" s="32" t="s">
        <v>83</v>
      </c>
      <c r="I973" s="33" t="s">
        <v>10</v>
      </c>
      <c r="J973" s="34" t="s">
        <v>440</v>
      </c>
      <c r="K973" s="35" t="s">
        <v>0</v>
      </c>
      <c r="L973" s="33"/>
      <c r="M973" s="33"/>
      <c r="N973" s="36"/>
      <c r="O973" s="33">
        <v>3</v>
      </c>
      <c r="P973" s="33">
        <f>IF(Tabela1[[#This Row],[Status]]="✔️",Tabela1[[#This Row],[Peso]],IF(Tabela1[[#This Row],[Status]]="✔️✔️",Tabela1[[#This Row],[Peso]]/2,0))</f>
        <v>3</v>
      </c>
      <c r="Q97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73" s="33" t="s">
        <v>130</v>
      </c>
      <c r="S973" s="37" t="s">
        <v>128</v>
      </c>
    </row>
    <row r="974" spans="8:19" ht="27.6" x14ac:dyDescent="0.3">
      <c r="H974" s="32" t="s">
        <v>83</v>
      </c>
      <c r="I974" s="33" t="s">
        <v>12</v>
      </c>
      <c r="J974" s="34" t="s">
        <v>13</v>
      </c>
      <c r="K974" s="35" t="s">
        <v>0</v>
      </c>
      <c r="L974" s="33"/>
      <c r="M974" s="33"/>
      <c r="N974" s="36"/>
      <c r="O974" s="33">
        <v>2</v>
      </c>
      <c r="P974" s="33">
        <f>IF(Tabela1[[#This Row],[Status]]="✔️",Tabela1[[#This Row],[Peso]],IF(Tabela1[[#This Row],[Status]]="✔️✔️",Tabela1[[#This Row],[Peso]]/2,0))</f>
        <v>2</v>
      </c>
      <c r="Q97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974" s="33" t="s">
        <v>130</v>
      </c>
      <c r="S974" s="37" t="s">
        <v>128</v>
      </c>
    </row>
    <row r="975" spans="8:19" ht="27.6" x14ac:dyDescent="0.3">
      <c r="H975" s="32" t="s">
        <v>83</v>
      </c>
      <c r="I975" s="33" t="s">
        <v>14</v>
      </c>
      <c r="J975" s="34" t="s">
        <v>15</v>
      </c>
      <c r="K975" s="35" t="s">
        <v>0</v>
      </c>
      <c r="L975" s="33"/>
      <c r="M975" s="33"/>
      <c r="N975" s="36"/>
      <c r="O975" s="33">
        <v>3</v>
      </c>
      <c r="P975" s="33">
        <f>IF(Tabela1[[#This Row],[Status]]="✔️",Tabela1[[#This Row],[Peso]],IF(Tabela1[[#This Row],[Status]]="✔️✔️",Tabela1[[#This Row],[Peso]]/2,0))</f>
        <v>3</v>
      </c>
      <c r="Q97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75" s="33" t="s">
        <v>130</v>
      </c>
      <c r="S975" s="37" t="s">
        <v>128</v>
      </c>
    </row>
    <row r="976" spans="8:19" ht="27.6" x14ac:dyDescent="0.3">
      <c r="H976" s="32" t="s">
        <v>83</v>
      </c>
      <c r="I976" s="33" t="s">
        <v>14</v>
      </c>
      <c r="J976" s="34" t="s">
        <v>16</v>
      </c>
      <c r="K976" s="35" t="s">
        <v>0</v>
      </c>
      <c r="L976" s="33"/>
      <c r="M976" s="33"/>
      <c r="N976" s="36"/>
      <c r="O976" s="33">
        <v>1</v>
      </c>
      <c r="P976" s="33">
        <f>IF(Tabela1[[#This Row],[Status]]="✔️",Tabela1[[#This Row],[Peso]],IF(Tabela1[[#This Row],[Status]]="✔️✔️",Tabela1[[#This Row],[Peso]]/2,0))</f>
        <v>1</v>
      </c>
      <c r="Q97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976" s="33" t="s">
        <v>130</v>
      </c>
      <c r="S976" s="37" t="s">
        <v>128</v>
      </c>
    </row>
    <row r="977" spans="8:19" ht="27.6" x14ac:dyDescent="0.3">
      <c r="H977" s="32" t="s">
        <v>83</v>
      </c>
      <c r="I977" s="33" t="s">
        <v>17</v>
      </c>
      <c r="J977" s="34" t="s">
        <v>18</v>
      </c>
      <c r="K977" s="35" t="s">
        <v>0</v>
      </c>
      <c r="L977" s="33"/>
      <c r="M977" s="33"/>
      <c r="N977" s="36"/>
      <c r="O977" s="33">
        <v>3</v>
      </c>
      <c r="P977" s="33">
        <f>IF(Tabela1[[#This Row],[Status]]="✔️",Tabela1[[#This Row],[Peso]],IF(Tabela1[[#This Row],[Status]]="✔️✔️",Tabela1[[#This Row],[Peso]]/2,0))</f>
        <v>3</v>
      </c>
      <c r="Q97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77" s="33" t="s">
        <v>130</v>
      </c>
      <c r="S977" s="37" t="s">
        <v>128</v>
      </c>
    </row>
    <row r="978" spans="8:19" ht="27.6" x14ac:dyDescent="0.3">
      <c r="H978" s="32" t="s">
        <v>83</v>
      </c>
      <c r="I978" s="33" t="s">
        <v>17</v>
      </c>
      <c r="J978" s="34" t="s">
        <v>19</v>
      </c>
      <c r="K978" s="35" t="s">
        <v>290</v>
      </c>
      <c r="L978" s="33" t="s">
        <v>178</v>
      </c>
      <c r="M978" s="33">
        <v>8775</v>
      </c>
      <c r="N978" s="36"/>
      <c r="O978" s="33">
        <v>3</v>
      </c>
      <c r="P978" s="33">
        <f>IF(Tabela1[[#This Row],[Status]]="✔️",Tabela1[[#This Row],[Peso]],IF(Tabela1[[#This Row],[Status]]="✔️✔️",Tabela1[[#This Row],[Peso]]/2,0))</f>
        <v>0</v>
      </c>
      <c r="Q97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78" s="33" t="s">
        <v>130</v>
      </c>
      <c r="S978" s="37" t="s">
        <v>128</v>
      </c>
    </row>
    <row r="979" spans="8:19" ht="27.6" x14ac:dyDescent="0.3">
      <c r="H979" s="32" t="s">
        <v>83</v>
      </c>
      <c r="I979" s="33" t="s">
        <v>20</v>
      </c>
      <c r="J979" s="34" t="s">
        <v>21</v>
      </c>
      <c r="K979" s="35" t="s">
        <v>0</v>
      </c>
      <c r="L979" s="33"/>
      <c r="M979" s="33"/>
      <c r="N979" s="36"/>
      <c r="O979" s="33">
        <v>3</v>
      </c>
      <c r="P979" s="33">
        <f>IF(Tabela1[[#This Row],[Status]]="✔️",Tabela1[[#This Row],[Peso]],IF(Tabela1[[#This Row],[Status]]="✔️✔️",Tabela1[[#This Row],[Peso]]/2,0))</f>
        <v>3</v>
      </c>
      <c r="Q97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79" s="33" t="s">
        <v>130</v>
      </c>
      <c r="S979" s="37" t="s">
        <v>128</v>
      </c>
    </row>
    <row r="980" spans="8:19" ht="27.6" x14ac:dyDescent="0.3">
      <c r="H980" s="32" t="s">
        <v>83</v>
      </c>
      <c r="I980" s="33" t="s">
        <v>20</v>
      </c>
      <c r="J980" s="34" t="s">
        <v>441</v>
      </c>
      <c r="K980" s="35" t="s">
        <v>290</v>
      </c>
      <c r="L980" s="33" t="s">
        <v>174</v>
      </c>
      <c r="M980" s="33">
        <v>8775</v>
      </c>
      <c r="N980" s="36"/>
      <c r="O980" s="33">
        <v>1</v>
      </c>
      <c r="P980" s="33">
        <f>IF(Tabela1[[#This Row],[Status]]="✔️",Tabela1[[#This Row],[Peso]],IF(Tabela1[[#This Row],[Status]]="✔️✔️",Tabela1[[#This Row],[Peso]]/2,0))</f>
        <v>0</v>
      </c>
      <c r="Q98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980" s="33" t="s">
        <v>130</v>
      </c>
      <c r="S980" s="37" t="s">
        <v>128</v>
      </c>
    </row>
    <row r="981" spans="8:19" ht="27.6" x14ac:dyDescent="0.3">
      <c r="H981" s="32" t="s">
        <v>83</v>
      </c>
      <c r="I981" s="33" t="s">
        <v>25</v>
      </c>
      <c r="J981" s="34" t="s">
        <v>28</v>
      </c>
      <c r="K981" s="35" t="s">
        <v>290</v>
      </c>
      <c r="L981" s="33" t="s">
        <v>179</v>
      </c>
      <c r="M981" s="33">
        <v>9884</v>
      </c>
      <c r="N981" s="36"/>
      <c r="O981" s="33">
        <v>3</v>
      </c>
      <c r="P981" s="33">
        <f>IF(Tabela1[[#This Row],[Status]]="✔️",Tabela1[[#This Row],[Peso]],IF(Tabela1[[#This Row],[Status]]="✔️✔️",Tabela1[[#This Row],[Peso]]/2,0))</f>
        <v>0</v>
      </c>
      <c r="Q98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81" s="33" t="s">
        <v>130</v>
      </c>
      <c r="S981" s="37" t="s">
        <v>128</v>
      </c>
    </row>
    <row r="982" spans="8:19" ht="27.6" x14ac:dyDescent="0.3">
      <c r="H982" s="32" t="s">
        <v>83</v>
      </c>
      <c r="I982" s="33" t="s">
        <v>25</v>
      </c>
      <c r="J982" s="34" t="s">
        <v>29</v>
      </c>
      <c r="K982" s="35" t="s">
        <v>0</v>
      </c>
      <c r="L982" s="33"/>
      <c r="M982" s="33"/>
      <c r="N982" s="36"/>
      <c r="O982" s="33">
        <v>3</v>
      </c>
      <c r="P982" s="33">
        <f>IF(Tabela1[[#This Row],[Status]]="✔️",Tabela1[[#This Row],[Peso]],IF(Tabela1[[#This Row],[Status]]="✔️✔️",Tabela1[[#This Row],[Peso]]/2,0))</f>
        <v>3</v>
      </c>
      <c r="Q98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82" s="33" t="s">
        <v>130</v>
      </c>
      <c r="S982" s="37" t="s">
        <v>128</v>
      </c>
    </row>
    <row r="983" spans="8:19" ht="27.6" x14ac:dyDescent="0.3">
      <c r="H983" s="32" t="s">
        <v>83</v>
      </c>
      <c r="I983" s="33" t="s">
        <v>25</v>
      </c>
      <c r="J983" s="34" t="s">
        <v>449</v>
      </c>
      <c r="K983" s="35" t="s">
        <v>0</v>
      </c>
      <c r="L983" s="33"/>
      <c r="M983" s="33"/>
      <c r="N983" s="36"/>
      <c r="O983" s="33">
        <v>3</v>
      </c>
      <c r="P983" s="33">
        <f>IF(Tabela1[[#This Row],[Status]]="✔️",Tabela1[[#This Row],[Peso]],IF(Tabela1[[#This Row],[Status]]="✔️✔️",Tabela1[[#This Row],[Peso]]/2,0))</f>
        <v>3</v>
      </c>
      <c r="Q98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83" s="33" t="s">
        <v>130</v>
      </c>
      <c r="S983" s="37" t="s">
        <v>128</v>
      </c>
    </row>
    <row r="984" spans="8:19" ht="41.4" x14ac:dyDescent="0.3">
      <c r="H984" s="32" t="s">
        <v>83</v>
      </c>
      <c r="I984" s="33" t="s">
        <v>41</v>
      </c>
      <c r="J984" s="34" t="s">
        <v>442</v>
      </c>
      <c r="K984" s="35" t="s">
        <v>291</v>
      </c>
      <c r="L984" s="33" t="s">
        <v>248</v>
      </c>
      <c r="M984" s="33">
        <v>8775</v>
      </c>
      <c r="N984" s="36"/>
      <c r="O984" s="33">
        <v>3</v>
      </c>
      <c r="P984" s="33">
        <f>IF(Tabela1[[#This Row],[Status]]="✔️",Tabela1[[#This Row],[Peso]],IF(Tabela1[[#This Row],[Status]]="✔️✔️",Tabela1[[#This Row],[Peso]]/2,0))</f>
        <v>1.5</v>
      </c>
      <c r="Q984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984" s="33" t="s">
        <v>130</v>
      </c>
      <c r="S984" s="37" t="s">
        <v>128</v>
      </c>
    </row>
    <row r="985" spans="8:19" ht="41.4" x14ac:dyDescent="0.3">
      <c r="H985" s="32" t="s">
        <v>83</v>
      </c>
      <c r="I985" s="33" t="s">
        <v>41</v>
      </c>
      <c r="J985" s="34" t="s">
        <v>443</v>
      </c>
      <c r="K985" s="35" t="s">
        <v>291</v>
      </c>
      <c r="L985" s="33" t="s">
        <v>248</v>
      </c>
      <c r="M985" s="33">
        <v>8775</v>
      </c>
      <c r="N985" s="36"/>
      <c r="O985" s="33">
        <v>2</v>
      </c>
      <c r="P985" s="33">
        <f>IF(Tabela1[[#This Row],[Status]]="✔️",Tabela1[[#This Row],[Peso]],IF(Tabela1[[#This Row],[Status]]="✔️✔️",Tabela1[[#This Row],[Peso]]/2,0))</f>
        <v>1</v>
      </c>
      <c r="Q98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985" s="33" t="s">
        <v>130</v>
      </c>
      <c r="S985" s="37" t="s">
        <v>128</v>
      </c>
    </row>
    <row r="986" spans="8:19" ht="27.6" x14ac:dyDescent="0.3">
      <c r="H986" s="52" t="s">
        <v>83</v>
      </c>
      <c r="I986" s="53" t="s">
        <v>10</v>
      </c>
      <c r="J986" s="34" t="s">
        <v>444</v>
      </c>
      <c r="K986" s="54" t="s">
        <v>290</v>
      </c>
      <c r="L986" s="53" t="s">
        <v>177</v>
      </c>
      <c r="M986" s="53">
        <v>8775</v>
      </c>
      <c r="N986" s="55"/>
      <c r="O986" s="53">
        <v>3</v>
      </c>
      <c r="P986" s="33">
        <f>IF(Tabela1[[#This Row],[Status]]="✔️",Tabela1[[#This Row],[Peso]],IF(Tabela1[[#This Row],[Status]]="✔️✔️",Tabela1[[#This Row],[Peso]]/2,0))</f>
        <v>0</v>
      </c>
      <c r="Q98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86" s="53" t="s">
        <v>130</v>
      </c>
      <c r="S986" s="37" t="s">
        <v>128</v>
      </c>
    </row>
    <row r="987" spans="8:19" ht="41.4" x14ac:dyDescent="0.3">
      <c r="H987" s="32" t="s">
        <v>83</v>
      </c>
      <c r="I987" s="33" t="s">
        <v>30</v>
      </c>
      <c r="J987" s="34" t="s">
        <v>438</v>
      </c>
      <c r="K987" s="35" t="s">
        <v>0</v>
      </c>
      <c r="L987" s="33"/>
      <c r="M987" s="33"/>
      <c r="N987" s="36"/>
      <c r="O987" s="33">
        <v>3</v>
      </c>
      <c r="P987" s="33">
        <f>IF(Tabela1[[#This Row],[Status]]="✔️",Tabela1[[#This Row],[Peso]],IF(Tabela1[[#This Row],[Status]]="✔️✔️",Tabela1[[#This Row],[Peso]]/2,0))</f>
        <v>3</v>
      </c>
      <c r="Q98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87" s="33" t="s">
        <v>187</v>
      </c>
      <c r="S987" s="37" t="s">
        <v>132</v>
      </c>
    </row>
    <row r="988" spans="8:19" ht="41.4" x14ac:dyDescent="0.3">
      <c r="H988" s="32" t="s">
        <v>83</v>
      </c>
      <c r="I988" s="33" t="s">
        <v>10</v>
      </c>
      <c r="J988" s="34" t="s">
        <v>11</v>
      </c>
      <c r="K988" s="35" t="s">
        <v>0</v>
      </c>
      <c r="L988" s="33"/>
      <c r="M988" s="33"/>
      <c r="N988" s="36"/>
      <c r="O988" s="33">
        <v>3</v>
      </c>
      <c r="P988" s="33">
        <f>IF(Tabela1[[#This Row],[Status]]="✔️",Tabela1[[#This Row],[Peso]],IF(Tabela1[[#This Row],[Status]]="✔️✔️",Tabela1[[#This Row],[Peso]]/2,0))</f>
        <v>3</v>
      </c>
      <c r="Q98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88" s="33" t="s">
        <v>187</v>
      </c>
      <c r="S988" s="37" t="s">
        <v>132</v>
      </c>
    </row>
    <row r="989" spans="8:19" ht="41.4" x14ac:dyDescent="0.3">
      <c r="H989" s="32" t="s">
        <v>83</v>
      </c>
      <c r="I989" s="33" t="s">
        <v>10</v>
      </c>
      <c r="J989" s="34" t="s">
        <v>439</v>
      </c>
      <c r="K989" s="35" t="s">
        <v>0</v>
      </c>
      <c r="L989" s="33"/>
      <c r="M989" s="33"/>
      <c r="N989" s="36"/>
      <c r="O989" s="33">
        <v>3</v>
      </c>
      <c r="P989" s="33">
        <f>IF(Tabela1[[#This Row],[Status]]="✔️",Tabela1[[#This Row],[Peso]],IF(Tabela1[[#This Row],[Status]]="✔️✔️",Tabela1[[#This Row],[Peso]]/2,0))</f>
        <v>3</v>
      </c>
      <c r="Q98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89" s="33" t="s">
        <v>187</v>
      </c>
      <c r="S989" s="37" t="s">
        <v>132</v>
      </c>
    </row>
    <row r="990" spans="8:19" ht="41.4" x14ac:dyDescent="0.3">
      <c r="H990" s="32" t="s">
        <v>83</v>
      </c>
      <c r="I990" s="33" t="s">
        <v>10</v>
      </c>
      <c r="J990" s="34" t="s">
        <v>440</v>
      </c>
      <c r="K990" s="35" t="s">
        <v>0</v>
      </c>
      <c r="L990" s="33"/>
      <c r="M990" s="33"/>
      <c r="N990" s="36"/>
      <c r="O990" s="33">
        <v>3</v>
      </c>
      <c r="P990" s="33">
        <f>IF(Tabela1[[#This Row],[Status]]="✔️",Tabela1[[#This Row],[Peso]],IF(Tabela1[[#This Row],[Status]]="✔️✔️",Tabela1[[#This Row],[Peso]]/2,0))</f>
        <v>3</v>
      </c>
      <c r="Q99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90" s="33" t="s">
        <v>187</v>
      </c>
      <c r="S990" s="37" t="s">
        <v>132</v>
      </c>
    </row>
    <row r="991" spans="8:19" ht="41.4" x14ac:dyDescent="0.3">
      <c r="H991" s="32" t="s">
        <v>83</v>
      </c>
      <c r="I991" s="33" t="s">
        <v>12</v>
      </c>
      <c r="J991" s="34" t="s">
        <v>13</v>
      </c>
      <c r="K991" s="35" t="s">
        <v>290</v>
      </c>
      <c r="L991" s="33" t="s">
        <v>209</v>
      </c>
      <c r="M991" s="33">
        <v>5178</v>
      </c>
      <c r="N991" s="36"/>
      <c r="O991" s="33">
        <v>2</v>
      </c>
      <c r="P991" s="33">
        <f>IF(Tabela1[[#This Row],[Status]]="✔️",Tabela1[[#This Row],[Peso]],IF(Tabela1[[#This Row],[Status]]="✔️✔️",Tabela1[[#This Row],[Peso]]/2,0))</f>
        <v>0</v>
      </c>
      <c r="Q99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991" s="33" t="s">
        <v>187</v>
      </c>
      <c r="S991" s="37" t="s">
        <v>132</v>
      </c>
    </row>
    <row r="992" spans="8:19" ht="41.4" x14ac:dyDescent="0.3">
      <c r="H992" s="32" t="s">
        <v>83</v>
      </c>
      <c r="I992" s="33" t="s">
        <v>14</v>
      </c>
      <c r="J992" s="34" t="s">
        <v>15</v>
      </c>
      <c r="K992" s="35" t="s">
        <v>290</v>
      </c>
      <c r="L992" s="33" t="s">
        <v>239</v>
      </c>
      <c r="M992" s="33">
        <v>4225</v>
      </c>
      <c r="N992" s="36"/>
      <c r="O992" s="33">
        <v>3</v>
      </c>
      <c r="P992" s="33">
        <f>IF(Tabela1[[#This Row],[Status]]="✔️",Tabela1[[#This Row],[Peso]],IF(Tabela1[[#This Row],[Status]]="✔️✔️",Tabela1[[#This Row],[Peso]]/2,0))</f>
        <v>0</v>
      </c>
      <c r="Q99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92" s="33" t="s">
        <v>187</v>
      </c>
      <c r="S992" s="37" t="s">
        <v>132</v>
      </c>
    </row>
    <row r="993" spans="8:19" ht="41.4" x14ac:dyDescent="0.3">
      <c r="H993" s="32" t="s">
        <v>83</v>
      </c>
      <c r="I993" s="33" t="s">
        <v>14</v>
      </c>
      <c r="J993" s="34" t="s">
        <v>16</v>
      </c>
      <c r="K993" s="35" t="s">
        <v>0</v>
      </c>
      <c r="L993" s="33"/>
      <c r="M993" s="33"/>
      <c r="N993" s="36"/>
      <c r="O993" s="33">
        <v>1</v>
      </c>
      <c r="P993" s="33">
        <f>IF(Tabela1[[#This Row],[Status]]="✔️",Tabela1[[#This Row],[Peso]],IF(Tabela1[[#This Row],[Status]]="✔️✔️",Tabela1[[#This Row],[Peso]]/2,0))</f>
        <v>1</v>
      </c>
      <c r="Q99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993" s="33" t="s">
        <v>187</v>
      </c>
      <c r="S993" s="37" t="s">
        <v>132</v>
      </c>
    </row>
    <row r="994" spans="8:19" ht="41.4" x14ac:dyDescent="0.3">
      <c r="H994" s="32" t="s">
        <v>83</v>
      </c>
      <c r="I994" s="33" t="s">
        <v>17</v>
      </c>
      <c r="J994" s="34" t="s">
        <v>18</v>
      </c>
      <c r="K994" s="35" t="s">
        <v>0</v>
      </c>
      <c r="L994" s="33"/>
      <c r="M994" s="33"/>
      <c r="N994" s="36"/>
      <c r="O994" s="33">
        <v>3</v>
      </c>
      <c r="P994" s="33">
        <f>IF(Tabela1[[#This Row],[Status]]="✔️",Tabela1[[#This Row],[Peso]],IF(Tabela1[[#This Row],[Status]]="✔️✔️",Tabela1[[#This Row],[Peso]]/2,0))</f>
        <v>3</v>
      </c>
      <c r="Q99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94" s="33" t="s">
        <v>187</v>
      </c>
      <c r="S994" s="37" t="s">
        <v>132</v>
      </c>
    </row>
    <row r="995" spans="8:19" ht="41.4" x14ac:dyDescent="0.3">
      <c r="H995" s="32" t="s">
        <v>83</v>
      </c>
      <c r="I995" s="33" t="s">
        <v>17</v>
      </c>
      <c r="J995" s="34" t="s">
        <v>19</v>
      </c>
      <c r="K995" s="35" t="s">
        <v>0</v>
      </c>
      <c r="L995" s="33"/>
      <c r="M995" s="33"/>
      <c r="N995" s="36"/>
      <c r="O995" s="33">
        <v>1</v>
      </c>
      <c r="P995" s="33">
        <f>IF(Tabela1[[#This Row],[Status]]="✔️",Tabela1[[#This Row],[Peso]],IF(Tabela1[[#This Row],[Status]]="✔️✔️",Tabela1[[#This Row],[Peso]]/2,0))</f>
        <v>1</v>
      </c>
      <c r="Q99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995" s="33" t="s">
        <v>187</v>
      </c>
      <c r="S995" s="37" t="s">
        <v>132</v>
      </c>
    </row>
    <row r="996" spans="8:19" ht="41.4" x14ac:dyDescent="0.3">
      <c r="H996" s="32" t="s">
        <v>83</v>
      </c>
      <c r="I996" s="33" t="s">
        <v>20</v>
      </c>
      <c r="J996" s="34" t="s">
        <v>21</v>
      </c>
      <c r="K996" s="35" t="s">
        <v>290</v>
      </c>
      <c r="L996" s="33" t="s">
        <v>240</v>
      </c>
      <c r="M996" s="33">
        <v>9552</v>
      </c>
      <c r="N996" s="36"/>
      <c r="O996" s="33">
        <v>3</v>
      </c>
      <c r="P996" s="33">
        <f>IF(Tabela1[[#This Row],[Status]]="✔️",Tabela1[[#This Row],[Peso]],IF(Tabela1[[#This Row],[Status]]="✔️✔️",Tabela1[[#This Row],[Peso]]/2,0))</f>
        <v>0</v>
      </c>
      <c r="Q99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96" s="33" t="s">
        <v>187</v>
      </c>
      <c r="S996" s="37" t="s">
        <v>132</v>
      </c>
    </row>
    <row r="997" spans="8:19" ht="41.4" x14ac:dyDescent="0.3">
      <c r="H997" s="32" t="s">
        <v>83</v>
      </c>
      <c r="I997" s="33" t="s">
        <v>20</v>
      </c>
      <c r="J997" s="34" t="s">
        <v>441</v>
      </c>
      <c r="K997" s="35" t="s">
        <v>290</v>
      </c>
      <c r="L997" s="33" t="s">
        <v>241</v>
      </c>
      <c r="M997" s="33">
        <v>9524</v>
      </c>
      <c r="N997" s="36"/>
      <c r="O997" s="33">
        <v>1</v>
      </c>
      <c r="P997" s="33">
        <f>IF(Tabela1[[#This Row],[Status]]="✔️",Tabela1[[#This Row],[Peso]],IF(Tabela1[[#This Row],[Status]]="✔️✔️",Tabela1[[#This Row],[Peso]]/2,0))</f>
        <v>0</v>
      </c>
      <c r="Q99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997" s="33" t="s">
        <v>187</v>
      </c>
      <c r="S997" s="37" t="s">
        <v>132</v>
      </c>
    </row>
    <row r="998" spans="8:19" ht="41.4" x14ac:dyDescent="0.3">
      <c r="H998" s="32" t="s">
        <v>83</v>
      </c>
      <c r="I998" s="33" t="s">
        <v>25</v>
      </c>
      <c r="J998" s="34" t="s">
        <v>28</v>
      </c>
      <c r="K998" s="35" t="s">
        <v>290</v>
      </c>
      <c r="L998" s="33" t="s">
        <v>242</v>
      </c>
      <c r="M998" s="33">
        <v>3445</v>
      </c>
      <c r="N998" s="36"/>
      <c r="O998" s="33">
        <v>3</v>
      </c>
      <c r="P998" s="33">
        <f>IF(Tabela1[[#This Row],[Status]]="✔️",Tabela1[[#This Row],[Peso]],IF(Tabela1[[#This Row],[Status]]="✔️✔️",Tabela1[[#This Row],[Peso]]/2,0))</f>
        <v>0</v>
      </c>
      <c r="Q99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98" s="33" t="s">
        <v>187</v>
      </c>
      <c r="S998" s="37" t="s">
        <v>132</v>
      </c>
    </row>
    <row r="999" spans="8:19" ht="41.4" x14ac:dyDescent="0.3">
      <c r="H999" s="32" t="s">
        <v>83</v>
      </c>
      <c r="I999" s="33" t="s">
        <v>25</v>
      </c>
      <c r="J999" s="34" t="s">
        <v>29</v>
      </c>
      <c r="K999" s="35" t="s">
        <v>0</v>
      </c>
      <c r="L999" s="33"/>
      <c r="M999" s="33"/>
      <c r="N999" s="36"/>
      <c r="O999" s="33">
        <v>3</v>
      </c>
      <c r="P999" s="33">
        <f>IF(Tabela1[[#This Row],[Status]]="✔️",Tabela1[[#This Row],[Peso]],IF(Tabela1[[#This Row],[Status]]="✔️✔️",Tabela1[[#This Row],[Peso]]/2,0))</f>
        <v>3</v>
      </c>
      <c r="Q99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99" s="33" t="s">
        <v>187</v>
      </c>
      <c r="S999" s="37" t="s">
        <v>132</v>
      </c>
    </row>
    <row r="1000" spans="8:19" ht="41.4" x14ac:dyDescent="0.3">
      <c r="H1000" s="32" t="s">
        <v>83</v>
      </c>
      <c r="I1000" s="33" t="s">
        <v>25</v>
      </c>
      <c r="J1000" s="34" t="s">
        <v>449</v>
      </c>
      <c r="K1000" s="35" t="s">
        <v>0</v>
      </c>
      <c r="L1000" s="33"/>
      <c r="M1000" s="33"/>
      <c r="N1000" s="36"/>
      <c r="O1000" s="33">
        <v>3</v>
      </c>
      <c r="P1000" s="33">
        <f>IF(Tabela1[[#This Row],[Status]]="✔️",Tabela1[[#This Row],[Peso]],IF(Tabela1[[#This Row],[Status]]="✔️✔️",Tabela1[[#This Row],[Peso]]/2,0))</f>
        <v>3</v>
      </c>
      <c r="Q100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00" s="33" t="s">
        <v>187</v>
      </c>
      <c r="S1000" s="37" t="s">
        <v>132</v>
      </c>
    </row>
    <row r="1001" spans="8:19" ht="41.4" x14ac:dyDescent="0.3">
      <c r="H1001" s="32" t="s">
        <v>83</v>
      </c>
      <c r="I1001" s="33" t="s">
        <v>41</v>
      </c>
      <c r="J1001" s="34" t="s">
        <v>442</v>
      </c>
      <c r="K1001" s="35" t="s">
        <v>290</v>
      </c>
      <c r="L1001" s="33" t="s">
        <v>236</v>
      </c>
      <c r="M1001" s="33">
        <v>9106</v>
      </c>
      <c r="N1001" s="36"/>
      <c r="O1001" s="33">
        <v>3</v>
      </c>
      <c r="P1001" s="33">
        <f>IF(Tabela1[[#This Row],[Status]]="✔️",Tabela1[[#This Row],[Peso]],IF(Tabela1[[#This Row],[Status]]="✔️✔️",Tabela1[[#This Row],[Peso]]/2,0))</f>
        <v>0</v>
      </c>
      <c r="Q100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01" s="33" t="s">
        <v>187</v>
      </c>
      <c r="S1001" s="37" t="s">
        <v>132</v>
      </c>
    </row>
    <row r="1002" spans="8:19" ht="41.4" x14ac:dyDescent="0.3">
      <c r="H1002" s="32" t="s">
        <v>83</v>
      </c>
      <c r="I1002" s="33" t="s">
        <v>41</v>
      </c>
      <c r="J1002" s="34" t="s">
        <v>443</v>
      </c>
      <c r="K1002" s="35" t="s">
        <v>290</v>
      </c>
      <c r="L1002" s="33" t="s">
        <v>236</v>
      </c>
      <c r="M1002" s="33">
        <v>9106</v>
      </c>
      <c r="N1002" s="36"/>
      <c r="O1002" s="33">
        <v>2</v>
      </c>
      <c r="P1002" s="33">
        <f>IF(Tabela1[[#This Row],[Status]]="✔️",Tabela1[[#This Row],[Peso]],IF(Tabela1[[#This Row],[Status]]="✔️✔️",Tabela1[[#This Row],[Peso]]/2,0))</f>
        <v>0</v>
      </c>
      <c r="Q1002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002" s="33" t="s">
        <v>187</v>
      </c>
      <c r="S1002" s="37" t="s">
        <v>132</v>
      </c>
    </row>
    <row r="1003" spans="8:19" ht="41.4" x14ac:dyDescent="0.3">
      <c r="H1003" s="52" t="s">
        <v>83</v>
      </c>
      <c r="I1003" s="53" t="s">
        <v>10</v>
      </c>
      <c r="J1003" s="34" t="s">
        <v>444</v>
      </c>
      <c r="K1003" s="54" t="s">
        <v>290</v>
      </c>
      <c r="L1003" s="53" t="s">
        <v>238</v>
      </c>
      <c r="M1003" s="53">
        <v>8967</v>
      </c>
      <c r="N1003" s="55"/>
      <c r="O1003" s="53">
        <v>3</v>
      </c>
      <c r="P1003" s="33">
        <f>IF(Tabela1[[#This Row],[Status]]="✔️",Tabela1[[#This Row],[Peso]],IF(Tabela1[[#This Row],[Status]]="✔️✔️",Tabela1[[#This Row],[Peso]]/2,0))</f>
        <v>0</v>
      </c>
      <c r="Q100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03" s="53" t="s">
        <v>187</v>
      </c>
      <c r="S1003" s="37" t="s">
        <v>132</v>
      </c>
    </row>
    <row r="1004" spans="8:19" ht="27.6" x14ac:dyDescent="0.3">
      <c r="H1004" s="32" t="s">
        <v>83</v>
      </c>
      <c r="I1004" s="33" t="s">
        <v>14</v>
      </c>
      <c r="J1004" s="34" t="s">
        <v>15</v>
      </c>
      <c r="K1004" s="35" t="s">
        <v>1</v>
      </c>
      <c r="L1004" s="33"/>
      <c r="M1004" s="33"/>
      <c r="N1004" s="36"/>
      <c r="O1004" s="33">
        <v>3</v>
      </c>
      <c r="P1004" s="33">
        <f>IF(Tabela1[[#This Row],[Status]]="✔️",Tabela1[[#This Row],[Peso]],IF(Tabela1[[#This Row],[Status]]="✔️✔️",Tabela1[[#This Row],[Peso]]/2,0))</f>
        <v>0</v>
      </c>
      <c r="Q100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004" s="33" t="s">
        <v>264</v>
      </c>
      <c r="S1004" s="37" t="s">
        <v>263</v>
      </c>
    </row>
    <row r="1005" spans="8:19" ht="27.6" x14ac:dyDescent="0.3">
      <c r="H1005" s="32" t="s">
        <v>83</v>
      </c>
      <c r="I1005" s="33" t="s">
        <v>14</v>
      </c>
      <c r="J1005" s="34" t="s">
        <v>16</v>
      </c>
      <c r="K1005" s="35" t="s">
        <v>0</v>
      </c>
      <c r="L1005" s="33"/>
      <c r="M1005" s="33"/>
      <c r="N1005" s="36"/>
      <c r="O1005" s="33">
        <v>1</v>
      </c>
      <c r="P1005" s="33">
        <f>IF(Tabela1[[#This Row],[Status]]="✔️",Tabela1[[#This Row],[Peso]],IF(Tabela1[[#This Row],[Status]]="✔️✔️",Tabela1[[#This Row],[Peso]]/2,0))</f>
        <v>1</v>
      </c>
      <c r="Q100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005" s="33" t="s">
        <v>264</v>
      </c>
      <c r="S1005" s="37" t="s">
        <v>263</v>
      </c>
    </row>
    <row r="1006" spans="8:19" ht="27.6" x14ac:dyDescent="0.3">
      <c r="H1006" s="52" t="s">
        <v>83</v>
      </c>
      <c r="I1006" s="53" t="s">
        <v>10</v>
      </c>
      <c r="J1006" s="34" t="s">
        <v>11</v>
      </c>
      <c r="K1006" s="35" t="s">
        <v>290</v>
      </c>
      <c r="L1006" s="53" t="s">
        <v>341</v>
      </c>
      <c r="M1006" s="53"/>
      <c r="N1006" s="55"/>
      <c r="O1006" s="53">
        <v>3</v>
      </c>
      <c r="P1006" s="33">
        <f>IF(Tabela1[[#This Row],[Status]]="✔️",Tabela1[[#This Row],[Peso]],IF(Tabela1[[#This Row],[Status]]="✔️✔️",Tabela1[[#This Row],[Peso]]/2,0))</f>
        <v>0</v>
      </c>
      <c r="Q100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06" s="53" t="s">
        <v>264</v>
      </c>
      <c r="S1006" s="56" t="s">
        <v>263</v>
      </c>
    </row>
    <row r="1007" spans="8:19" ht="27.6" x14ac:dyDescent="0.3">
      <c r="H1007" s="32" t="s">
        <v>83</v>
      </c>
      <c r="I1007" s="33" t="s">
        <v>10</v>
      </c>
      <c r="J1007" s="34" t="s">
        <v>316</v>
      </c>
      <c r="K1007" s="35" t="s">
        <v>0</v>
      </c>
      <c r="L1007" s="33"/>
      <c r="M1007" s="33"/>
      <c r="N1007" s="36"/>
      <c r="O1007" s="33">
        <v>3</v>
      </c>
      <c r="P1007" s="33">
        <f>IF(Tabela1[[#This Row],[Status]]="✔️",Tabela1[[#This Row],[Peso]],IF(Tabela1[[#This Row],[Status]]="✔️✔️",Tabela1[[#This Row],[Peso]]/2,0))</f>
        <v>3</v>
      </c>
      <c r="Q100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07" s="33" t="s">
        <v>264</v>
      </c>
      <c r="S1007" s="37" t="s">
        <v>263</v>
      </c>
    </row>
    <row r="1008" spans="8:19" ht="27.6" x14ac:dyDescent="0.3">
      <c r="H1008" s="32" t="s">
        <v>83</v>
      </c>
      <c r="I1008" s="33" t="s">
        <v>10</v>
      </c>
      <c r="J1008" s="34" t="s">
        <v>450</v>
      </c>
      <c r="K1008" s="35" t="s">
        <v>290</v>
      </c>
      <c r="L1008" s="33"/>
      <c r="M1008" s="33"/>
      <c r="N1008" s="36"/>
      <c r="O1008" s="33">
        <v>3</v>
      </c>
      <c r="P1008" s="33">
        <f>IF(Tabela1[[#This Row],[Status]]="✔️",Tabela1[[#This Row],[Peso]],IF(Tabela1[[#This Row],[Status]]="✔️✔️",Tabela1[[#This Row],[Peso]]/2,0))</f>
        <v>0</v>
      </c>
      <c r="Q100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08" s="33" t="s">
        <v>264</v>
      </c>
      <c r="S1008" s="37" t="s">
        <v>263</v>
      </c>
    </row>
    <row r="1009" spans="8:19" ht="27.6" x14ac:dyDescent="0.3">
      <c r="H1009" s="32" t="s">
        <v>83</v>
      </c>
      <c r="I1009" s="33" t="s">
        <v>10</v>
      </c>
      <c r="J1009" s="34" t="s">
        <v>451</v>
      </c>
      <c r="K1009" s="35" t="s">
        <v>1</v>
      </c>
      <c r="L1009" s="33"/>
      <c r="M1009" s="33"/>
      <c r="N1009" s="36"/>
      <c r="O1009" s="33">
        <v>3</v>
      </c>
      <c r="P1009" s="33">
        <f>IF(Tabela1[[#This Row],[Status]]="✔️",Tabela1[[#This Row],[Peso]],IF(Tabela1[[#This Row],[Status]]="✔️✔️",Tabela1[[#This Row],[Peso]]/2,0))</f>
        <v>0</v>
      </c>
      <c r="Q100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009" s="33" t="s">
        <v>264</v>
      </c>
      <c r="S1009" s="37" t="s">
        <v>263</v>
      </c>
    </row>
    <row r="1010" spans="8:19" ht="27.6" x14ac:dyDescent="0.3">
      <c r="H1010" s="32" t="s">
        <v>83</v>
      </c>
      <c r="I1010" s="33" t="s">
        <v>12</v>
      </c>
      <c r="J1010" s="34" t="s">
        <v>13</v>
      </c>
      <c r="K1010" s="35" t="s">
        <v>290</v>
      </c>
      <c r="L1010" s="33"/>
      <c r="M1010" s="33"/>
      <c r="N1010" s="36"/>
      <c r="O1010" s="33">
        <v>2</v>
      </c>
      <c r="P1010" s="33">
        <f>IF(Tabela1[[#This Row],[Status]]="✔️",Tabela1[[#This Row],[Peso]],IF(Tabela1[[#This Row],[Status]]="✔️✔️",Tabela1[[#This Row],[Peso]]/2,0))</f>
        <v>0</v>
      </c>
      <c r="Q1010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010" s="33" t="s">
        <v>264</v>
      </c>
      <c r="S1010" s="37" t="s">
        <v>263</v>
      </c>
    </row>
    <row r="1011" spans="8:19" ht="27.6" x14ac:dyDescent="0.3">
      <c r="H1011" s="32" t="s">
        <v>83</v>
      </c>
      <c r="I1011" s="33" t="s">
        <v>17</v>
      </c>
      <c r="J1011" s="34" t="s">
        <v>18</v>
      </c>
      <c r="K1011" s="35" t="s">
        <v>0</v>
      </c>
      <c r="L1011" s="33"/>
      <c r="M1011" s="33"/>
      <c r="N1011" s="36"/>
      <c r="O1011" s="33">
        <v>3</v>
      </c>
      <c r="P1011" s="33">
        <f>IF(Tabela1[[#This Row],[Status]]="✔️",Tabela1[[#This Row],[Peso]],IF(Tabela1[[#This Row],[Status]]="✔️✔️",Tabela1[[#This Row],[Peso]]/2,0))</f>
        <v>3</v>
      </c>
      <c r="Q101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11" s="33" t="s">
        <v>264</v>
      </c>
      <c r="S1011" s="37" t="s">
        <v>263</v>
      </c>
    </row>
    <row r="1012" spans="8:19" ht="27.6" x14ac:dyDescent="0.3">
      <c r="H1012" s="32" t="s">
        <v>83</v>
      </c>
      <c r="I1012" s="33" t="s">
        <v>17</v>
      </c>
      <c r="J1012" s="34" t="s">
        <v>19</v>
      </c>
      <c r="K1012" s="35" t="s">
        <v>0</v>
      </c>
      <c r="L1012" s="33"/>
      <c r="M1012" s="33"/>
      <c r="N1012" s="36"/>
      <c r="O1012" s="33">
        <v>1</v>
      </c>
      <c r="P1012" s="33">
        <f>IF(Tabela1[[#This Row],[Status]]="✔️",Tabela1[[#This Row],[Peso]],IF(Tabela1[[#This Row],[Status]]="✔️✔️",Tabela1[[#This Row],[Peso]]/2,0))</f>
        <v>1</v>
      </c>
      <c r="Q101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012" s="33" t="s">
        <v>264</v>
      </c>
      <c r="S1012" s="37" t="s">
        <v>263</v>
      </c>
    </row>
    <row r="1013" spans="8:19" ht="27.6" x14ac:dyDescent="0.3">
      <c r="H1013" s="32" t="s">
        <v>83</v>
      </c>
      <c r="I1013" s="33" t="s">
        <v>20</v>
      </c>
      <c r="J1013" s="34" t="s">
        <v>21</v>
      </c>
      <c r="K1013" s="35" t="s">
        <v>1</v>
      </c>
      <c r="L1013" s="33"/>
      <c r="M1013" s="33"/>
      <c r="N1013" s="36"/>
      <c r="O1013" s="33">
        <v>3</v>
      </c>
      <c r="P1013" s="33">
        <f>IF(Tabela1[[#This Row],[Status]]="✔️",Tabela1[[#This Row],[Peso]],IF(Tabela1[[#This Row],[Status]]="✔️✔️",Tabela1[[#This Row],[Peso]]/2,0))</f>
        <v>0</v>
      </c>
      <c r="Q101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013" s="33" t="s">
        <v>264</v>
      </c>
      <c r="S1013" s="37" t="s">
        <v>263</v>
      </c>
    </row>
    <row r="1014" spans="8:19" ht="27.6" x14ac:dyDescent="0.3">
      <c r="H1014" s="32" t="s">
        <v>83</v>
      </c>
      <c r="I1014" s="33" t="s">
        <v>20</v>
      </c>
      <c r="J1014" s="34" t="s">
        <v>452</v>
      </c>
      <c r="K1014" s="35" t="s">
        <v>290</v>
      </c>
      <c r="L1014" s="33"/>
      <c r="M1014" s="33"/>
      <c r="N1014" s="36"/>
      <c r="O1014" s="33">
        <v>1</v>
      </c>
      <c r="P1014" s="33">
        <f>IF(Tabela1[[#This Row],[Status]]="✔️",Tabela1[[#This Row],[Peso]],IF(Tabela1[[#This Row],[Status]]="✔️✔️",Tabela1[[#This Row],[Peso]]/2,0))</f>
        <v>0</v>
      </c>
      <c r="Q101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014" s="33" t="s">
        <v>264</v>
      </c>
      <c r="S1014" s="37" t="s">
        <v>263</v>
      </c>
    </row>
    <row r="1015" spans="8:19" ht="27.6" x14ac:dyDescent="0.3">
      <c r="H1015" s="32" t="s">
        <v>83</v>
      </c>
      <c r="I1015" s="33" t="s">
        <v>22</v>
      </c>
      <c r="J1015" s="34" t="s">
        <v>23</v>
      </c>
      <c r="K1015" s="35" t="s">
        <v>0</v>
      </c>
      <c r="L1015" s="33"/>
      <c r="M1015" s="33"/>
      <c r="N1015" s="36"/>
      <c r="O1015" s="33">
        <v>1</v>
      </c>
      <c r="P1015" s="33">
        <f>IF(Tabela1[[#This Row],[Status]]="✔️",Tabela1[[#This Row],[Peso]],IF(Tabela1[[#This Row],[Status]]="✔️✔️",Tabela1[[#This Row],[Peso]]/2,0))</f>
        <v>1</v>
      </c>
      <c r="Q101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015" s="33" t="s">
        <v>264</v>
      </c>
      <c r="S1015" s="37" t="s">
        <v>263</v>
      </c>
    </row>
    <row r="1016" spans="8:19" ht="27.6" x14ac:dyDescent="0.3">
      <c r="H1016" s="32" t="s">
        <v>83</v>
      </c>
      <c r="I1016" s="33" t="s">
        <v>22</v>
      </c>
      <c r="J1016" s="34" t="s">
        <v>453</v>
      </c>
      <c r="K1016" s="35" t="s">
        <v>1</v>
      </c>
      <c r="L1016" s="33"/>
      <c r="M1016" s="33"/>
      <c r="N1016" s="36"/>
      <c r="O1016" s="33">
        <v>1</v>
      </c>
      <c r="P1016" s="33">
        <f>IF(Tabela1[[#This Row],[Status]]="✔️",Tabela1[[#This Row],[Peso]],IF(Tabela1[[#This Row],[Status]]="✔️✔️",Tabela1[[#This Row],[Peso]]/2,0))</f>
        <v>0</v>
      </c>
      <c r="Q101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016" s="33" t="s">
        <v>264</v>
      </c>
      <c r="S1016" s="37" t="s">
        <v>263</v>
      </c>
    </row>
    <row r="1017" spans="8:19" ht="27.6" x14ac:dyDescent="0.3">
      <c r="H1017" s="32" t="s">
        <v>83</v>
      </c>
      <c r="I1017" s="33" t="s">
        <v>25</v>
      </c>
      <c r="J1017" s="34" t="s">
        <v>454</v>
      </c>
      <c r="K1017" s="35" t="s">
        <v>290</v>
      </c>
      <c r="L1017" s="33"/>
      <c r="M1017" s="33"/>
      <c r="N1017" s="36"/>
      <c r="O1017" s="33">
        <v>3</v>
      </c>
      <c r="P1017" s="33">
        <f>IF(Tabela1[[#This Row],[Status]]="✔️",Tabela1[[#This Row],[Peso]],IF(Tabela1[[#This Row],[Status]]="✔️✔️",Tabela1[[#This Row],[Peso]]/2,0))</f>
        <v>0</v>
      </c>
      <c r="Q101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17" s="33" t="s">
        <v>264</v>
      </c>
      <c r="S1017" s="37" t="s">
        <v>263</v>
      </c>
    </row>
    <row r="1018" spans="8:19" ht="27.6" x14ac:dyDescent="0.3">
      <c r="H1018" s="32" t="s">
        <v>83</v>
      </c>
      <c r="I1018" s="33" t="s">
        <v>25</v>
      </c>
      <c r="J1018" s="34" t="s">
        <v>340</v>
      </c>
      <c r="K1018" s="35" t="s">
        <v>0</v>
      </c>
      <c r="L1018" s="33"/>
      <c r="M1018" s="33"/>
      <c r="N1018" s="36"/>
      <c r="O1018" s="33">
        <v>3</v>
      </c>
      <c r="P1018" s="33">
        <f>IF(Tabela1[[#This Row],[Status]]="✔️",Tabela1[[#This Row],[Peso]],IF(Tabela1[[#This Row],[Status]]="✔️✔️",Tabela1[[#This Row],[Peso]]/2,0))</f>
        <v>3</v>
      </c>
      <c r="Q101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18" s="33" t="s">
        <v>264</v>
      </c>
      <c r="S1018" s="37" t="s">
        <v>263</v>
      </c>
    </row>
    <row r="1019" spans="8:19" ht="27.6" x14ac:dyDescent="0.3">
      <c r="H1019" s="32" t="s">
        <v>83</v>
      </c>
      <c r="I1019" s="33" t="s">
        <v>30</v>
      </c>
      <c r="J1019" s="34" t="s">
        <v>455</v>
      </c>
      <c r="K1019" s="35" t="s">
        <v>290</v>
      </c>
      <c r="L1019" s="33"/>
      <c r="M1019" s="33"/>
      <c r="N1019" s="36"/>
      <c r="O1019" s="33">
        <v>3</v>
      </c>
      <c r="P1019" s="33">
        <f>IF(Tabela1[[#This Row],[Status]]="✔️",Tabela1[[#This Row],[Peso]],IF(Tabela1[[#This Row],[Status]]="✔️✔️",Tabela1[[#This Row],[Peso]]/2,0))</f>
        <v>0</v>
      </c>
      <c r="Q101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19" s="33" t="s">
        <v>264</v>
      </c>
      <c r="S1019" s="37" t="s">
        <v>263</v>
      </c>
    </row>
    <row r="1020" spans="8:19" ht="27.6" x14ac:dyDescent="0.3">
      <c r="H1020" s="32" t="s">
        <v>83</v>
      </c>
      <c r="I1020" s="33" t="s">
        <v>25</v>
      </c>
      <c r="J1020" s="34" t="s">
        <v>456</v>
      </c>
      <c r="K1020" s="35" t="s">
        <v>290</v>
      </c>
      <c r="L1020" s="33" t="s">
        <v>342</v>
      </c>
      <c r="M1020" s="33"/>
      <c r="N1020" s="36"/>
      <c r="O1020" s="33">
        <v>3</v>
      </c>
      <c r="P1020" s="33">
        <f>IF(Tabela1[[#This Row],[Status]]="✔️",Tabela1[[#This Row],[Peso]],IF(Tabela1[[#This Row],[Status]]="✔️✔️",Tabela1[[#This Row],[Peso]]/2,0))</f>
        <v>0</v>
      </c>
      <c r="Q102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20" s="33" t="s">
        <v>264</v>
      </c>
      <c r="S1020" s="37" t="s">
        <v>263</v>
      </c>
    </row>
    <row r="1021" spans="8:19" ht="41.4" x14ac:dyDescent="0.3">
      <c r="H1021" s="32" t="s">
        <v>83</v>
      </c>
      <c r="I1021" s="33" t="s">
        <v>41</v>
      </c>
      <c r="J1021" s="34" t="s">
        <v>457</v>
      </c>
      <c r="K1021" s="35" t="s">
        <v>1</v>
      </c>
      <c r="L1021" s="33"/>
      <c r="M1021" s="33"/>
      <c r="N1021" s="36"/>
      <c r="O1021" s="33">
        <v>3</v>
      </c>
      <c r="P1021" s="33">
        <f>IF(Tabela1[[#This Row],[Status]]="✔️",Tabela1[[#This Row],[Peso]],IF(Tabela1[[#This Row],[Status]]="✔️✔️",Tabela1[[#This Row],[Peso]]/2,0))</f>
        <v>0</v>
      </c>
      <c r="Q102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021" s="33" t="s">
        <v>264</v>
      </c>
      <c r="S1021" s="37" t="s">
        <v>263</v>
      </c>
    </row>
    <row r="1022" spans="8:19" ht="41.4" x14ac:dyDescent="0.3">
      <c r="H1022" s="32" t="s">
        <v>83</v>
      </c>
      <c r="I1022" s="33" t="s">
        <v>41</v>
      </c>
      <c r="J1022" s="34" t="s">
        <v>458</v>
      </c>
      <c r="K1022" s="35" t="s">
        <v>1</v>
      </c>
      <c r="L1022" s="33"/>
      <c r="M1022" s="33"/>
      <c r="N1022" s="36"/>
      <c r="O1022" s="33">
        <v>2</v>
      </c>
      <c r="P1022" s="33">
        <f>IF(Tabela1[[#This Row],[Status]]="✔️",Tabela1[[#This Row],[Peso]],IF(Tabela1[[#This Row],[Status]]="✔️✔️",Tabela1[[#This Row],[Peso]]/2,0))</f>
        <v>0</v>
      </c>
      <c r="Q102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022" s="33" t="s">
        <v>264</v>
      </c>
      <c r="S1022" s="37" t="s">
        <v>263</v>
      </c>
    </row>
    <row r="1023" spans="8:19" ht="27.6" x14ac:dyDescent="0.3">
      <c r="H1023" s="52" t="s">
        <v>50</v>
      </c>
      <c r="I1023" s="53" t="s">
        <v>30</v>
      </c>
      <c r="J1023" s="34" t="s">
        <v>438</v>
      </c>
      <c r="K1023" s="54" t="s">
        <v>0</v>
      </c>
      <c r="L1023" s="53"/>
      <c r="M1023" s="53"/>
      <c r="N1023" s="55"/>
      <c r="O1023" s="53">
        <v>3</v>
      </c>
      <c r="P1023" s="33">
        <f>IF(Tabela1[[#This Row],[Status]]="✔️",Tabela1[[#This Row],[Peso]],IF(Tabela1[[#This Row],[Status]]="✔️✔️",Tabela1[[#This Row],[Peso]]/2,0))</f>
        <v>3</v>
      </c>
      <c r="Q102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23" s="53" t="s">
        <v>127</v>
      </c>
      <c r="S1023" s="56" t="s">
        <v>128</v>
      </c>
    </row>
    <row r="1024" spans="8:19" ht="27.6" x14ac:dyDescent="0.3">
      <c r="H1024" s="32" t="s">
        <v>50</v>
      </c>
      <c r="I1024" s="33" t="s">
        <v>10</v>
      </c>
      <c r="J1024" s="34" t="s">
        <v>11</v>
      </c>
      <c r="K1024" s="35" t="s">
        <v>0</v>
      </c>
      <c r="L1024" s="33"/>
      <c r="M1024" s="33"/>
      <c r="N1024" s="36"/>
      <c r="O1024" s="33">
        <v>3</v>
      </c>
      <c r="P1024" s="33">
        <f>IF(Tabela1[[#This Row],[Status]]="✔️",Tabela1[[#This Row],[Peso]],IF(Tabela1[[#This Row],[Status]]="✔️✔️",Tabela1[[#This Row],[Peso]]/2,0))</f>
        <v>3</v>
      </c>
      <c r="Q102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24" s="33" t="s">
        <v>127</v>
      </c>
      <c r="S1024" s="37" t="s">
        <v>128</v>
      </c>
    </row>
    <row r="1025" spans="8:19" ht="27.6" x14ac:dyDescent="0.3">
      <c r="H1025" s="32" t="s">
        <v>50</v>
      </c>
      <c r="I1025" s="33" t="s">
        <v>10</v>
      </c>
      <c r="J1025" s="34" t="s">
        <v>439</v>
      </c>
      <c r="K1025" s="35" t="s">
        <v>0</v>
      </c>
      <c r="L1025" s="33"/>
      <c r="M1025" s="33"/>
      <c r="N1025" s="36"/>
      <c r="O1025" s="33">
        <v>3</v>
      </c>
      <c r="P1025" s="33">
        <f>IF(Tabela1[[#This Row],[Status]]="✔️",Tabela1[[#This Row],[Peso]],IF(Tabela1[[#This Row],[Status]]="✔️✔️",Tabela1[[#This Row],[Peso]]/2,0))</f>
        <v>3</v>
      </c>
      <c r="Q102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25" s="33" t="s">
        <v>127</v>
      </c>
      <c r="S1025" s="37" t="s">
        <v>128</v>
      </c>
    </row>
    <row r="1026" spans="8:19" ht="27.6" x14ac:dyDescent="0.3">
      <c r="H1026" s="32" t="s">
        <v>50</v>
      </c>
      <c r="I1026" s="33" t="s">
        <v>10</v>
      </c>
      <c r="J1026" s="34" t="s">
        <v>440</v>
      </c>
      <c r="K1026" s="35" t="s">
        <v>0</v>
      </c>
      <c r="L1026" s="33"/>
      <c r="M1026" s="33"/>
      <c r="N1026" s="36"/>
      <c r="O1026" s="33">
        <v>3</v>
      </c>
      <c r="P1026" s="33">
        <f>IF(Tabela1[[#This Row],[Status]]="✔️",Tabela1[[#This Row],[Peso]],IF(Tabela1[[#This Row],[Status]]="✔️✔️",Tabela1[[#This Row],[Peso]]/2,0))</f>
        <v>3</v>
      </c>
      <c r="Q102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26" s="33" t="s">
        <v>127</v>
      </c>
      <c r="S1026" s="37" t="s">
        <v>128</v>
      </c>
    </row>
    <row r="1027" spans="8:19" ht="27.6" x14ac:dyDescent="0.3">
      <c r="H1027" s="32" t="s">
        <v>50</v>
      </c>
      <c r="I1027" s="33" t="s">
        <v>12</v>
      </c>
      <c r="J1027" s="34" t="s">
        <v>13</v>
      </c>
      <c r="K1027" s="35" t="s">
        <v>290</v>
      </c>
      <c r="L1027" s="33" t="s">
        <v>106</v>
      </c>
      <c r="M1027" s="33">
        <v>2955</v>
      </c>
      <c r="N1027" s="36"/>
      <c r="O1027" s="33">
        <v>2</v>
      </c>
      <c r="P1027" s="33">
        <f>IF(Tabela1[[#This Row],[Status]]="✔️",Tabela1[[#This Row],[Peso]],IF(Tabela1[[#This Row],[Status]]="✔️✔️",Tabela1[[#This Row],[Peso]]/2,0))</f>
        <v>0</v>
      </c>
      <c r="Q102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027" s="33" t="s">
        <v>127</v>
      </c>
      <c r="S1027" s="37" t="s">
        <v>128</v>
      </c>
    </row>
    <row r="1028" spans="8:19" ht="27.6" x14ac:dyDescent="0.3">
      <c r="H1028" s="32" t="s">
        <v>50</v>
      </c>
      <c r="I1028" s="33" t="s">
        <v>14</v>
      </c>
      <c r="J1028" s="34" t="s">
        <v>15</v>
      </c>
      <c r="K1028" s="35" t="s">
        <v>290</v>
      </c>
      <c r="L1028" s="33" t="s">
        <v>109</v>
      </c>
      <c r="M1028" s="33">
        <v>8747</v>
      </c>
      <c r="N1028" s="36"/>
      <c r="O1028" s="33">
        <v>3</v>
      </c>
      <c r="P1028" s="33">
        <f>IF(Tabela1[[#This Row],[Status]]="✔️",Tabela1[[#This Row],[Peso]],IF(Tabela1[[#This Row],[Status]]="✔️✔️",Tabela1[[#This Row],[Peso]]/2,0))</f>
        <v>0</v>
      </c>
      <c r="Q102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28" s="33" t="s">
        <v>127</v>
      </c>
      <c r="S1028" s="37" t="s">
        <v>128</v>
      </c>
    </row>
    <row r="1029" spans="8:19" ht="27.6" x14ac:dyDescent="0.3">
      <c r="H1029" s="32" t="s">
        <v>50</v>
      </c>
      <c r="I1029" s="33" t="s">
        <v>14</v>
      </c>
      <c r="J1029" s="34" t="s">
        <v>16</v>
      </c>
      <c r="K1029" s="35" t="s">
        <v>290</v>
      </c>
      <c r="L1029" s="33" t="s">
        <v>108</v>
      </c>
      <c r="M1029" s="33">
        <v>8747</v>
      </c>
      <c r="N1029" s="36"/>
      <c r="O1029" s="33">
        <v>1</v>
      </c>
      <c r="P1029" s="33">
        <f>IF(Tabela1[[#This Row],[Status]]="✔️",Tabela1[[#This Row],[Peso]],IF(Tabela1[[#This Row],[Status]]="✔️✔️",Tabela1[[#This Row],[Peso]]/2,0))</f>
        <v>0</v>
      </c>
      <c r="Q102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029" s="33" t="s">
        <v>127</v>
      </c>
      <c r="S1029" s="37" t="s">
        <v>128</v>
      </c>
    </row>
    <row r="1030" spans="8:19" ht="27.6" x14ac:dyDescent="0.3">
      <c r="H1030" s="32" t="s">
        <v>50</v>
      </c>
      <c r="I1030" s="33" t="s">
        <v>17</v>
      </c>
      <c r="J1030" s="34" t="s">
        <v>18</v>
      </c>
      <c r="K1030" s="35" t="s">
        <v>0</v>
      </c>
      <c r="L1030" s="33"/>
      <c r="M1030" s="33"/>
      <c r="N1030" s="36"/>
      <c r="O1030" s="33">
        <v>3</v>
      </c>
      <c r="P1030" s="33">
        <f>IF(Tabela1[[#This Row],[Status]]="✔️",Tabela1[[#This Row],[Peso]],IF(Tabela1[[#This Row],[Status]]="✔️✔️",Tabela1[[#This Row],[Peso]]/2,0))</f>
        <v>3</v>
      </c>
      <c r="Q103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30" s="33" t="s">
        <v>127</v>
      </c>
      <c r="S1030" s="37" t="s">
        <v>128</v>
      </c>
    </row>
    <row r="1031" spans="8:19" ht="27.6" x14ac:dyDescent="0.3">
      <c r="H1031" s="32" t="s">
        <v>50</v>
      </c>
      <c r="I1031" s="33" t="s">
        <v>17</v>
      </c>
      <c r="J1031" s="34" t="s">
        <v>19</v>
      </c>
      <c r="K1031" s="35" t="s">
        <v>0</v>
      </c>
      <c r="L1031" s="33"/>
      <c r="M1031" s="33"/>
      <c r="N1031" s="36"/>
      <c r="O1031" s="33">
        <v>3</v>
      </c>
      <c r="P1031" s="33">
        <f>IF(Tabela1[[#This Row],[Status]]="✔️",Tabela1[[#This Row],[Peso]],IF(Tabela1[[#This Row],[Status]]="✔️✔️",Tabela1[[#This Row],[Peso]]/2,0))</f>
        <v>3</v>
      </c>
      <c r="Q103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31" s="33" t="s">
        <v>127</v>
      </c>
      <c r="S1031" s="37" t="s">
        <v>128</v>
      </c>
    </row>
    <row r="1032" spans="8:19" ht="27.6" x14ac:dyDescent="0.3">
      <c r="H1032" s="32" t="s">
        <v>50</v>
      </c>
      <c r="I1032" s="33" t="s">
        <v>20</v>
      </c>
      <c r="J1032" s="34" t="s">
        <v>21</v>
      </c>
      <c r="K1032" s="35" t="s">
        <v>290</v>
      </c>
      <c r="L1032" s="33" t="s">
        <v>114</v>
      </c>
      <c r="M1032" s="33">
        <v>3234</v>
      </c>
      <c r="N1032" s="36"/>
      <c r="O1032" s="33">
        <v>3</v>
      </c>
      <c r="P1032" s="33">
        <f>IF(Tabela1[[#This Row],[Status]]="✔️",Tabela1[[#This Row],[Peso]],IF(Tabela1[[#This Row],[Status]]="✔️✔️",Tabela1[[#This Row],[Peso]]/2,0))</f>
        <v>0</v>
      </c>
      <c r="Q103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32" s="33" t="s">
        <v>127</v>
      </c>
      <c r="S1032" s="37" t="s">
        <v>128</v>
      </c>
    </row>
    <row r="1033" spans="8:19" ht="41.4" x14ac:dyDescent="0.3">
      <c r="H1033" s="32" t="s">
        <v>50</v>
      </c>
      <c r="I1033" s="33" t="s">
        <v>20</v>
      </c>
      <c r="J1033" s="34" t="s">
        <v>441</v>
      </c>
      <c r="K1033" s="35" t="s">
        <v>290</v>
      </c>
      <c r="L1033" s="33" t="s">
        <v>110</v>
      </c>
      <c r="M1033" s="33">
        <v>9087</v>
      </c>
      <c r="N1033" s="36"/>
      <c r="O1033" s="33">
        <v>1</v>
      </c>
      <c r="P1033" s="33">
        <f>IF(Tabela1[[#This Row],[Status]]="✔️",Tabela1[[#This Row],[Peso]],IF(Tabela1[[#This Row],[Status]]="✔️✔️",Tabela1[[#This Row],[Peso]]/2,0))</f>
        <v>0</v>
      </c>
      <c r="Q103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033" s="33" t="s">
        <v>127</v>
      </c>
      <c r="S1033" s="37" t="s">
        <v>128</v>
      </c>
    </row>
    <row r="1034" spans="8:19" ht="27.6" x14ac:dyDescent="0.3">
      <c r="H1034" s="32" t="s">
        <v>50</v>
      </c>
      <c r="I1034" s="33" t="s">
        <v>25</v>
      </c>
      <c r="J1034" s="34" t="s">
        <v>28</v>
      </c>
      <c r="K1034" s="35" t="s">
        <v>290</v>
      </c>
      <c r="L1034" s="33" t="s">
        <v>111</v>
      </c>
      <c r="M1034" s="33">
        <v>6076</v>
      </c>
      <c r="N1034" s="36"/>
      <c r="O1034" s="33">
        <v>3</v>
      </c>
      <c r="P1034" s="33">
        <f>IF(Tabela1[[#This Row],[Status]]="✔️",Tabela1[[#This Row],[Peso]],IF(Tabela1[[#This Row],[Status]]="✔️✔️",Tabela1[[#This Row],[Peso]]/2,0))</f>
        <v>0</v>
      </c>
      <c r="Q103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34" s="33" t="s">
        <v>127</v>
      </c>
      <c r="S1034" s="37" t="s">
        <v>128</v>
      </c>
    </row>
    <row r="1035" spans="8:19" ht="27.6" x14ac:dyDescent="0.3">
      <c r="H1035" s="32" t="s">
        <v>50</v>
      </c>
      <c r="I1035" s="33" t="s">
        <v>25</v>
      </c>
      <c r="J1035" s="34" t="s">
        <v>29</v>
      </c>
      <c r="K1035" s="35" t="s">
        <v>0</v>
      </c>
      <c r="L1035" s="33" t="s">
        <v>112</v>
      </c>
      <c r="M1035" s="33"/>
      <c r="N1035" s="36"/>
      <c r="O1035" s="33">
        <v>3</v>
      </c>
      <c r="P1035" s="33">
        <f>IF(Tabela1[[#This Row],[Status]]="✔️",Tabela1[[#This Row],[Peso]],IF(Tabela1[[#This Row],[Status]]="✔️✔️",Tabela1[[#This Row],[Peso]]/2,0))</f>
        <v>3</v>
      </c>
      <c r="Q103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35" s="33" t="s">
        <v>127</v>
      </c>
      <c r="S1035" s="37" t="s">
        <v>128</v>
      </c>
    </row>
    <row r="1036" spans="8:19" ht="27.6" x14ac:dyDescent="0.3">
      <c r="H1036" s="32" t="s">
        <v>50</v>
      </c>
      <c r="I1036" s="33" t="s">
        <v>25</v>
      </c>
      <c r="J1036" s="34" t="s">
        <v>449</v>
      </c>
      <c r="K1036" s="35" t="s">
        <v>290</v>
      </c>
      <c r="L1036" s="33" t="s">
        <v>113</v>
      </c>
      <c r="M1036" s="33">
        <v>6510</v>
      </c>
      <c r="N1036" s="36"/>
      <c r="O1036" s="33">
        <v>3</v>
      </c>
      <c r="P1036" s="33">
        <f>IF(Tabela1[[#This Row],[Status]]="✔️",Tabela1[[#This Row],[Peso]],IF(Tabela1[[#This Row],[Status]]="✔️✔️",Tabela1[[#This Row],[Peso]]/2,0))</f>
        <v>0</v>
      </c>
      <c r="Q103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36" s="33" t="s">
        <v>127</v>
      </c>
      <c r="S1036" s="37" t="s">
        <v>128</v>
      </c>
    </row>
    <row r="1037" spans="8:19" ht="41.4" x14ac:dyDescent="0.3">
      <c r="H1037" s="32" t="s">
        <v>50</v>
      </c>
      <c r="I1037" s="33" t="s">
        <v>41</v>
      </c>
      <c r="J1037" s="34" t="s">
        <v>442</v>
      </c>
      <c r="K1037" s="35" t="s">
        <v>290</v>
      </c>
      <c r="L1037" s="33" t="s">
        <v>47</v>
      </c>
      <c r="M1037" s="33">
        <v>8115</v>
      </c>
      <c r="N1037" s="36"/>
      <c r="O1037" s="33">
        <v>3</v>
      </c>
      <c r="P1037" s="33">
        <f>IF(Tabela1[[#This Row],[Status]]="✔️",Tabela1[[#This Row],[Peso]],IF(Tabela1[[#This Row],[Status]]="✔️✔️",Tabela1[[#This Row],[Peso]]/2,0))</f>
        <v>0</v>
      </c>
      <c r="Q103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37" s="33" t="s">
        <v>127</v>
      </c>
      <c r="S1037" s="37" t="s">
        <v>128</v>
      </c>
    </row>
    <row r="1038" spans="8:19" ht="41.4" x14ac:dyDescent="0.3">
      <c r="H1038" s="32" t="s">
        <v>50</v>
      </c>
      <c r="I1038" s="33" t="s">
        <v>41</v>
      </c>
      <c r="J1038" s="34" t="s">
        <v>443</v>
      </c>
      <c r="K1038" s="35" t="s">
        <v>290</v>
      </c>
      <c r="L1038" s="33" t="s">
        <v>47</v>
      </c>
      <c r="M1038" s="33">
        <v>8115</v>
      </c>
      <c r="N1038" s="36"/>
      <c r="O1038" s="33">
        <v>2</v>
      </c>
      <c r="P1038" s="33">
        <f>IF(Tabela1[[#This Row],[Status]]="✔️",Tabela1[[#This Row],[Peso]],IF(Tabela1[[#This Row],[Status]]="✔️✔️",Tabela1[[#This Row],[Peso]]/2,0))</f>
        <v>0</v>
      </c>
      <c r="Q1038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038" s="33" t="s">
        <v>127</v>
      </c>
      <c r="S1038" s="37" t="s">
        <v>128</v>
      </c>
    </row>
    <row r="1039" spans="8:19" ht="27.6" x14ac:dyDescent="0.3">
      <c r="H1039" s="32" t="s">
        <v>50</v>
      </c>
      <c r="I1039" s="33" t="s">
        <v>10</v>
      </c>
      <c r="J1039" s="34" t="s">
        <v>444</v>
      </c>
      <c r="K1039" s="35" t="s">
        <v>290</v>
      </c>
      <c r="L1039" s="33" t="s">
        <v>107</v>
      </c>
      <c r="M1039" s="33">
        <v>5214</v>
      </c>
      <c r="N1039" s="36"/>
      <c r="O1039" s="33">
        <v>3</v>
      </c>
      <c r="P1039" s="33">
        <f>IF(Tabela1[[#This Row],[Status]]="✔️",Tabela1[[#This Row],[Peso]],IF(Tabela1[[#This Row],[Status]]="✔️✔️",Tabela1[[#This Row],[Peso]]/2,0))</f>
        <v>0</v>
      </c>
      <c r="Q103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39" s="33" t="s">
        <v>127</v>
      </c>
      <c r="S1039" s="37" t="s">
        <v>128</v>
      </c>
    </row>
    <row r="1040" spans="8:19" ht="27.6" x14ac:dyDescent="0.3">
      <c r="H1040" s="52" t="s">
        <v>50</v>
      </c>
      <c r="I1040" s="53" t="s">
        <v>30</v>
      </c>
      <c r="J1040" s="34" t="s">
        <v>438</v>
      </c>
      <c r="K1040" s="54" t="s">
        <v>0</v>
      </c>
      <c r="L1040" s="53"/>
      <c r="M1040" s="53"/>
      <c r="N1040" s="55"/>
      <c r="O1040" s="53">
        <v>3</v>
      </c>
      <c r="P1040" s="33">
        <f>IF(Tabela1[[#This Row],[Status]]="✔️",Tabela1[[#This Row],[Peso]],IF(Tabela1[[#This Row],[Status]]="✔️✔️",Tabela1[[#This Row],[Peso]]/2,0))</f>
        <v>3</v>
      </c>
      <c r="Q104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40" s="53" t="s">
        <v>130</v>
      </c>
      <c r="S1040" s="56" t="s">
        <v>132</v>
      </c>
    </row>
    <row r="1041" spans="8:19" ht="27.6" x14ac:dyDescent="0.3">
      <c r="H1041" s="32" t="s">
        <v>50</v>
      </c>
      <c r="I1041" s="33" t="s">
        <v>10</v>
      </c>
      <c r="J1041" s="34" t="s">
        <v>11</v>
      </c>
      <c r="K1041" s="35" t="s">
        <v>0</v>
      </c>
      <c r="L1041" s="33"/>
      <c r="M1041" s="33"/>
      <c r="N1041" s="36"/>
      <c r="O1041" s="33">
        <v>3</v>
      </c>
      <c r="P1041" s="33">
        <f>IF(Tabela1[[#This Row],[Status]]="✔️",Tabela1[[#This Row],[Peso]],IF(Tabela1[[#This Row],[Status]]="✔️✔️",Tabela1[[#This Row],[Peso]]/2,0))</f>
        <v>3</v>
      </c>
      <c r="Q104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41" s="33" t="s">
        <v>130</v>
      </c>
      <c r="S1041" s="37" t="s">
        <v>132</v>
      </c>
    </row>
    <row r="1042" spans="8:19" ht="27.6" x14ac:dyDescent="0.3">
      <c r="H1042" s="32" t="s">
        <v>50</v>
      </c>
      <c r="I1042" s="33" t="s">
        <v>10</v>
      </c>
      <c r="J1042" s="34" t="s">
        <v>439</v>
      </c>
      <c r="K1042" s="35" t="s">
        <v>0</v>
      </c>
      <c r="L1042" s="33"/>
      <c r="M1042" s="33"/>
      <c r="N1042" s="36"/>
      <c r="O1042" s="33">
        <v>3</v>
      </c>
      <c r="P1042" s="33">
        <f>IF(Tabela1[[#This Row],[Status]]="✔️",Tabela1[[#This Row],[Peso]],IF(Tabela1[[#This Row],[Status]]="✔️✔️",Tabela1[[#This Row],[Peso]]/2,0))</f>
        <v>3</v>
      </c>
      <c r="Q104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42" s="33" t="s">
        <v>130</v>
      </c>
      <c r="S1042" s="37" t="s">
        <v>132</v>
      </c>
    </row>
    <row r="1043" spans="8:19" ht="27.6" x14ac:dyDescent="0.3">
      <c r="H1043" s="32" t="s">
        <v>50</v>
      </c>
      <c r="I1043" s="33" t="s">
        <v>10</v>
      </c>
      <c r="J1043" s="34" t="s">
        <v>440</v>
      </c>
      <c r="K1043" s="35" t="s">
        <v>0</v>
      </c>
      <c r="L1043" s="33"/>
      <c r="M1043" s="33"/>
      <c r="N1043" s="36"/>
      <c r="O1043" s="33">
        <v>3</v>
      </c>
      <c r="P1043" s="33">
        <f>IF(Tabela1[[#This Row],[Status]]="✔️",Tabela1[[#This Row],[Peso]],IF(Tabela1[[#This Row],[Status]]="✔️✔️",Tabela1[[#This Row],[Peso]]/2,0))</f>
        <v>3</v>
      </c>
      <c r="Q104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43" s="33" t="s">
        <v>130</v>
      </c>
      <c r="S1043" s="37" t="s">
        <v>132</v>
      </c>
    </row>
    <row r="1044" spans="8:19" ht="27.6" x14ac:dyDescent="0.3">
      <c r="H1044" s="32" t="s">
        <v>50</v>
      </c>
      <c r="I1044" s="33" t="s">
        <v>12</v>
      </c>
      <c r="J1044" s="34" t="s">
        <v>13</v>
      </c>
      <c r="K1044" s="35" t="s">
        <v>0</v>
      </c>
      <c r="L1044" s="33"/>
      <c r="M1044" s="33"/>
      <c r="N1044" s="36"/>
      <c r="O1044" s="33">
        <v>2</v>
      </c>
      <c r="P1044" s="33">
        <f>IF(Tabela1[[#This Row],[Status]]="✔️",Tabela1[[#This Row],[Peso]],IF(Tabela1[[#This Row],[Status]]="✔️✔️",Tabela1[[#This Row],[Peso]]/2,0))</f>
        <v>2</v>
      </c>
      <c r="Q104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044" s="33" t="s">
        <v>130</v>
      </c>
      <c r="S1044" s="37" t="s">
        <v>132</v>
      </c>
    </row>
    <row r="1045" spans="8:19" ht="27.6" x14ac:dyDescent="0.3">
      <c r="H1045" s="32" t="s">
        <v>50</v>
      </c>
      <c r="I1045" s="33" t="s">
        <v>14</v>
      </c>
      <c r="J1045" s="34" t="s">
        <v>15</v>
      </c>
      <c r="K1045" s="35" t="s">
        <v>0</v>
      </c>
      <c r="L1045" s="33"/>
      <c r="M1045" s="33"/>
      <c r="N1045" s="36"/>
      <c r="O1045" s="33">
        <v>3</v>
      </c>
      <c r="P1045" s="33">
        <f>IF(Tabela1[[#This Row],[Status]]="✔️",Tabela1[[#This Row],[Peso]],IF(Tabela1[[#This Row],[Status]]="✔️✔️",Tabela1[[#This Row],[Peso]]/2,0))</f>
        <v>3</v>
      </c>
      <c r="Q104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45" s="33" t="s">
        <v>130</v>
      </c>
      <c r="S1045" s="37" t="s">
        <v>132</v>
      </c>
    </row>
    <row r="1046" spans="8:19" ht="27.6" x14ac:dyDescent="0.3">
      <c r="H1046" s="32" t="s">
        <v>50</v>
      </c>
      <c r="I1046" s="33" t="s">
        <v>14</v>
      </c>
      <c r="J1046" s="34" t="s">
        <v>16</v>
      </c>
      <c r="K1046" s="35" t="s">
        <v>0</v>
      </c>
      <c r="L1046" s="33"/>
      <c r="M1046" s="33"/>
      <c r="N1046" s="36"/>
      <c r="O1046" s="33">
        <v>1</v>
      </c>
      <c r="P1046" s="33">
        <f>IF(Tabela1[[#This Row],[Status]]="✔️",Tabela1[[#This Row],[Peso]],IF(Tabela1[[#This Row],[Status]]="✔️✔️",Tabela1[[#This Row],[Peso]]/2,0))</f>
        <v>1</v>
      </c>
      <c r="Q104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046" s="33" t="s">
        <v>130</v>
      </c>
      <c r="S1046" s="37" t="s">
        <v>132</v>
      </c>
    </row>
    <row r="1047" spans="8:19" ht="27.6" x14ac:dyDescent="0.3">
      <c r="H1047" s="32" t="s">
        <v>50</v>
      </c>
      <c r="I1047" s="33" t="s">
        <v>17</v>
      </c>
      <c r="J1047" s="34" t="s">
        <v>18</v>
      </c>
      <c r="K1047" s="35" t="s">
        <v>0</v>
      </c>
      <c r="L1047" s="33"/>
      <c r="M1047" s="33"/>
      <c r="N1047" s="36"/>
      <c r="O1047" s="33">
        <v>3</v>
      </c>
      <c r="P1047" s="33">
        <f>IF(Tabela1[[#This Row],[Status]]="✔️",Tabela1[[#This Row],[Peso]],IF(Tabela1[[#This Row],[Status]]="✔️✔️",Tabela1[[#This Row],[Peso]]/2,0))</f>
        <v>3</v>
      </c>
      <c r="Q104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47" s="33" t="s">
        <v>130</v>
      </c>
      <c r="S1047" s="37" t="s">
        <v>132</v>
      </c>
    </row>
    <row r="1048" spans="8:19" ht="27.6" x14ac:dyDescent="0.3">
      <c r="H1048" s="32" t="s">
        <v>50</v>
      </c>
      <c r="I1048" s="33" t="s">
        <v>17</v>
      </c>
      <c r="J1048" s="34" t="s">
        <v>19</v>
      </c>
      <c r="K1048" s="35" t="s">
        <v>0</v>
      </c>
      <c r="L1048" s="33"/>
      <c r="M1048" s="33"/>
      <c r="N1048" s="36"/>
      <c r="O1048" s="33">
        <v>3</v>
      </c>
      <c r="P1048" s="33">
        <f>IF(Tabela1[[#This Row],[Status]]="✔️",Tabela1[[#This Row],[Peso]],IF(Tabela1[[#This Row],[Status]]="✔️✔️",Tabela1[[#This Row],[Peso]]/2,0))</f>
        <v>3</v>
      </c>
      <c r="Q104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48" s="33" t="s">
        <v>130</v>
      </c>
      <c r="S1048" s="37" t="s">
        <v>132</v>
      </c>
    </row>
    <row r="1049" spans="8:19" ht="27.6" x14ac:dyDescent="0.3">
      <c r="H1049" s="32" t="s">
        <v>50</v>
      </c>
      <c r="I1049" s="33" t="s">
        <v>20</v>
      </c>
      <c r="J1049" s="34" t="s">
        <v>21</v>
      </c>
      <c r="K1049" s="35" t="s">
        <v>0</v>
      </c>
      <c r="L1049" s="33"/>
      <c r="M1049" s="33"/>
      <c r="N1049" s="36"/>
      <c r="O1049" s="33">
        <v>3</v>
      </c>
      <c r="P1049" s="33">
        <f>IF(Tabela1[[#This Row],[Status]]="✔️",Tabela1[[#This Row],[Peso]],IF(Tabela1[[#This Row],[Status]]="✔️✔️",Tabela1[[#This Row],[Peso]]/2,0))</f>
        <v>3</v>
      </c>
      <c r="Q104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49" s="33" t="s">
        <v>130</v>
      </c>
      <c r="S1049" s="37" t="s">
        <v>132</v>
      </c>
    </row>
    <row r="1050" spans="8:19" ht="27.6" x14ac:dyDescent="0.3">
      <c r="H1050" s="32" t="s">
        <v>50</v>
      </c>
      <c r="I1050" s="33" t="s">
        <v>20</v>
      </c>
      <c r="J1050" s="34" t="s">
        <v>441</v>
      </c>
      <c r="K1050" s="35" t="s">
        <v>0</v>
      </c>
      <c r="L1050" s="33"/>
      <c r="M1050" s="33"/>
      <c r="N1050" s="36"/>
      <c r="O1050" s="33">
        <v>1</v>
      </c>
      <c r="P1050" s="33">
        <f>IF(Tabela1[[#This Row],[Status]]="✔️",Tabela1[[#This Row],[Peso]],IF(Tabela1[[#This Row],[Status]]="✔️✔️",Tabela1[[#This Row],[Peso]]/2,0))</f>
        <v>1</v>
      </c>
      <c r="Q105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050" s="33" t="s">
        <v>130</v>
      </c>
      <c r="S1050" s="37" t="s">
        <v>132</v>
      </c>
    </row>
    <row r="1051" spans="8:19" ht="27.6" x14ac:dyDescent="0.3">
      <c r="H1051" s="32" t="s">
        <v>50</v>
      </c>
      <c r="I1051" s="33" t="s">
        <v>25</v>
      </c>
      <c r="J1051" s="34" t="s">
        <v>28</v>
      </c>
      <c r="K1051" s="35" t="s">
        <v>290</v>
      </c>
      <c r="L1051" s="33"/>
      <c r="M1051" s="33">
        <v>9884</v>
      </c>
      <c r="N1051" s="36"/>
      <c r="O1051" s="33">
        <v>3</v>
      </c>
      <c r="P1051" s="33">
        <f>IF(Tabela1[[#This Row],[Status]]="✔️",Tabela1[[#This Row],[Peso]],IF(Tabela1[[#This Row],[Status]]="✔️✔️",Tabela1[[#This Row],[Peso]]/2,0))</f>
        <v>0</v>
      </c>
      <c r="Q105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51" s="33" t="s">
        <v>130</v>
      </c>
      <c r="S1051" s="37" t="s">
        <v>132</v>
      </c>
    </row>
    <row r="1052" spans="8:19" ht="27.6" x14ac:dyDescent="0.3">
      <c r="H1052" s="32" t="s">
        <v>50</v>
      </c>
      <c r="I1052" s="33" t="s">
        <v>25</v>
      </c>
      <c r="J1052" s="34" t="s">
        <v>29</v>
      </c>
      <c r="K1052" s="35" t="s">
        <v>0</v>
      </c>
      <c r="L1052" s="33"/>
      <c r="M1052" s="33"/>
      <c r="N1052" s="36"/>
      <c r="O1052" s="33">
        <v>3</v>
      </c>
      <c r="P1052" s="33">
        <f>IF(Tabela1[[#This Row],[Status]]="✔️",Tabela1[[#This Row],[Peso]],IF(Tabela1[[#This Row],[Status]]="✔️✔️",Tabela1[[#This Row],[Peso]]/2,0))</f>
        <v>3</v>
      </c>
      <c r="Q105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52" s="33" t="s">
        <v>130</v>
      </c>
      <c r="S1052" s="37" t="s">
        <v>132</v>
      </c>
    </row>
    <row r="1053" spans="8:19" ht="27.6" x14ac:dyDescent="0.3">
      <c r="H1053" s="32" t="s">
        <v>50</v>
      </c>
      <c r="I1053" s="33" t="s">
        <v>25</v>
      </c>
      <c r="J1053" s="34" t="s">
        <v>449</v>
      </c>
      <c r="K1053" s="35" t="s">
        <v>290</v>
      </c>
      <c r="L1053" s="33"/>
      <c r="M1053" s="33">
        <v>8624</v>
      </c>
      <c r="N1053" s="36"/>
      <c r="O1053" s="33">
        <v>3</v>
      </c>
      <c r="P1053" s="33">
        <f>IF(Tabela1[[#This Row],[Status]]="✔️",Tabela1[[#This Row],[Peso]],IF(Tabela1[[#This Row],[Status]]="✔️✔️",Tabela1[[#This Row],[Peso]]/2,0))</f>
        <v>0</v>
      </c>
      <c r="Q105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53" s="33" t="s">
        <v>130</v>
      </c>
      <c r="S1053" s="37" t="s">
        <v>132</v>
      </c>
    </row>
    <row r="1054" spans="8:19" ht="41.4" x14ac:dyDescent="0.3">
      <c r="H1054" s="32" t="s">
        <v>50</v>
      </c>
      <c r="I1054" s="33" t="s">
        <v>41</v>
      </c>
      <c r="J1054" s="34" t="s">
        <v>442</v>
      </c>
      <c r="K1054" s="35" t="s">
        <v>290</v>
      </c>
      <c r="L1054" s="33" t="s">
        <v>47</v>
      </c>
      <c r="M1054" s="33">
        <v>3184</v>
      </c>
      <c r="N1054" s="36"/>
      <c r="O1054" s="33">
        <v>3</v>
      </c>
      <c r="P1054" s="33">
        <f>IF(Tabela1[[#This Row],[Status]]="✔️",Tabela1[[#This Row],[Peso]],IF(Tabela1[[#This Row],[Status]]="✔️✔️",Tabela1[[#This Row],[Peso]]/2,0))</f>
        <v>0</v>
      </c>
      <c r="Q105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54" s="33" t="s">
        <v>130</v>
      </c>
      <c r="S1054" s="37" t="s">
        <v>132</v>
      </c>
    </row>
    <row r="1055" spans="8:19" ht="41.4" x14ac:dyDescent="0.3">
      <c r="H1055" s="32" t="s">
        <v>50</v>
      </c>
      <c r="I1055" s="33" t="s">
        <v>41</v>
      </c>
      <c r="J1055" s="34" t="s">
        <v>443</v>
      </c>
      <c r="K1055" s="35" t="s">
        <v>290</v>
      </c>
      <c r="L1055" s="33" t="s">
        <v>47</v>
      </c>
      <c r="M1055" s="33">
        <v>3184</v>
      </c>
      <c r="N1055" s="36"/>
      <c r="O1055" s="33">
        <v>2</v>
      </c>
      <c r="P1055" s="33">
        <f>IF(Tabela1[[#This Row],[Status]]="✔️",Tabela1[[#This Row],[Peso]],IF(Tabela1[[#This Row],[Status]]="✔️✔️",Tabela1[[#This Row],[Peso]]/2,0))</f>
        <v>0</v>
      </c>
      <c r="Q1055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055" s="33" t="s">
        <v>130</v>
      </c>
      <c r="S1055" s="37" t="s">
        <v>132</v>
      </c>
    </row>
    <row r="1056" spans="8:19" ht="27.6" x14ac:dyDescent="0.3">
      <c r="H1056" s="32" t="s">
        <v>50</v>
      </c>
      <c r="I1056" s="33" t="s">
        <v>30</v>
      </c>
      <c r="J1056" s="34" t="s">
        <v>438</v>
      </c>
      <c r="K1056" s="35" t="s">
        <v>0</v>
      </c>
      <c r="L1056" s="33"/>
      <c r="M1056" s="33"/>
      <c r="N1056" s="36"/>
      <c r="O1056" s="33">
        <v>3</v>
      </c>
      <c r="P1056" s="33">
        <f>IF(Tabela1[[#This Row],[Status]]="✔️",Tabela1[[#This Row],[Peso]],IF(Tabela1[[#This Row],[Status]]="✔️✔️",Tabela1[[#This Row],[Peso]]/2,0))</f>
        <v>3</v>
      </c>
      <c r="Q105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56" s="33" t="s">
        <v>130</v>
      </c>
      <c r="S1056" s="37" t="s">
        <v>128</v>
      </c>
    </row>
    <row r="1057" spans="8:19" ht="27.6" x14ac:dyDescent="0.3">
      <c r="H1057" s="52" t="s">
        <v>50</v>
      </c>
      <c r="I1057" s="53" t="s">
        <v>10</v>
      </c>
      <c r="J1057" s="34" t="s">
        <v>444</v>
      </c>
      <c r="K1057" s="54" t="s">
        <v>290</v>
      </c>
      <c r="L1057" s="53"/>
      <c r="M1057" s="53">
        <v>4527</v>
      </c>
      <c r="N1057" s="55"/>
      <c r="O1057" s="53">
        <v>3</v>
      </c>
      <c r="P1057" s="33">
        <f>IF(Tabela1[[#This Row],[Status]]="✔️",Tabela1[[#This Row],[Peso]],IF(Tabela1[[#This Row],[Status]]="✔️✔️",Tabela1[[#This Row],[Peso]]/2,0))</f>
        <v>0</v>
      </c>
      <c r="Q105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57" s="53" t="s">
        <v>130</v>
      </c>
      <c r="S1057" s="56" t="s">
        <v>132</v>
      </c>
    </row>
    <row r="1058" spans="8:19" ht="27.6" x14ac:dyDescent="0.3">
      <c r="H1058" s="32" t="s">
        <v>50</v>
      </c>
      <c r="I1058" s="33" t="s">
        <v>10</v>
      </c>
      <c r="J1058" s="34" t="s">
        <v>11</v>
      </c>
      <c r="K1058" s="35" t="s">
        <v>0</v>
      </c>
      <c r="L1058" s="33"/>
      <c r="M1058" s="33"/>
      <c r="N1058" s="36"/>
      <c r="O1058" s="33">
        <v>3</v>
      </c>
      <c r="P1058" s="33">
        <f>IF(Tabela1[[#This Row],[Status]]="✔️",Tabela1[[#This Row],[Peso]],IF(Tabela1[[#This Row],[Status]]="✔️✔️",Tabela1[[#This Row],[Peso]]/2,0))</f>
        <v>3</v>
      </c>
      <c r="Q105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58" s="33" t="s">
        <v>130</v>
      </c>
      <c r="S1058" s="37" t="s">
        <v>128</v>
      </c>
    </row>
    <row r="1059" spans="8:19" ht="27.6" x14ac:dyDescent="0.3">
      <c r="H1059" s="32" t="s">
        <v>50</v>
      </c>
      <c r="I1059" s="33" t="s">
        <v>10</v>
      </c>
      <c r="J1059" s="34" t="s">
        <v>439</v>
      </c>
      <c r="K1059" s="35" t="s">
        <v>0</v>
      </c>
      <c r="L1059" s="33"/>
      <c r="M1059" s="33"/>
      <c r="N1059" s="36"/>
      <c r="O1059" s="33">
        <v>3</v>
      </c>
      <c r="P1059" s="33">
        <f>IF(Tabela1[[#This Row],[Status]]="✔️",Tabela1[[#This Row],[Peso]],IF(Tabela1[[#This Row],[Status]]="✔️✔️",Tabela1[[#This Row],[Peso]]/2,0))</f>
        <v>3</v>
      </c>
      <c r="Q105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59" s="33" t="s">
        <v>130</v>
      </c>
      <c r="S1059" s="37" t="s">
        <v>128</v>
      </c>
    </row>
    <row r="1060" spans="8:19" ht="27.6" x14ac:dyDescent="0.3">
      <c r="H1060" s="32" t="s">
        <v>50</v>
      </c>
      <c r="I1060" s="33" t="s">
        <v>10</v>
      </c>
      <c r="J1060" s="34" t="s">
        <v>440</v>
      </c>
      <c r="K1060" s="35" t="s">
        <v>0</v>
      </c>
      <c r="L1060" s="33"/>
      <c r="M1060" s="33"/>
      <c r="N1060" s="36"/>
      <c r="O1060" s="33">
        <v>3</v>
      </c>
      <c r="P1060" s="33">
        <f>IF(Tabela1[[#This Row],[Status]]="✔️",Tabela1[[#This Row],[Peso]],IF(Tabela1[[#This Row],[Status]]="✔️✔️",Tabela1[[#This Row],[Peso]]/2,0))</f>
        <v>3</v>
      </c>
      <c r="Q106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60" s="33" t="s">
        <v>130</v>
      </c>
      <c r="S1060" s="37" t="s">
        <v>128</v>
      </c>
    </row>
    <row r="1061" spans="8:19" ht="27.6" x14ac:dyDescent="0.3">
      <c r="H1061" s="32" t="s">
        <v>50</v>
      </c>
      <c r="I1061" s="33" t="s">
        <v>12</v>
      </c>
      <c r="J1061" s="34" t="s">
        <v>13</v>
      </c>
      <c r="K1061" s="35" t="s">
        <v>0</v>
      </c>
      <c r="L1061" s="33"/>
      <c r="M1061" s="33"/>
      <c r="N1061" s="36"/>
      <c r="O1061" s="33">
        <v>2</v>
      </c>
      <c r="P1061" s="33">
        <f>IF(Tabela1[[#This Row],[Status]]="✔️",Tabela1[[#This Row],[Peso]],IF(Tabela1[[#This Row],[Status]]="✔️✔️",Tabela1[[#This Row],[Peso]]/2,0))</f>
        <v>2</v>
      </c>
      <c r="Q106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061" s="33" t="s">
        <v>130</v>
      </c>
      <c r="S1061" s="37" t="s">
        <v>128</v>
      </c>
    </row>
    <row r="1062" spans="8:19" ht="27.6" x14ac:dyDescent="0.3">
      <c r="H1062" s="32" t="s">
        <v>50</v>
      </c>
      <c r="I1062" s="33" t="s">
        <v>14</v>
      </c>
      <c r="J1062" s="34" t="s">
        <v>15</v>
      </c>
      <c r="K1062" s="35" t="s">
        <v>0</v>
      </c>
      <c r="L1062" s="33"/>
      <c r="M1062" s="33"/>
      <c r="N1062" s="36"/>
      <c r="O1062" s="33">
        <v>3</v>
      </c>
      <c r="P1062" s="33">
        <f>IF(Tabela1[[#This Row],[Status]]="✔️",Tabela1[[#This Row],[Peso]],IF(Tabela1[[#This Row],[Status]]="✔️✔️",Tabela1[[#This Row],[Peso]]/2,0))</f>
        <v>3</v>
      </c>
      <c r="Q106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62" s="33" t="s">
        <v>130</v>
      </c>
      <c r="S1062" s="37" t="s">
        <v>128</v>
      </c>
    </row>
    <row r="1063" spans="8:19" ht="27.6" x14ac:dyDescent="0.3">
      <c r="H1063" s="32" t="s">
        <v>50</v>
      </c>
      <c r="I1063" s="33" t="s">
        <v>14</v>
      </c>
      <c r="J1063" s="34" t="s">
        <v>16</v>
      </c>
      <c r="K1063" s="35" t="s">
        <v>0</v>
      </c>
      <c r="L1063" s="33"/>
      <c r="M1063" s="33"/>
      <c r="N1063" s="36"/>
      <c r="O1063" s="33">
        <v>1</v>
      </c>
      <c r="P1063" s="33">
        <f>IF(Tabela1[[#This Row],[Status]]="✔️",Tabela1[[#This Row],[Peso]],IF(Tabela1[[#This Row],[Status]]="✔️✔️",Tabela1[[#This Row],[Peso]]/2,0))</f>
        <v>1</v>
      </c>
      <c r="Q106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063" s="33" t="s">
        <v>130</v>
      </c>
      <c r="S1063" s="37" t="s">
        <v>128</v>
      </c>
    </row>
    <row r="1064" spans="8:19" ht="27.6" x14ac:dyDescent="0.3">
      <c r="H1064" s="32" t="s">
        <v>50</v>
      </c>
      <c r="I1064" s="33" t="s">
        <v>17</v>
      </c>
      <c r="J1064" s="34" t="s">
        <v>18</v>
      </c>
      <c r="K1064" s="35" t="s">
        <v>0</v>
      </c>
      <c r="L1064" s="33"/>
      <c r="M1064" s="33"/>
      <c r="N1064" s="36"/>
      <c r="O1064" s="33">
        <v>3</v>
      </c>
      <c r="P1064" s="33">
        <f>IF(Tabela1[[#This Row],[Status]]="✔️",Tabela1[[#This Row],[Peso]],IF(Tabela1[[#This Row],[Status]]="✔️✔️",Tabela1[[#This Row],[Peso]]/2,0))</f>
        <v>3</v>
      </c>
      <c r="Q106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64" s="33" t="s">
        <v>130</v>
      </c>
      <c r="S1064" s="37" t="s">
        <v>128</v>
      </c>
    </row>
    <row r="1065" spans="8:19" ht="27.6" x14ac:dyDescent="0.3">
      <c r="H1065" s="32" t="s">
        <v>50</v>
      </c>
      <c r="I1065" s="33" t="s">
        <v>17</v>
      </c>
      <c r="J1065" s="34" t="s">
        <v>19</v>
      </c>
      <c r="K1065" s="35" t="s">
        <v>0</v>
      </c>
      <c r="L1065" s="33"/>
      <c r="M1065" s="33"/>
      <c r="N1065" s="36"/>
      <c r="O1065" s="33">
        <v>3</v>
      </c>
      <c r="P1065" s="33">
        <f>IF(Tabela1[[#This Row],[Status]]="✔️",Tabela1[[#This Row],[Peso]],IF(Tabela1[[#This Row],[Status]]="✔️✔️",Tabela1[[#This Row],[Peso]]/2,0))</f>
        <v>3</v>
      </c>
      <c r="Q106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65" s="33" t="s">
        <v>130</v>
      </c>
      <c r="S1065" s="37" t="s">
        <v>128</v>
      </c>
    </row>
    <row r="1066" spans="8:19" ht="27.6" x14ac:dyDescent="0.3">
      <c r="H1066" s="32" t="s">
        <v>50</v>
      </c>
      <c r="I1066" s="33" t="s">
        <v>20</v>
      </c>
      <c r="J1066" s="34" t="s">
        <v>21</v>
      </c>
      <c r="K1066" s="35" t="s">
        <v>0</v>
      </c>
      <c r="L1066" s="33"/>
      <c r="M1066" s="33"/>
      <c r="N1066" s="36"/>
      <c r="O1066" s="33">
        <v>3</v>
      </c>
      <c r="P1066" s="33">
        <f>IF(Tabela1[[#This Row],[Status]]="✔️",Tabela1[[#This Row],[Peso]],IF(Tabela1[[#This Row],[Status]]="✔️✔️",Tabela1[[#This Row],[Peso]]/2,0))</f>
        <v>3</v>
      </c>
      <c r="Q106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66" s="33" t="s">
        <v>130</v>
      </c>
      <c r="S1066" s="37" t="s">
        <v>128</v>
      </c>
    </row>
    <row r="1067" spans="8:19" ht="27.6" x14ac:dyDescent="0.3">
      <c r="H1067" s="32" t="s">
        <v>50</v>
      </c>
      <c r="I1067" s="33" t="s">
        <v>20</v>
      </c>
      <c r="J1067" s="34" t="s">
        <v>441</v>
      </c>
      <c r="K1067" s="35" t="s">
        <v>0</v>
      </c>
      <c r="L1067" s="33"/>
      <c r="M1067" s="33"/>
      <c r="N1067" s="36"/>
      <c r="O1067" s="33">
        <v>1</v>
      </c>
      <c r="P1067" s="33">
        <f>IF(Tabela1[[#This Row],[Status]]="✔️",Tabela1[[#This Row],[Peso]],IF(Tabela1[[#This Row],[Status]]="✔️✔️",Tabela1[[#This Row],[Peso]]/2,0))</f>
        <v>1</v>
      </c>
      <c r="Q106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067" s="33" t="s">
        <v>130</v>
      </c>
      <c r="S1067" s="37" t="s">
        <v>128</v>
      </c>
    </row>
    <row r="1068" spans="8:19" ht="27.6" x14ac:dyDescent="0.3">
      <c r="H1068" s="32" t="s">
        <v>50</v>
      </c>
      <c r="I1068" s="33" t="s">
        <v>25</v>
      </c>
      <c r="J1068" s="34" t="s">
        <v>28</v>
      </c>
      <c r="K1068" s="35" t="s">
        <v>290</v>
      </c>
      <c r="L1068" s="33" t="s">
        <v>281</v>
      </c>
      <c r="M1068" s="33">
        <v>9884</v>
      </c>
      <c r="N1068" s="36"/>
      <c r="O1068" s="33">
        <v>3</v>
      </c>
      <c r="P1068" s="33">
        <f>IF(Tabela1[[#This Row],[Status]]="✔️",Tabela1[[#This Row],[Peso]],IF(Tabela1[[#This Row],[Status]]="✔️✔️",Tabela1[[#This Row],[Peso]]/2,0))</f>
        <v>0</v>
      </c>
      <c r="Q106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68" s="33" t="s">
        <v>130</v>
      </c>
      <c r="S1068" s="37" t="s">
        <v>128</v>
      </c>
    </row>
    <row r="1069" spans="8:19" ht="27.6" x14ac:dyDescent="0.3">
      <c r="H1069" s="32" t="s">
        <v>50</v>
      </c>
      <c r="I1069" s="33" t="s">
        <v>25</v>
      </c>
      <c r="J1069" s="34" t="s">
        <v>29</v>
      </c>
      <c r="K1069" s="35" t="s">
        <v>0</v>
      </c>
      <c r="L1069" s="33"/>
      <c r="M1069" s="33"/>
      <c r="N1069" s="36"/>
      <c r="O1069" s="33">
        <v>3</v>
      </c>
      <c r="P1069" s="33">
        <f>IF(Tabela1[[#This Row],[Status]]="✔️",Tabela1[[#This Row],[Peso]],IF(Tabela1[[#This Row],[Status]]="✔️✔️",Tabela1[[#This Row],[Peso]]/2,0))</f>
        <v>3</v>
      </c>
      <c r="Q106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69" s="33" t="s">
        <v>130</v>
      </c>
      <c r="S1069" s="37" t="s">
        <v>128</v>
      </c>
    </row>
    <row r="1070" spans="8:19" ht="27.6" x14ac:dyDescent="0.3">
      <c r="H1070" s="32" t="s">
        <v>50</v>
      </c>
      <c r="I1070" s="33" t="s">
        <v>25</v>
      </c>
      <c r="J1070" s="34" t="s">
        <v>449</v>
      </c>
      <c r="K1070" s="35" t="s">
        <v>290</v>
      </c>
      <c r="L1070" s="33" t="s">
        <v>283</v>
      </c>
      <c r="M1070" s="33">
        <v>8624</v>
      </c>
      <c r="N1070" s="36"/>
      <c r="O1070" s="33">
        <v>3</v>
      </c>
      <c r="P1070" s="33">
        <f>IF(Tabela1[[#This Row],[Status]]="✔️",Tabela1[[#This Row],[Peso]],IF(Tabela1[[#This Row],[Status]]="✔️✔️",Tabela1[[#This Row],[Peso]]/2,0))</f>
        <v>0</v>
      </c>
      <c r="Q107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70" s="33" t="s">
        <v>130</v>
      </c>
      <c r="S1070" s="37" t="s">
        <v>128</v>
      </c>
    </row>
    <row r="1071" spans="8:19" ht="41.4" x14ac:dyDescent="0.3">
      <c r="H1071" s="32" t="s">
        <v>50</v>
      </c>
      <c r="I1071" s="33" t="s">
        <v>41</v>
      </c>
      <c r="J1071" s="34" t="s">
        <v>442</v>
      </c>
      <c r="K1071" s="35" t="s">
        <v>290</v>
      </c>
      <c r="L1071" s="33" t="s">
        <v>284</v>
      </c>
      <c r="M1071" s="33">
        <v>3184</v>
      </c>
      <c r="N1071" s="36"/>
      <c r="O1071" s="33">
        <v>3</v>
      </c>
      <c r="P1071" s="33">
        <f>IF(Tabela1[[#This Row],[Status]]="✔️",Tabela1[[#This Row],[Peso]],IF(Tabela1[[#This Row],[Status]]="✔️✔️",Tabela1[[#This Row],[Peso]]/2,0))</f>
        <v>0</v>
      </c>
      <c r="Q107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71" s="33" t="s">
        <v>130</v>
      </c>
      <c r="S1071" s="37" t="s">
        <v>128</v>
      </c>
    </row>
    <row r="1072" spans="8:19" ht="41.4" x14ac:dyDescent="0.3">
      <c r="H1072" s="32" t="s">
        <v>50</v>
      </c>
      <c r="I1072" s="33" t="s">
        <v>41</v>
      </c>
      <c r="J1072" s="34" t="s">
        <v>443</v>
      </c>
      <c r="K1072" s="35" t="s">
        <v>290</v>
      </c>
      <c r="L1072" s="33" t="s">
        <v>284</v>
      </c>
      <c r="M1072" s="33">
        <v>3184</v>
      </c>
      <c r="N1072" s="36"/>
      <c r="O1072" s="33">
        <v>2</v>
      </c>
      <c r="P1072" s="33">
        <f>IF(Tabela1[[#This Row],[Status]]="✔️",Tabela1[[#This Row],[Peso]],IF(Tabela1[[#This Row],[Status]]="✔️✔️",Tabela1[[#This Row],[Peso]]/2,0))</f>
        <v>0</v>
      </c>
      <c r="Q1072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072" s="33" t="s">
        <v>130</v>
      </c>
      <c r="S1072" s="37" t="s">
        <v>128</v>
      </c>
    </row>
    <row r="1073" spans="8:19" ht="27.6" x14ac:dyDescent="0.3">
      <c r="H1073" s="32" t="s">
        <v>50</v>
      </c>
      <c r="I1073" s="33" t="s">
        <v>10</v>
      </c>
      <c r="J1073" s="34" t="s">
        <v>444</v>
      </c>
      <c r="K1073" s="35" t="s">
        <v>290</v>
      </c>
      <c r="L1073" s="33" t="s">
        <v>282</v>
      </c>
      <c r="M1073" s="33">
        <v>4527</v>
      </c>
      <c r="N1073" s="36"/>
      <c r="O1073" s="33">
        <v>3</v>
      </c>
      <c r="P1073" s="33">
        <f>IF(Tabela1[[#This Row],[Status]]="✔️",Tabela1[[#This Row],[Peso]],IF(Tabela1[[#This Row],[Status]]="✔️✔️",Tabela1[[#This Row],[Peso]]/2,0))</f>
        <v>0</v>
      </c>
      <c r="Q107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73" s="33" t="s">
        <v>130</v>
      </c>
      <c r="S1073" s="37" t="s">
        <v>128</v>
      </c>
    </row>
    <row r="1074" spans="8:19" ht="41.4" x14ac:dyDescent="0.3">
      <c r="H1074" s="52" t="s">
        <v>50</v>
      </c>
      <c r="I1074" s="53" t="s">
        <v>30</v>
      </c>
      <c r="J1074" s="34" t="s">
        <v>438</v>
      </c>
      <c r="K1074" s="54" t="s">
        <v>0</v>
      </c>
      <c r="L1074" s="53"/>
      <c r="M1074" s="53"/>
      <c r="N1074" s="55"/>
      <c r="O1074" s="53">
        <v>3</v>
      </c>
      <c r="P1074" s="33">
        <f>IF(Tabela1[[#This Row],[Status]]="✔️",Tabela1[[#This Row],[Peso]],IF(Tabela1[[#This Row],[Status]]="✔️✔️",Tabela1[[#This Row],[Peso]]/2,0))</f>
        <v>3</v>
      </c>
      <c r="Q107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74" s="53" t="s">
        <v>187</v>
      </c>
      <c r="S1074" s="56" t="s">
        <v>132</v>
      </c>
    </row>
    <row r="1075" spans="8:19" ht="41.4" x14ac:dyDescent="0.3">
      <c r="H1075" s="32" t="s">
        <v>50</v>
      </c>
      <c r="I1075" s="33" t="s">
        <v>10</v>
      </c>
      <c r="J1075" s="34" t="s">
        <v>11</v>
      </c>
      <c r="K1075" s="35" t="s">
        <v>0</v>
      </c>
      <c r="L1075" s="33"/>
      <c r="M1075" s="33"/>
      <c r="N1075" s="36"/>
      <c r="O1075" s="33">
        <v>3</v>
      </c>
      <c r="P1075" s="33">
        <f>IF(Tabela1[[#This Row],[Status]]="✔️",Tabela1[[#This Row],[Peso]],IF(Tabela1[[#This Row],[Status]]="✔️✔️",Tabela1[[#This Row],[Peso]]/2,0))</f>
        <v>3</v>
      </c>
      <c r="Q107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75" s="33" t="s">
        <v>187</v>
      </c>
      <c r="S1075" s="37" t="s">
        <v>132</v>
      </c>
    </row>
    <row r="1076" spans="8:19" ht="41.4" x14ac:dyDescent="0.3">
      <c r="H1076" s="32" t="s">
        <v>50</v>
      </c>
      <c r="I1076" s="33" t="s">
        <v>10</v>
      </c>
      <c r="J1076" s="34" t="s">
        <v>439</v>
      </c>
      <c r="K1076" s="35" t="s">
        <v>0</v>
      </c>
      <c r="L1076" s="33"/>
      <c r="M1076" s="33"/>
      <c r="N1076" s="36"/>
      <c r="O1076" s="33">
        <v>3</v>
      </c>
      <c r="P1076" s="33">
        <f>IF(Tabela1[[#This Row],[Status]]="✔️",Tabela1[[#This Row],[Peso]],IF(Tabela1[[#This Row],[Status]]="✔️✔️",Tabela1[[#This Row],[Peso]]/2,0))</f>
        <v>3</v>
      </c>
      <c r="Q107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76" s="33" t="s">
        <v>187</v>
      </c>
      <c r="S1076" s="37" t="s">
        <v>132</v>
      </c>
    </row>
    <row r="1077" spans="8:19" ht="41.4" x14ac:dyDescent="0.3">
      <c r="H1077" s="32" t="s">
        <v>50</v>
      </c>
      <c r="I1077" s="33" t="s">
        <v>10</v>
      </c>
      <c r="J1077" s="34" t="s">
        <v>440</v>
      </c>
      <c r="K1077" s="35" t="s">
        <v>0</v>
      </c>
      <c r="L1077" s="33"/>
      <c r="M1077" s="33"/>
      <c r="N1077" s="36"/>
      <c r="O1077" s="33">
        <v>3</v>
      </c>
      <c r="P1077" s="33">
        <f>IF(Tabela1[[#This Row],[Status]]="✔️",Tabela1[[#This Row],[Peso]],IF(Tabela1[[#This Row],[Status]]="✔️✔️",Tabela1[[#This Row],[Peso]]/2,0))</f>
        <v>3</v>
      </c>
      <c r="Q107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77" s="33" t="s">
        <v>187</v>
      </c>
      <c r="S1077" s="37" t="s">
        <v>132</v>
      </c>
    </row>
    <row r="1078" spans="8:19" ht="41.4" x14ac:dyDescent="0.3">
      <c r="H1078" s="32" t="s">
        <v>50</v>
      </c>
      <c r="I1078" s="33" t="s">
        <v>12</v>
      </c>
      <c r="J1078" s="34" t="s">
        <v>13</v>
      </c>
      <c r="K1078" s="35" t="s">
        <v>290</v>
      </c>
      <c r="L1078" s="33" t="s">
        <v>209</v>
      </c>
      <c r="M1078" s="33">
        <v>5178</v>
      </c>
      <c r="N1078" s="36"/>
      <c r="O1078" s="33">
        <v>2</v>
      </c>
      <c r="P1078" s="33">
        <f>IF(Tabela1[[#This Row],[Status]]="✔️",Tabela1[[#This Row],[Peso]],IF(Tabela1[[#This Row],[Status]]="✔️✔️",Tabela1[[#This Row],[Peso]]/2,0))</f>
        <v>0</v>
      </c>
      <c r="Q1078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078" s="33" t="s">
        <v>187</v>
      </c>
      <c r="S1078" s="37" t="s">
        <v>132</v>
      </c>
    </row>
    <row r="1079" spans="8:19" ht="41.4" x14ac:dyDescent="0.3">
      <c r="H1079" s="32" t="s">
        <v>50</v>
      </c>
      <c r="I1079" s="33" t="s">
        <v>14</v>
      </c>
      <c r="J1079" s="34" t="s">
        <v>15</v>
      </c>
      <c r="K1079" s="35" t="s">
        <v>290</v>
      </c>
      <c r="L1079" s="33" t="s">
        <v>208</v>
      </c>
      <c r="M1079" s="33">
        <v>6238</v>
      </c>
      <c r="N1079" s="36"/>
      <c r="O1079" s="33">
        <v>3</v>
      </c>
      <c r="P1079" s="33">
        <f>IF(Tabela1[[#This Row],[Status]]="✔️",Tabela1[[#This Row],[Peso]],IF(Tabela1[[#This Row],[Status]]="✔️✔️",Tabela1[[#This Row],[Peso]]/2,0))</f>
        <v>0</v>
      </c>
      <c r="Q107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79" s="33" t="s">
        <v>187</v>
      </c>
      <c r="S1079" s="37" t="s">
        <v>132</v>
      </c>
    </row>
    <row r="1080" spans="8:19" ht="41.4" x14ac:dyDescent="0.3">
      <c r="H1080" s="32" t="s">
        <v>50</v>
      </c>
      <c r="I1080" s="33" t="s">
        <v>14</v>
      </c>
      <c r="J1080" s="34" t="s">
        <v>16</v>
      </c>
      <c r="K1080" s="35" t="s">
        <v>0</v>
      </c>
      <c r="L1080" s="33"/>
      <c r="M1080" s="33"/>
      <c r="N1080" s="36"/>
      <c r="O1080" s="33">
        <v>1</v>
      </c>
      <c r="P1080" s="33">
        <f>IF(Tabela1[[#This Row],[Status]]="✔️",Tabela1[[#This Row],[Peso]],IF(Tabela1[[#This Row],[Status]]="✔️✔️",Tabela1[[#This Row],[Peso]]/2,0))</f>
        <v>1</v>
      </c>
      <c r="Q108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080" s="33" t="s">
        <v>187</v>
      </c>
      <c r="S1080" s="37" t="s">
        <v>132</v>
      </c>
    </row>
    <row r="1081" spans="8:19" ht="41.4" x14ac:dyDescent="0.3">
      <c r="H1081" s="32" t="s">
        <v>50</v>
      </c>
      <c r="I1081" s="33" t="s">
        <v>17</v>
      </c>
      <c r="J1081" s="34" t="s">
        <v>18</v>
      </c>
      <c r="K1081" s="35" t="s">
        <v>0</v>
      </c>
      <c r="L1081" s="33"/>
      <c r="M1081" s="33"/>
      <c r="N1081" s="36"/>
      <c r="O1081" s="33">
        <v>3</v>
      </c>
      <c r="P1081" s="33">
        <f>IF(Tabela1[[#This Row],[Status]]="✔️",Tabela1[[#This Row],[Peso]],IF(Tabela1[[#This Row],[Status]]="✔️✔️",Tabela1[[#This Row],[Peso]]/2,0))</f>
        <v>3</v>
      </c>
      <c r="Q108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81" s="33" t="s">
        <v>187</v>
      </c>
      <c r="S1081" s="37" t="s">
        <v>132</v>
      </c>
    </row>
    <row r="1082" spans="8:19" ht="41.4" x14ac:dyDescent="0.3">
      <c r="H1082" s="32" t="s">
        <v>50</v>
      </c>
      <c r="I1082" s="33" t="s">
        <v>17</v>
      </c>
      <c r="J1082" s="34" t="s">
        <v>19</v>
      </c>
      <c r="K1082" s="35" t="s">
        <v>0</v>
      </c>
      <c r="L1082" s="33"/>
      <c r="M1082" s="33"/>
      <c r="N1082" s="36"/>
      <c r="O1082" s="33">
        <v>3</v>
      </c>
      <c r="P1082" s="33">
        <f>IF(Tabela1[[#This Row],[Status]]="✔️",Tabela1[[#This Row],[Peso]],IF(Tabela1[[#This Row],[Status]]="✔️✔️",Tabela1[[#This Row],[Peso]]/2,0))</f>
        <v>3</v>
      </c>
      <c r="Q108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82" s="33" t="s">
        <v>187</v>
      </c>
      <c r="S1082" s="37" t="s">
        <v>132</v>
      </c>
    </row>
    <row r="1083" spans="8:19" ht="41.4" x14ac:dyDescent="0.3">
      <c r="H1083" s="32" t="s">
        <v>50</v>
      </c>
      <c r="I1083" s="33" t="s">
        <v>20</v>
      </c>
      <c r="J1083" s="34" t="s">
        <v>21</v>
      </c>
      <c r="K1083" s="35" t="s">
        <v>0</v>
      </c>
      <c r="L1083" s="33" t="s">
        <v>207</v>
      </c>
      <c r="M1083" s="33"/>
      <c r="N1083" s="36"/>
      <c r="O1083" s="33">
        <v>3</v>
      </c>
      <c r="P1083" s="33">
        <f>IF(Tabela1[[#This Row],[Status]]="✔️",Tabela1[[#This Row],[Peso]],IF(Tabela1[[#This Row],[Status]]="✔️✔️",Tabela1[[#This Row],[Peso]]/2,0))</f>
        <v>3</v>
      </c>
      <c r="Q108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83" s="33" t="s">
        <v>187</v>
      </c>
      <c r="S1083" s="37" t="s">
        <v>132</v>
      </c>
    </row>
    <row r="1084" spans="8:19" ht="41.4" x14ac:dyDescent="0.3">
      <c r="H1084" s="32" t="s">
        <v>50</v>
      </c>
      <c r="I1084" s="33" t="s">
        <v>20</v>
      </c>
      <c r="J1084" s="34" t="s">
        <v>441</v>
      </c>
      <c r="K1084" s="35" t="s">
        <v>290</v>
      </c>
      <c r="L1084" s="33" t="s">
        <v>174</v>
      </c>
      <c r="M1084" s="33">
        <v>9524</v>
      </c>
      <c r="N1084" s="36"/>
      <c r="O1084" s="33">
        <v>1</v>
      </c>
      <c r="P1084" s="33">
        <f>IF(Tabela1[[#This Row],[Status]]="✔️",Tabela1[[#This Row],[Peso]],IF(Tabela1[[#This Row],[Status]]="✔️✔️",Tabela1[[#This Row],[Peso]]/2,0))</f>
        <v>0</v>
      </c>
      <c r="Q108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084" s="33" t="s">
        <v>187</v>
      </c>
      <c r="S1084" s="37" t="s">
        <v>132</v>
      </c>
    </row>
    <row r="1085" spans="8:19" ht="41.4" x14ac:dyDescent="0.3">
      <c r="H1085" s="32" t="s">
        <v>50</v>
      </c>
      <c r="I1085" s="33" t="s">
        <v>25</v>
      </c>
      <c r="J1085" s="34" t="s">
        <v>28</v>
      </c>
      <c r="K1085" s="35" t="s">
        <v>290</v>
      </c>
      <c r="L1085" s="33" t="s">
        <v>206</v>
      </c>
      <c r="M1085" s="33">
        <v>3445</v>
      </c>
      <c r="N1085" s="36"/>
      <c r="O1085" s="33">
        <v>3</v>
      </c>
      <c r="P1085" s="33">
        <f>IF(Tabela1[[#This Row],[Status]]="✔️",Tabela1[[#This Row],[Peso]],IF(Tabela1[[#This Row],[Status]]="✔️✔️",Tabela1[[#This Row],[Peso]]/2,0))</f>
        <v>0</v>
      </c>
      <c r="Q108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85" s="33" t="s">
        <v>187</v>
      </c>
      <c r="S1085" s="37" t="s">
        <v>132</v>
      </c>
    </row>
    <row r="1086" spans="8:19" ht="41.4" x14ac:dyDescent="0.3">
      <c r="H1086" s="32" t="s">
        <v>50</v>
      </c>
      <c r="I1086" s="33" t="s">
        <v>25</v>
      </c>
      <c r="J1086" s="34" t="s">
        <v>29</v>
      </c>
      <c r="K1086" s="35" t="s">
        <v>0</v>
      </c>
      <c r="L1086" s="33"/>
      <c r="M1086" s="33"/>
      <c r="N1086" s="36"/>
      <c r="O1086" s="33">
        <v>3</v>
      </c>
      <c r="P1086" s="33">
        <f>IF(Tabela1[[#This Row],[Status]]="✔️",Tabela1[[#This Row],[Peso]],IF(Tabela1[[#This Row],[Status]]="✔️✔️",Tabela1[[#This Row],[Peso]]/2,0))</f>
        <v>3</v>
      </c>
      <c r="Q108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86" s="33" t="s">
        <v>187</v>
      </c>
      <c r="S1086" s="37" t="s">
        <v>132</v>
      </c>
    </row>
    <row r="1087" spans="8:19" ht="41.4" x14ac:dyDescent="0.3">
      <c r="H1087" s="32" t="s">
        <v>50</v>
      </c>
      <c r="I1087" s="33" t="s">
        <v>25</v>
      </c>
      <c r="J1087" s="34" t="s">
        <v>449</v>
      </c>
      <c r="K1087" s="35" t="s">
        <v>0</v>
      </c>
      <c r="L1087" s="33"/>
      <c r="M1087" s="33"/>
      <c r="N1087" s="36"/>
      <c r="O1087" s="33">
        <v>3</v>
      </c>
      <c r="P1087" s="33">
        <f>IF(Tabela1[[#This Row],[Status]]="✔️",Tabela1[[#This Row],[Peso]],IF(Tabela1[[#This Row],[Status]]="✔️✔️",Tabela1[[#This Row],[Peso]]/2,0))</f>
        <v>3</v>
      </c>
      <c r="Q108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87" s="33" t="s">
        <v>187</v>
      </c>
      <c r="S1087" s="37" t="s">
        <v>132</v>
      </c>
    </row>
    <row r="1088" spans="8:19" ht="41.4" x14ac:dyDescent="0.3">
      <c r="H1088" s="32" t="s">
        <v>50</v>
      </c>
      <c r="I1088" s="33" t="s">
        <v>41</v>
      </c>
      <c r="J1088" s="34" t="s">
        <v>442</v>
      </c>
      <c r="K1088" s="35" t="s">
        <v>290</v>
      </c>
      <c r="L1088" s="33" t="s">
        <v>47</v>
      </c>
      <c r="M1088" s="33">
        <v>9106</v>
      </c>
      <c r="N1088" s="36"/>
      <c r="O1088" s="33">
        <v>3</v>
      </c>
      <c r="P1088" s="33">
        <f>IF(Tabela1[[#This Row],[Status]]="✔️",Tabela1[[#This Row],[Peso]],IF(Tabela1[[#This Row],[Status]]="✔️✔️",Tabela1[[#This Row],[Peso]]/2,0))</f>
        <v>0</v>
      </c>
      <c r="Q108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88" s="33" t="s">
        <v>187</v>
      </c>
      <c r="S1088" s="37" t="s">
        <v>132</v>
      </c>
    </row>
    <row r="1089" spans="8:19" ht="41.4" x14ac:dyDescent="0.3">
      <c r="H1089" s="32" t="s">
        <v>50</v>
      </c>
      <c r="I1089" s="33" t="s">
        <v>41</v>
      </c>
      <c r="J1089" s="34" t="s">
        <v>443</v>
      </c>
      <c r="K1089" s="35" t="s">
        <v>290</v>
      </c>
      <c r="L1089" s="33" t="s">
        <v>47</v>
      </c>
      <c r="M1089" s="33">
        <v>9106</v>
      </c>
      <c r="N1089" s="36"/>
      <c r="O1089" s="33">
        <v>2</v>
      </c>
      <c r="P1089" s="33">
        <f>IF(Tabela1[[#This Row],[Status]]="✔️",Tabela1[[#This Row],[Peso]],IF(Tabela1[[#This Row],[Status]]="✔️✔️",Tabela1[[#This Row],[Peso]]/2,0))</f>
        <v>0</v>
      </c>
      <c r="Q108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089" s="33" t="s">
        <v>187</v>
      </c>
      <c r="S1089" s="37" t="s">
        <v>132</v>
      </c>
    </row>
    <row r="1090" spans="8:19" ht="41.4" x14ac:dyDescent="0.3">
      <c r="H1090" s="52" t="s">
        <v>50</v>
      </c>
      <c r="I1090" s="53" t="s">
        <v>10</v>
      </c>
      <c r="J1090" s="34" t="s">
        <v>444</v>
      </c>
      <c r="K1090" s="54" t="s">
        <v>290</v>
      </c>
      <c r="L1090" s="53" t="s">
        <v>210</v>
      </c>
      <c r="M1090" s="53">
        <v>8967</v>
      </c>
      <c r="N1090" s="55"/>
      <c r="O1090" s="53">
        <v>3</v>
      </c>
      <c r="P1090" s="33">
        <f>IF(Tabela1[[#This Row],[Status]]="✔️",Tabela1[[#This Row],[Peso]],IF(Tabela1[[#This Row],[Status]]="✔️✔️",Tabela1[[#This Row],[Peso]]/2,0))</f>
        <v>0</v>
      </c>
      <c r="Q109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90" s="53" t="s">
        <v>187</v>
      </c>
      <c r="S1090" s="56" t="s">
        <v>132</v>
      </c>
    </row>
    <row r="1091" spans="8:19" ht="27.6" x14ac:dyDescent="0.3">
      <c r="H1091" s="32" t="s">
        <v>50</v>
      </c>
      <c r="I1091" s="33" t="s">
        <v>14</v>
      </c>
      <c r="J1091" s="34" t="s">
        <v>15</v>
      </c>
      <c r="K1091" s="35" t="s">
        <v>290</v>
      </c>
      <c r="L1091" s="33" t="s">
        <v>347</v>
      </c>
      <c r="M1091" s="33"/>
      <c r="N1091" s="36"/>
      <c r="O1091" s="33">
        <v>3</v>
      </c>
      <c r="P1091" s="33">
        <f>IF(Tabela1[[#This Row],[Status]]="✔️",Tabela1[[#This Row],[Peso]],IF(Tabela1[[#This Row],[Status]]="✔️✔️",Tabela1[[#This Row],[Peso]]/2,0))</f>
        <v>0</v>
      </c>
      <c r="Q109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91" s="33" t="s">
        <v>264</v>
      </c>
      <c r="S1091" s="37" t="s">
        <v>263</v>
      </c>
    </row>
    <row r="1092" spans="8:19" ht="27.6" x14ac:dyDescent="0.3">
      <c r="H1092" s="32" t="s">
        <v>50</v>
      </c>
      <c r="I1092" s="33" t="s">
        <v>14</v>
      </c>
      <c r="J1092" s="34" t="s">
        <v>16</v>
      </c>
      <c r="K1092" s="35" t="s">
        <v>290</v>
      </c>
      <c r="L1092" s="33" t="s">
        <v>347</v>
      </c>
      <c r="M1092" s="33"/>
      <c r="N1092" s="36"/>
      <c r="O1092" s="33">
        <v>1</v>
      </c>
      <c r="P1092" s="33">
        <f>IF(Tabela1[[#This Row],[Status]]="✔️",Tabela1[[#This Row],[Peso]],IF(Tabela1[[#This Row],[Status]]="✔️✔️",Tabela1[[#This Row],[Peso]]/2,0))</f>
        <v>0</v>
      </c>
      <c r="Q109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092" s="33" t="s">
        <v>264</v>
      </c>
      <c r="S1092" s="37" t="s">
        <v>263</v>
      </c>
    </row>
    <row r="1093" spans="8:19" ht="27.6" x14ac:dyDescent="0.3">
      <c r="H1093" s="32" t="s">
        <v>50</v>
      </c>
      <c r="I1093" s="33" t="s">
        <v>10</v>
      </c>
      <c r="J1093" s="34" t="s">
        <v>11</v>
      </c>
      <c r="K1093" s="35" t="s">
        <v>290</v>
      </c>
      <c r="L1093" s="33" t="s">
        <v>348</v>
      </c>
      <c r="M1093" s="33"/>
      <c r="N1093" s="36"/>
      <c r="O1093" s="33">
        <v>3</v>
      </c>
      <c r="P1093" s="33">
        <f>IF(Tabela1[[#This Row],[Status]]="✔️",Tabela1[[#This Row],[Peso]],IF(Tabela1[[#This Row],[Status]]="✔️✔️",Tabela1[[#This Row],[Peso]]/2,0))</f>
        <v>0</v>
      </c>
      <c r="Q109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93" s="33" t="s">
        <v>264</v>
      </c>
      <c r="S1093" s="37" t="s">
        <v>263</v>
      </c>
    </row>
    <row r="1094" spans="8:19" ht="27.6" x14ac:dyDescent="0.3">
      <c r="H1094" s="32" t="s">
        <v>50</v>
      </c>
      <c r="I1094" s="33" t="s">
        <v>10</v>
      </c>
      <c r="J1094" s="34" t="s">
        <v>316</v>
      </c>
      <c r="K1094" s="35" t="s">
        <v>290</v>
      </c>
      <c r="L1094" s="33"/>
      <c r="M1094" s="33"/>
      <c r="N1094" s="36"/>
      <c r="O1094" s="33">
        <v>3</v>
      </c>
      <c r="P1094" s="33">
        <f>IF(Tabela1[[#This Row],[Status]]="✔️",Tabela1[[#This Row],[Peso]],IF(Tabela1[[#This Row],[Status]]="✔️✔️",Tabela1[[#This Row],[Peso]]/2,0))</f>
        <v>0</v>
      </c>
      <c r="Q109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94" s="33" t="s">
        <v>264</v>
      </c>
      <c r="S1094" s="37" t="s">
        <v>263</v>
      </c>
    </row>
    <row r="1095" spans="8:19" ht="27.6" x14ac:dyDescent="0.3">
      <c r="H1095" s="32" t="s">
        <v>50</v>
      </c>
      <c r="I1095" s="33" t="s">
        <v>10</v>
      </c>
      <c r="J1095" s="34" t="s">
        <v>450</v>
      </c>
      <c r="K1095" s="35" t="s">
        <v>290</v>
      </c>
      <c r="L1095" s="33"/>
      <c r="M1095" s="33"/>
      <c r="N1095" s="36"/>
      <c r="O1095" s="33">
        <v>3</v>
      </c>
      <c r="P1095" s="33">
        <f>IF(Tabela1[[#This Row],[Status]]="✔️",Tabela1[[#This Row],[Peso]],IF(Tabela1[[#This Row],[Status]]="✔️✔️",Tabela1[[#This Row],[Peso]]/2,0))</f>
        <v>0</v>
      </c>
      <c r="Q109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95" s="33" t="s">
        <v>264</v>
      </c>
      <c r="S1095" s="37" t="s">
        <v>263</v>
      </c>
    </row>
    <row r="1096" spans="8:19" ht="27.6" x14ac:dyDescent="0.3">
      <c r="H1096" s="32" t="s">
        <v>50</v>
      </c>
      <c r="I1096" s="33" t="s">
        <v>10</v>
      </c>
      <c r="J1096" s="34" t="s">
        <v>451</v>
      </c>
      <c r="K1096" s="35" t="s">
        <v>1</v>
      </c>
      <c r="L1096" s="33"/>
      <c r="M1096" s="33"/>
      <c r="N1096" s="36"/>
      <c r="O1096" s="33">
        <v>3</v>
      </c>
      <c r="P1096" s="33">
        <f>IF(Tabela1[[#This Row],[Status]]="✔️",Tabela1[[#This Row],[Peso]],IF(Tabela1[[#This Row],[Status]]="✔️✔️",Tabela1[[#This Row],[Peso]]/2,0))</f>
        <v>0</v>
      </c>
      <c r="Q109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096" s="33" t="s">
        <v>264</v>
      </c>
      <c r="S1096" s="37" t="s">
        <v>263</v>
      </c>
    </row>
    <row r="1097" spans="8:19" ht="27.6" x14ac:dyDescent="0.3">
      <c r="H1097" s="32" t="s">
        <v>50</v>
      </c>
      <c r="I1097" s="33" t="s">
        <v>12</v>
      </c>
      <c r="J1097" s="34" t="s">
        <v>13</v>
      </c>
      <c r="K1097" s="35" t="s">
        <v>290</v>
      </c>
      <c r="L1097" s="33"/>
      <c r="M1097" s="33"/>
      <c r="N1097" s="36"/>
      <c r="O1097" s="33">
        <v>2</v>
      </c>
      <c r="P1097" s="33">
        <f>IF(Tabela1[[#This Row],[Status]]="✔️",Tabela1[[#This Row],[Peso]],IF(Tabela1[[#This Row],[Status]]="✔️✔️",Tabela1[[#This Row],[Peso]]/2,0))</f>
        <v>0</v>
      </c>
      <c r="Q109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097" s="33" t="s">
        <v>264</v>
      </c>
      <c r="S1097" s="37" t="s">
        <v>263</v>
      </c>
    </row>
    <row r="1098" spans="8:19" ht="27.6" x14ac:dyDescent="0.3">
      <c r="H1098" s="32" t="s">
        <v>50</v>
      </c>
      <c r="I1098" s="33" t="s">
        <v>17</v>
      </c>
      <c r="J1098" s="34" t="s">
        <v>18</v>
      </c>
      <c r="K1098" s="35" t="s">
        <v>0</v>
      </c>
      <c r="L1098" s="33"/>
      <c r="M1098" s="33"/>
      <c r="N1098" s="36"/>
      <c r="O1098" s="33">
        <v>3</v>
      </c>
      <c r="P1098" s="33">
        <f>IF(Tabela1[[#This Row],[Status]]="✔️",Tabela1[[#This Row],[Peso]],IF(Tabela1[[#This Row],[Status]]="✔️✔️",Tabela1[[#This Row],[Peso]]/2,0))</f>
        <v>3</v>
      </c>
      <c r="Q109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98" s="33" t="s">
        <v>264</v>
      </c>
      <c r="S1098" s="37" t="s">
        <v>263</v>
      </c>
    </row>
    <row r="1099" spans="8:19" ht="27.6" x14ac:dyDescent="0.3">
      <c r="H1099" s="32" t="s">
        <v>50</v>
      </c>
      <c r="I1099" s="33" t="s">
        <v>17</v>
      </c>
      <c r="J1099" s="34" t="s">
        <v>19</v>
      </c>
      <c r="K1099" s="35" t="s">
        <v>0</v>
      </c>
      <c r="L1099" s="33"/>
      <c r="M1099" s="33"/>
      <c r="N1099" s="36"/>
      <c r="O1099" s="33">
        <v>1</v>
      </c>
      <c r="P1099" s="33">
        <f>IF(Tabela1[[#This Row],[Status]]="✔️",Tabela1[[#This Row],[Peso]],IF(Tabela1[[#This Row],[Status]]="✔️✔️",Tabela1[[#This Row],[Peso]]/2,0))</f>
        <v>1</v>
      </c>
      <c r="Q109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099" s="33" t="s">
        <v>264</v>
      </c>
      <c r="S1099" s="37" t="s">
        <v>263</v>
      </c>
    </row>
    <row r="1100" spans="8:19" ht="27.6" x14ac:dyDescent="0.3">
      <c r="H1100" s="32" t="s">
        <v>50</v>
      </c>
      <c r="I1100" s="33" t="s">
        <v>20</v>
      </c>
      <c r="J1100" s="34" t="s">
        <v>21</v>
      </c>
      <c r="K1100" s="35" t="s">
        <v>1</v>
      </c>
      <c r="L1100" s="33"/>
      <c r="M1100" s="33"/>
      <c r="N1100" s="36"/>
      <c r="O1100" s="33">
        <v>3</v>
      </c>
      <c r="P1100" s="33">
        <f>IF(Tabela1[[#This Row],[Status]]="✔️",Tabela1[[#This Row],[Peso]],IF(Tabela1[[#This Row],[Status]]="✔️✔️",Tabela1[[#This Row],[Peso]]/2,0))</f>
        <v>0</v>
      </c>
      <c r="Q110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00" s="33" t="s">
        <v>264</v>
      </c>
      <c r="S1100" s="37" t="s">
        <v>263</v>
      </c>
    </row>
    <row r="1101" spans="8:19" ht="27.6" x14ac:dyDescent="0.3">
      <c r="H1101" s="32" t="s">
        <v>50</v>
      </c>
      <c r="I1101" s="33" t="s">
        <v>20</v>
      </c>
      <c r="J1101" s="34" t="s">
        <v>452</v>
      </c>
      <c r="K1101" s="35" t="s">
        <v>1</v>
      </c>
      <c r="L1101" s="33"/>
      <c r="M1101" s="33"/>
      <c r="N1101" s="36"/>
      <c r="O1101" s="33">
        <v>1</v>
      </c>
      <c r="P1101" s="33">
        <f>IF(Tabela1[[#This Row],[Status]]="✔️",Tabela1[[#This Row],[Peso]],IF(Tabela1[[#This Row],[Status]]="✔️✔️",Tabela1[[#This Row],[Peso]]/2,0))</f>
        <v>0</v>
      </c>
      <c r="Q110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01" s="33" t="s">
        <v>264</v>
      </c>
      <c r="S1101" s="37" t="s">
        <v>263</v>
      </c>
    </row>
    <row r="1102" spans="8:19" ht="27.6" x14ac:dyDescent="0.3">
      <c r="H1102" s="32" t="s">
        <v>50</v>
      </c>
      <c r="I1102" s="33" t="s">
        <v>22</v>
      </c>
      <c r="J1102" s="34" t="s">
        <v>23</v>
      </c>
      <c r="K1102" s="35" t="s">
        <v>0</v>
      </c>
      <c r="L1102" s="33" t="s">
        <v>345</v>
      </c>
      <c r="M1102" s="33"/>
      <c r="N1102" s="36"/>
      <c r="O1102" s="33">
        <v>1</v>
      </c>
      <c r="P1102" s="33">
        <f>IF(Tabela1[[#This Row],[Status]]="✔️",Tabela1[[#This Row],[Peso]],IF(Tabela1[[#This Row],[Status]]="✔️✔️",Tabela1[[#This Row],[Peso]]/2,0))</f>
        <v>1</v>
      </c>
      <c r="Q110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102" s="33" t="s">
        <v>264</v>
      </c>
      <c r="S1102" s="37" t="s">
        <v>263</v>
      </c>
    </row>
    <row r="1103" spans="8:19" ht="27.6" x14ac:dyDescent="0.3">
      <c r="H1103" s="32" t="s">
        <v>50</v>
      </c>
      <c r="I1103" s="33" t="s">
        <v>22</v>
      </c>
      <c r="J1103" s="34" t="s">
        <v>453</v>
      </c>
      <c r="K1103" s="35" t="s">
        <v>1</v>
      </c>
      <c r="L1103" s="33"/>
      <c r="M1103" s="33"/>
      <c r="N1103" s="36"/>
      <c r="O1103" s="33">
        <v>1</v>
      </c>
      <c r="P1103" s="33">
        <f>IF(Tabela1[[#This Row],[Status]]="✔️",Tabela1[[#This Row],[Peso]],IF(Tabela1[[#This Row],[Status]]="✔️✔️",Tabela1[[#This Row],[Peso]]/2,0))</f>
        <v>0</v>
      </c>
      <c r="Q110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03" s="33" t="s">
        <v>264</v>
      </c>
      <c r="S1103" s="37" t="s">
        <v>263</v>
      </c>
    </row>
    <row r="1104" spans="8:19" ht="27.6" x14ac:dyDescent="0.3">
      <c r="H1104" s="32" t="s">
        <v>50</v>
      </c>
      <c r="I1104" s="33" t="s">
        <v>25</v>
      </c>
      <c r="J1104" s="34" t="s">
        <v>454</v>
      </c>
      <c r="K1104" s="35" t="s">
        <v>290</v>
      </c>
      <c r="L1104" s="33"/>
      <c r="M1104" s="33"/>
      <c r="N1104" s="36"/>
      <c r="O1104" s="33">
        <v>3</v>
      </c>
      <c r="P1104" s="33">
        <f>IF(Tabela1[[#This Row],[Status]]="✔️",Tabela1[[#This Row],[Peso]],IF(Tabela1[[#This Row],[Status]]="✔️✔️",Tabela1[[#This Row],[Peso]]/2,0))</f>
        <v>0</v>
      </c>
      <c r="Q110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04" s="33" t="s">
        <v>264</v>
      </c>
      <c r="S1104" s="37" t="s">
        <v>263</v>
      </c>
    </row>
    <row r="1105" spans="8:19" ht="27.6" x14ac:dyDescent="0.3">
      <c r="H1105" s="32" t="s">
        <v>50</v>
      </c>
      <c r="I1105" s="33" t="s">
        <v>25</v>
      </c>
      <c r="J1105" s="34" t="s">
        <v>340</v>
      </c>
      <c r="K1105" s="35" t="s">
        <v>0</v>
      </c>
      <c r="L1105" s="33"/>
      <c r="M1105" s="33"/>
      <c r="N1105" s="36"/>
      <c r="O1105" s="33">
        <v>3</v>
      </c>
      <c r="P1105" s="33">
        <f>IF(Tabela1[[#This Row],[Status]]="✔️",Tabela1[[#This Row],[Peso]],IF(Tabela1[[#This Row],[Status]]="✔️✔️",Tabela1[[#This Row],[Peso]]/2,0))</f>
        <v>3</v>
      </c>
      <c r="Q110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05" s="33" t="s">
        <v>264</v>
      </c>
      <c r="S1105" s="37" t="s">
        <v>263</v>
      </c>
    </row>
    <row r="1106" spans="8:19" ht="27.6" x14ac:dyDescent="0.3">
      <c r="H1106" s="32" t="s">
        <v>50</v>
      </c>
      <c r="I1106" s="33" t="s">
        <v>30</v>
      </c>
      <c r="J1106" s="34" t="s">
        <v>455</v>
      </c>
      <c r="K1106" s="35" t="s">
        <v>290</v>
      </c>
      <c r="L1106" s="33"/>
      <c r="M1106" s="33"/>
      <c r="N1106" s="36"/>
      <c r="O1106" s="33">
        <v>3</v>
      </c>
      <c r="P1106" s="33">
        <f>IF(Tabela1[[#This Row],[Status]]="✔️",Tabela1[[#This Row],[Peso]],IF(Tabela1[[#This Row],[Status]]="✔️✔️",Tabela1[[#This Row],[Peso]]/2,0))</f>
        <v>0</v>
      </c>
      <c r="Q110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06" s="33" t="s">
        <v>264</v>
      </c>
      <c r="S1106" s="37" t="s">
        <v>263</v>
      </c>
    </row>
    <row r="1107" spans="8:19" ht="27.6" x14ac:dyDescent="0.3">
      <c r="H1107" s="32" t="s">
        <v>50</v>
      </c>
      <c r="I1107" s="33" t="s">
        <v>25</v>
      </c>
      <c r="J1107" s="34" t="s">
        <v>456</v>
      </c>
      <c r="K1107" s="35" t="s">
        <v>0</v>
      </c>
      <c r="L1107" s="33"/>
      <c r="M1107" s="33"/>
      <c r="N1107" s="36"/>
      <c r="O1107" s="33">
        <v>3</v>
      </c>
      <c r="P1107" s="33">
        <f>IF(Tabela1[[#This Row],[Status]]="✔️",Tabela1[[#This Row],[Peso]],IF(Tabela1[[#This Row],[Status]]="✔️✔️",Tabela1[[#This Row],[Peso]]/2,0))</f>
        <v>3</v>
      </c>
      <c r="Q110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07" s="33" t="s">
        <v>264</v>
      </c>
      <c r="S1107" s="37" t="s">
        <v>263</v>
      </c>
    </row>
    <row r="1108" spans="8:19" ht="41.4" x14ac:dyDescent="0.3">
      <c r="H1108" s="52" t="s">
        <v>50</v>
      </c>
      <c r="I1108" s="53" t="s">
        <v>41</v>
      </c>
      <c r="J1108" s="34" t="s">
        <v>457</v>
      </c>
      <c r="K1108" s="54" t="s">
        <v>1</v>
      </c>
      <c r="L1108" s="53"/>
      <c r="M1108" s="53"/>
      <c r="N1108" s="55"/>
      <c r="O1108" s="53">
        <v>3</v>
      </c>
      <c r="P1108" s="33">
        <f>IF(Tabela1[[#This Row],[Status]]="✔️",Tabela1[[#This Row],[Peso]],IF(Tabela1[[#This Row],[Status]]="✔️✔️",Tabela1[[#This Row],[Peso]]/2,0))</f>
        <v>0</v>
      </c>
      <c r="Q110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08" s="53" t="s">
        <v>264</v>
      </c>
      <c r="S1108" s="56" t="s">
        <v>263</v>
      </c>
    </row>
    <row r="1109" spans="8:19" ht="41.4" x14ac:dyDescent="0.3">
      <c r="H1109" s="32" t="s">
        <v>50</v>
      </c>
      <c r="I1109" s="33" t="s">
        <v>41</v>
      </c>
      <c r="J1109" s="34" t="s">
        <v>458</v>
      </c>
      <c r="K1109" s="35" t="s">
        <v>1</v>
      </c>
      <c r="L1109" s="33"/>
      <c r="M1109" s="33"/>
      <c r="N1109" s="36"/>
      <c r="O1109" s="33">
        <v>2</v>
      </c>
      <c r="P1109" s="33">
        <f>IF(Tabela1[[#This Row],[Status]]="✔️",Tabela1[[#This Row],[Peso]],IF(Tabela1[[#This Row],[Status]]="✔️✔️",Tabela1[[#This Row],[Peso]]/2,0))</f>
        <v>0</v>
      </c>
      <c r="Q110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09" s="33" t="s">
        <v>264</v>
      </c>
      <c r="S1109" s="37" t="s">
        <v>263</v>
      </c>
    </row>
    <row r="1110" spans="8:19" ht="27.6" x14ac:dyDescent="0.3">
      <c r="H1110" s="32" t="s">
        <v>237</v>
      </c>
      <c r="I1110" s="33" t="s">
        <v>30</v>
      </c>
      <c r="J1110" s="34" t="s">
        <v>438</v>
      </c>
      <c r="K1110" s="35" t="s">
        <v>0</v>
      </c>
      <c r="L1110" s="33"/>
      <c r="M1110" s="33"/>
      <c r="N1110" s="36"/>
      <c r="O1110" s="33">
        <v>3</v>
      </c>
      <c r="P1110" s="33">
        <f>IF(Tabela1[[#This Row],[Status]]="✔️",Tabela1[[#This Row],[Peso]],IF(Tabela1[[#This Row],[Status]]="✔️✔️",Tabela1[[#This Row],[Peso]]/2,0))</f>
        <v>3</v>
      </c>
      <c r="Q111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10" s="33" t="s">
        <v>130</v>
      </c>
      <c r="S1110" s="37" t="s">
        <v>128</v>
      </c>
    </row>
    <row r="1111" spans="8:19" ht="27.6" x14ac:dyDescent="0.3">
      <c r="H1111" s="32" t="s">
        <v>237</v>
      </c>
      <c r="I1111" s="33" t="s">
        <v>10</v>
      </c>
      <c r="J1111" s="34" t="s">
        <v>444</v>
      </c>
      <c r="K1111" s="35" t="s">
        <v>0</v>
      </c>
      <c r="L1111" s="33"/>
      <c r="M1111" s="33"/>
      <c r="N1111" s="36"/>
      <c r="O1111" s="33">
        <v>3</v>
      </c>
      <c r="P1111" s="33">
        <f>IF(Tabela1[[#This Row],[Status]]="✔️",Tabela1[[#This Row],[Peso]],IF(Tabela1[[#This Row],[Status]]="✔️✔️",Tabela1[[#This Row],[Peso]]/2,0))</f>
        <v>3</v>
      </c>
      <c r="Q111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11" s="33" t="s">
        <v>130</v>
      </c>
      <c r="S1111" s="37" t="s">
        <v>128</v>
      </c>
    </row>
    <row r="1112" spans="8:19" ht="27.6" x14ac:dyDescent="0.3">
      <c r="H1112" s="32" t="s">
        <v>237</v>
      </c>
      <c r="I1112" s="33" t="s">
        <v>10</v>
      </c>
      <c r="J1112" s="47" t="s">
        <v>11</v>
      </c>
      <c r="K1112" s="35" t="s">
        <v>0</v>
      </c>
      <c r="L1112" s="33"/>
      <c r="M1112" s="33"/>
      <c r="N1112" s="36"/>
      <c r="O1112" s="33">
        <v>3</v>
      </c>
      <c r="P1112" s="33">
        <f>IF(Tabela1[[#This Row],[Status]]="✔️",Tabela1[[#This Row],[Peso]],IF(Tabela1[[#This Row],[Status]]="✔️✔️",Tabela1[[#This Row],[Peso]]/2,0))</f>
        <v>3</v>
      </c>
      <c r="Q111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12" s="33" t="s">
        <v>130</v>
      </c>
      <c r="S1112" s="37" t="s">
        <v>128</v>
      </c>
    </row>
    <row r="1113" spans="8:19" ht="27.6" x14ac:dyDescent="0.3">
      <c r="H1113" s="32" t="s">
        <v>237</v>
      </c>
      <c r="I1113" s="33" t="s">
        <v>10</v>
      </c>
      <c r="J1113" s="34" t="s">
        <v>439</v>
      </c>
      <c r="K1113" s="35" t="s">
        <v>0</v>
      </c>
      <c r="L1113" s="33"/>
      <c r="M1113" s="33"/>
      <c r="N1113" s="36"/>
      <c r="O1113" s="33">
        <v>3</v>
      </c>
      <c r="P1113" s="33">
        <f>IF(Tabela1[[#This Row],[Status]]="✔️",Tabela1[[#This Row],[Peso]],IF(Tabela1[[#This Row],[Status]]="✔️✔️",Tabela1[[#This Row],[Peso]]/2,0))</f>
        <v>3</v>
      </c>
      <c r="Q111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13" s="33" t="s">
        <v>130</v>
      </c>
      <c r="S1113" s="37" t="s">
        <v>128</v>
      </c>
    </row>
    <row r="1114" spans="8:19" ht="27.6" x14ac:dyDescent="0.3">
      <c r="H1114" s="32" t="s">
        <v>237</v>
      </c>
      <c r="I1114" s="33" t="s">
        <v>10</v>
      </c>
      <c r="J1114" s="34" t="s">
        <v>440</v>
      </c>
      <c r="K1114" s="35" t="s">
        <v>0</v>
      </c>
      <c r="L1114" s="33"/>
      <c r="M1114" s="33"/>
      <c r="N1114" s="36"/>
      <c r="O1114" s="33">
        <v>3</v>
      </c>
      <c r="P1114" s="33">
        <f>IF(Tabela1[[#This Row],[Status]]="✔️",Tabela1[[#This Row],[Peso]],IF(Tabela1[[#This Row],[Status]]="✔️✔️",Tabela1[[#This Row],[Peso]]/2,0))</f>
        <v>3</v>
      </c>
      <c r="Q111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14" s="33" t="s">
        <v>130</v>
      </c>
      <c r="S1114" s="37" t="s">
        <v>128</v>
      </c>
    </row>
    <row r="1115" spans="8:19" ht="27.6" x14ac:dyDescent="0.3">
      <c r="H1115" s="32" t="s">
        <v>237</v>
      </c>
      <c r="I1115" s="33" t="s">
        <v>12</v>
      </c>
      <c r="J1115" s="34" t="s">
        <v>13</v>
      </c>
      <c r="K1115" s="35" t="s">
        <v>0</v>
      </c>
      <c r="L1115" s="33"/>
      <c r="M1115" s="33"/>
      <c r="N1115" s="36"/>
      <c r="O1115" s="33">
        <v>2</v>
      </c>
      <c r="P1115" s="33">
        <f>IF(Tabela1[[#This Row],[Status]]="✔️",Tabela1[[#This Row],[Peso]],IF(Tabela1[[#This Row],[Status]]="✔️✔️",Tabela1[[#This Row],[Peso]]/2,0))</f>
        <v>2</v>
      </c>
      <c r="Q1115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115" s="33" t="s">
        <v>130</v>
      </c>
      <c r="S1115" s="37" t="s">
        <v>128</v>
      </c>
    </row>
    <row r="1116" spans="8:19" ht="27.6" x14ac:dyDescent="0.3">
      <c r="H1116" s="32" t="s">
        <v>237</v>
      </c>
      <c r="I1116" s="33" t="s">
        <v>14</v>
      </c>
      <c r="J1116" s="34" t="s">
        <v>15</v>
      </c>
      <c r="K1116" s="35" t="s">
        <v>290</v>
      </c>
      <c r="L1116" s="33" t="s">
        <v>294</v>
      </c>
      <c r="M1116" s="33">
        <v>5451</v>
      </c>
      <c r="N1116" s="36"/>
      <c r="O1116" s="33">
        <v>3</v>
      </c>
      <c r="P1116" s="33">
        <f>IF(Tabela1[[#This Row],[Status]]="✔️",Tabela1[[#This Row],[Peso]],IF(Tabela1[[#This Row],[Status]]="✔️✔️",Tabela1[[#This Row],[Peso]]/2,0))</f>
        <v>0</v>
      </c>
      <c r="Q111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16" s="33" t="s">
        <v>130</v>
      </c>
      <c r="S1116" s="37" t="s">
        <v>128</v>
      </c>
    </row>
    <row r="1117" spans="8:19" ht="27.6" x14ac:dyDescent="0.3">
      <c r="H1117" s="32" t="s">
        <v>237</v>
      </c>
      <c r="I1117" s="33" t="s">
        <v>14</v>
      </c>
      <c r="J1117" s="34" t="s">
        <v>16</v>
      </c>
      <c r="K1117" s="35" t="s">
        <v>0</v>
      </c>
      <c r="L1117" s="33"/>
      <c r="M1117" s="33"/>
      <c r="N1117" s="36"/>
      <c r="O1117" s="33">
        <v>1</v>
      </c>
      <c r="P1117" s="33">
        <f>IF(Tabela1[[#This Row],[Status]]="✔️",Tabela1[[#This Row],[Peso]],IF(Tabela1[[#This Row],[Status]]="✔️✔️",Tabela1[[#This Row],[Peso]]/2,0))</f>
        <v>1</v>
      </c>
      <c r="Q111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117" s="33" t="s">
        <v>130</v>
      </c>
      <c r="S1117" s="37" t="s">
        <v>128</v>
      </c>
    </row>
    <row r="1118" spans="8:19" ht="27.6" x14ac:dyDescent="0.3">
      <c r="H1118" s="32" t="s">
        <v>237</v>
      </c>
      <c r="I1118" s="33" t="s">
        <v>17</v>
      </c>
      <c r="J1118" s="34" t="s">
        <v>18</v>
      </c>
      <c r="K1118" s="35" t="s">
        <v>0</v>
      </c>
      <c r="L1118" s="33"/>
      <c r="M1118" s="33"/>
      <c r="N1118" s="36"/>
      <c r="O1118" s="33">
        <v>3</v>
      </c>
      <c r="P1118" s="33">
        <f>IF(Tabela1[[#This Row],[Status]]="✔️",Tabela1[[#This Row],[Peso]],IF(Tabela1[[#This Row],[Status]]="✔️✔️",Tabela1[[#This Row],[Peso]]/2,0))</f>
        <v>3</v>
      </c>
      <c r="Q111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18" s="33" t="s">
        <v>130</v>
      </c>
      <c r="S1118" s="37" t="s">
        <v>128</v>
      </c>
    </row>
    <row r="1119" spans="8:19" ht="27.6" x14ac:dyDescent="0.3">
      <c r="H1119" s="32" t="s">
        <v>237</v>
      </c>
      <c r="I1119" s="33" t="s">
        <v>17</v>
      </c>
      <c r="J1119" s="34" t="s">
        <v>19</v>
      </c>
      <c r="K1119" s="35" t="s">
        <v>0</v>
      </c>
      <c r="L1119" s="33"/>
      <c r="M1119" s="33"/>
      <c r="N1119" s="36"/>
      <c r="O1119" s="33">
        <v>3</v>
      </c>
      <c r="P1119" s="33">
        <f>IF(Tabela1[[#This Row],[Status]]="✔️",Tabela1[[#This Row],[Peso]],IF(Tabela1[[#This Row],[Status]]="✔️✔️",Tabela1[[#This Row],[Peso]]/2,0))</f>
        <v>3</v>
      </c>
      <c r="Q111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19" s="33" t="s">
        <v>130</v>
      </c>
      <c r="S1119" s="37" t="s">
        <v>128</v>
      </c>
    </row>
    <row r="1120" spans="8:19" ht="27.6" x14ac:dyDescent="0.3">
      <c r="H1120" s="32" t="s">
        <v>237</v>
      </c>
      <c r="I1120" s="33" t="s">
        <v>20</v>
      </c>
      <c r="J1120" s="34" t="s">
        <v>21</v>
      </c>
      <c r="K1120" s="35" t="s">
        <v>290</v>
      </c>
      <c r="L1120" s="33" t="s">
        <v>295</v>
      </c>
      <c r="M1120" s="33">
        <v>5451</v>
      </c>
      <c r="N1120" s="36"/>
      <c r="O1120" s="33">
        <v>3</v>
      </c>
      <c r="P1120" s="33">
        <f>IF(Tabela1[[#This Row],[Status]]="✔️",Tabela1[[#This Row],[Peso]],IF(Tabela1[[#This Row],[Status]]="✔️✔️",Tabela1[[#This Row],[Peso]]/2,0))</f>
        <v>0</v>
      </c>
      <c r="Q112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20" s="33" t="s">
        <v>130</v>
      </c>
      <c r="S1120" s="37" t="s">
        <v>128</v>
      </c>
    </row>
    <row r="1121" spans="8:19" ht="27.6" x14ac:dyDescent="0.3">
      <c r="H1121" s="32" t="s">
        <v>237</v>
      </c>
      <c r="I1121" s="33" t="s">
        <v>20</v>
      </c>
      <c r="J1121" s="34" t="s">
        <v>441</v>
      </c>
      <c r="K1121" s="35" t="s">
        <v>0</v>
      </c>
      <c r="L1121" s="33"/>
      <c r="M1121" s="33"/>
      <c r="N1121" s="36"/>
      <c r="O1121" s="33">
        <v>1</v>
      </c>
      <c r="P1121" s="33">
        <f>IF(Tabela1[[#This Row],[Status]]="✔️",Tabela1[[#This Row],[Peso]],IF(Tabela1[[#This Row],[Status]]="✔️✔️",Tabela1[[#This Row],[Peso]]/2,0))</f>
        <v>1</v>
      </c>
      <c r="Q112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121" s="33" t="s">
        <v>130</v>
      </c>
      <c r="S1121" s="37" t="s">
        <v>128</v>
      </c>
    </row>
    <row r="1122" spans="8:19" ht="27.6" x14ac:dyDescent="0.3">
      <c r="H1122" s="32" t="s">
        <v>237</v>
      </c>
      <c r="I1122" s="33" t="s">
        <v>25</v>
      </c>
      <c r="J1122" s="34" t="s">
        <v>28</v>
      </c>
      <c r="K1122" s="35" t="s">
        <v>0</v>
      </c>
      <c r="L1122" s="33"/>
      <c r="M1122" s="33"/>
      <c r="N1122" s="36"/>
      <c r="O1122" s="33">
        <v>3</v>
      </c>
      <c r="P1122" s="33">
        <f>IF(Tabela1[[#This Row],[Status]]="✔️",Tabela1[[#This Row],[Peso]],IF(Tabela1[[#This Row],[Status]]="✔️✔️",Tabela1[[#This Row],[Peso]]/2,0))</f>
        <v>3</v>
      </c>
      <c r="Q112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22" s="33" t="s">
        <v>130</v>
      </c>
      <c r="S1122" s="37" t="s">
        <v>128</v>
      </c>
    </row>
    <row r="1123" spans="8:19" ht="27.6" x14ac:dyDescent="0.3">
      <c r="H1123" s="52" t="s">
        <v>237</v>
      </c>
      <c r="I1123" s="53" t="s">
        <v>25</v>
      </c>
      <c r="J1123" s="34" t="s">
        <v>29</v>
      </c>
      <c r="K1123" s="54" t="s">
        <v>0</v>
      </c>
      <c r="L1123" s="53"/>
      <c r="M1123" s="53"/>
      <c r="N1123" s="55"/>
      <c r="O1123" s="53">
        <v>3</v>
      </c>
      <c r="P1123" s="33">
        <f>IF(Tabela1[[#This Row],[Status]]="✔️",Tabela1[[#This Row],[Peso]],IF(Tabela1[[#This Row],[Status]]="✔️✔️",Tabela1[[#This Row],[Peso]]/2,0))</f>
        <v>3</v>
      </c>
      <c r="Q112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23" s="53" t="s">
        <v>130</v>
      </c>
      <c r="S1123" s="56" t="s">
        <v>128</v>
      </c>
    </row>
    <row r="1124" spans="8:19" ht="27.6" x14ac:dyDescent="0.3">
      <c r="H1124" s="52" t="s">
        <v>237</v>
      </c>
      <c r="I1124" s="53" t="s">
        <v>25</v>
      </c>
      <c r="J1124" s="34" t="s">
        <v>449</v>
      </c>
      <c r="K1124" s="54" t="s">
        <v>0</v>
      </c>
      <c r="L1124" s="33"/>
      <c r="M1124" s="33"/>
      <c r="N1124" s="36"/>
      <c r="O1124" s="53">
        <v>3</v>
      </c>
      <c r="P1124" s="33">
        <f>IF(Tabela1[[#This Row],[Status]]="✔️",Tabela1[[#This Row],[Peso]],IF(Tabela1[[#This Row],[Status]]="✔️✔️",Tabela1[[#This Row],[Peso]]/2,0))</f>
        <v>3</v>
      </c>
      <c r="Q112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24" s="53" t="s">
        <v>130</v>
      </c>
      <c r="S1124" s="37" t="s">
        <v>128</v>
      </c>
    </row>
    <row r="1125" spans="8:19" ht="41.4" x14ac:dyDescent="0.3">
      <c r="H1125" s="52" t="s">
        <v>237</v>
      </c>
      <c r="I1125" s="53" t="s">
        <v>41</v>
      </c>
      <c r="J1125" s="34" t="s">
        <v>442</v>
      </c>
      <c r="K1125" s="54" t="s">
        <v>1</v>
      </c>
      <c r="L1125" s="33"/>
      <c r="M1125" s="33"/>
      <c r="N1125" s="36"/>
      <c r="O1125" s="53">
        <v>3</v>
      </c>
      <c r="P1125" s="33">
        <f>IF(Tabela1[[#This Row],[Status]]="✔️",Tabela1[[#This Row],[Peso]],IF(Tabela1[[#This Row],[Status]]="✔️✔️",Tabela1[[#This Row],[Peso]]/2,0))</f>
        <v>0</v>
      </c>
      <c r="Q112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25" s="53" t="s">
        <v>130</v>
      </c>
      <c r="S1125" s="37" t="s">
        <v>128</v>
      </c>
    </row>
    <row r="1126" spans="8:19" ht="41.4" x14ac:dyDescent="0.3">
      <c r="H1126" s="52" t="s">
        <v>237</v>
      </c>
      <c r="I1126" s="53" t="s">
        <v>41</v>
      </c>
      <c r="J1126" s="34" t="s">
        <v>443</v>
      </c>
      <c r="K1126" s="54" t="s">
        <v>1</v>
      </c>
      <c r="L1126" s="33"/>
      <c r="M1126" s="33"/>
      <c r="N1126" s="36"/>
      <c r="O1126" s="53">
        <v>2</v>
      </c>
      <c r="P1126" s="33">
        <f>IF(Tabela1[[#This Row],[Status]]="✔️",Tabela1[[#This Row],[Peso]],IF(Tabela1[[#This Row],[Status]]="✔️✔️",Tabela1[[#This Row],[Peso]]/2,0))</f>
        <v>0</v>
      </c>
      <c r="Q112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26" s="53" t="s">
        <v>130</v>
      </c>
      <c r="S1126" s="37" t="s">
        <v>128</v>
      </c>
    </row>
    <row r="1127" spans="8:19" ht="41.4" x14ac:dyDescent="0.3">
      <c r="H1127" s="52" t="s">
        <v>237</v>
      </c>
      <c r="I1127" s="53" t="s">
        <v>30</v>
      </c>
      <c r="J1127" s="34" t="s">
        <v>438</v>
      </c>
      <c r="K1127" s="54" t="s">
        <v>0</v>
      </c>
      <c r="L1127" s="53"/>
      <c r="M1127" s="53"/>
      <c r="N1127" s="55"/>
      <c r="O1127" s="53">
        <v>3</v>
      </c>
      <c r="P1127" s="33">
        <f>IF(Tabela1[[#This Row],[Status]]="✔️",Tabela1[[#This Row],[Peso]],IF(Tabela1[[#This Row],[Status]]="✔️✔️",Tabela1[[#This Row],[Peso]]/2,0))</f>
        <v>3</v>
      </c>
      <c r="Q112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27" s="53" t="s">
        <v>187</v>
      </c>
      <c r="S1127" s="37" t="s">
        <v>132</v>
      </c>
    </row>
    <row r="1128" spans="8:19" ht="41.4" x14ac:dyDescent="0.3">
      <c r="H1128" s="32" t="s">
        <v>237</v>
      </c>
      <c r="I1128" s="33" t="s">
        <v>10</v>
      </c>
      <c r="J1128" s="34" t="s">
        <v>11</v>
      </c>
      <c r="K1128" s="35" t="s">
        <v>0</v>
      </c>
      <c r="L1128" s="33"/>
      <c r="M1128" s="33"/>
      <c r="N1128" s="36"/>
      <c r="O1128" s="33">
        <v>3</v>
      </c>
      <c r="P1128" s="33">
        <f>IF(Tabela1[[#This Row],[Status]]="✔️",Tabela1[[#This Row],[Peso]],IF(Tabela1[[#This Row],[Status]]="✔️✔️",Tabela1[[#This Row],[Peso]]/2,0))</f>
        <v>3</v>
      </c>
      <c r="Q112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28" s="53" t="s">
        <v>187</v>
      </c>
      <c r="S1128" s="37" t="s">
        <v>132</v>
      </c>
    </row>
    <row r="1129" spans="8:19" ht="41.4" x14ac:dyDescent="0.3">
      <c r="H1129" s="32" t="s">
        <v>237</v>
      </c>
      <c r="I1129" s="33" t="s">
        <v>10</v>
      </c>
      <c r="J1129" s="34" t="s">
        <v>439</v>
      </c>
      <c r="K1129" s="35" t="s">
        <v>1</v>
      </c>
      <c r="L1129" s="33"/>
      <c r="M1129" s="33"/>
      <c r="N1129" s="36"/>
      <c r="O1129" s="33">
        <v>3</v>
      </c>
      <c r="P1129" s="33">
        <f>IF(Tabela1[[#This Row],[Status]]="✔️",Tabela1[[#This Row],[Peso]],IF(Tabela1[[#This Row],[Status]]="✔️✔️",Tabela1[[#This Row],[Peso]]/2,0))</f>
        <v>0</v>
      </c>
      <c r="Q112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29" s="53" t="s">
        <v>187</v>
      </c>
      <c r="S1129" s="37" t="s">
        <v>132</v>
      </c>
    </row>
    <row r="1130" spans="8:19" ht="41.4" x14ac:dyDescent="0.3">
      <c r="H1130" s="32" t="s">
        <v>237</v>
      </c>
      <c r="I1130" s="33" t="s">
        <v>10</v>
      </c>
      <c r="J1130" s="34" t="s">
        <v>440</v>
      </c>
      <c r="K1130" s="35" t="s">
        <v>1</v>
      </c>
      <c r="L1130" s="33"/>
      <c r="M1130" s="33"/>
      <c r="N1130" s="36"/>
      <c r="O1130" s="33">
        <v>3</v>
      </c>
      <c r="P1130" s="33">
        <f>IF(Tabela1[[#This Row],[Status]]="✔️",Tabela1[[#This Row],[Peso]],IF(Tabela1[[#This Row],[Status]]="✔️✔️",Tabela1[[#This Row],[Peso]]/2,0))</f>
        <v>0</v>
      </c>
      <c r="Q113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30" s="53" t="s">
        <v>187</v>
      </c>
      <c r="S1130" s="37" t="s">
        <v>132</v>
      </c>
    </row>
    <row r="1131" spans="8:19" ht="41.4" x14ac:dyDescent="0.3">
      <c r="H1131" s="32" t="s">
        <v>237</v>
      </c>
      <c r="I1131" s="33" t="s">
        <v>12</v>
      </c>
      <c r="J1131" s="34" t="s">
        <v>13</v>
      </c>
      <c r="K1131" s="35" t="s">
        <v>1</v>
      </c>
      <c r="L1131" s="33"/>
      <c r="M1131" s="33"/>
      <c r="N1131" s="36"/>
      <c r="O1131" s="33">
        <v>2</v>
      </c>
      <c r="P1131" s="33">
        <f>IF(Tabela1[[#This Row],[Status]]="✔️",Tabela1[[#This Row],[Peso]],IF(Tabela1[[#This Row],[Status]]="✔️✔️",Tabela1[[#This Row],[Peso]]/2,0))</f>
        <v>0</v>
      </c>
      <c r="Q113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31" s="53" t="s">
        <v>187</v>
      </c>
      <c r="S1131" s="37" t="s">
        <v>132</v>
      </c>
    </row>
    <row r="1132" spans="8:19" ht="41.4" x14ac:dyDescent="0.3">
      <c r="H1132" s="32" t="s">
        <v>237</v>
      </c>
      <c r="I1132" s="33" t="s">
        <v>14</v>
      </c>
      <c r="J1132" s="34" t="s">
        <v>15</v>
      </c>
      <c r="K1132" s="35" t="s">
        <v>0</v>
      </c>
      <c r="L1132" s="33"/>
      <c r="M1132" s="33"/>
      <c r="N1132" s="36"/>
      <c r="O1132" s="33">
        <v>3</v>
      </c>
      <c r="P1132" s="33">
        <f>IF(Tabela1[[#This Row],[Status]]="✔️",Tabela1[[#This Row],[Peso]],IF(Tabela1[[#This Row],[Status]]="✔️✔️",Tabela1[[#This Row],[Peso]]/2,0))</f>
        <v>3</v>
      </c>
      <c r="Q113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32" s="53" t="s">
        <v>187</v>
      </c>
      <c r="S1132" s="37" t="s">
        <v>132</v>
      </c>
    </row>
    <row r="1133" spans="8:19" ht="41.4" x14ac:dyDescent="0.3">
      <c r="H1133" s="32" t="s">
        <v>237</v>
      </c>
      <c r="I1133" s="33" t="s">
        <v>14</v>
      </c>
      <c r="J1133" s="34" t="s">
        <v>16</v>
      </c>
      <c r="K1133" s="35" t="s">
        <v>1</v>
      </c>
      <c r="L1133" s="33"/>
      <c r="M1133" s="33"/>
      <c r="N1133" s="36"/>
      <c r="O1133" s="33">
        <v>1</v>
      </c>
      <c r="P1133" s="33">
        <f>IF(Tabela1[[#This Row],[Status]]="✔️",Tabela1[[#This Row],[Peso]],IF(Tabela1[[#This Row],[Status]]="✔️✔️",Tabela1[[#This Row],[Peso]]/2,0))</f>
        <v>0</v>
      </c>
      <c r="Q113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33" s="53" t="s">
        <v>187</v>
      </c>
      <c r="S1133" s="37" t="s">
        <v>132</v>
      </c>
    </row>
    <row r="1134" spans="8:19" ht="41.4" x14ac:dyDescent="0.3">
      <c r="H1134" s="32" t="s">
        <v>237</v>
      </c>
      <c r="I1134" s="33" t="s">
        <v>17</v>
      </c>
      <c r="J1134" s="34" t="s">
        <v>18</v>
      </c>
      <c r="K1134" s="35" t="s">
        <v>1</v>
      </c>
      <c r="L1134" s="33"/>
      <c r="M1134" s="33"/>
      <c r="N1134" s="36"/>
      <c r="O1134" s="33">
        <v>3</v>
      </c>
      <c r="P1134" s="33">
        <f>IF(Tabela1[[#This Row],[Status]]="✔️",Tabela1[[#This Row],[Peso]],IF(Tabela1[[#This Row],[Status]]="✔️✔️",Tabela1[[#This Row],[Peso]]/2,0))</f>
        <v>0</v>
      </c>
      <c r="Q113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34" s="53" t="s">
        <v>187</v>
      </c>
      <c r="S1134" s="37" t="s">
        <v>132</v>
      </c>
    </row>
    <row r="1135" spans="8:19" ht="41.4" x14ac:dyDescent="0.3">
      <c r="H1135" s="32" t="s">
        <v>237</v>
      </c>
      <c r="I1135" s="33" t="s">
        <v>17</v>
      </c>
      <c r="J1135" s="34" t="s">
        <v>19</v>
      </c>
      <c r="K1135" s="35" t="s">
        <v>1</v>
      </c>
      <c r="L1135" s="33"/>
      <c r="M1135" s="33"/>
      <c r="N1135" s="36"/>
      <c r="O1135" s="33">
        <v>1</v>
      </c>
      <c r="P1135" s="33">
        <f>IF(Tabela1[[#This Row],[Status]]="✔️",Tabela1[[#This Row],[Peso]],IF(Tabela1[[#This Row],[Status]]="✔️✔️",Tabela1[[#This Row],[Peso]]/2,0))</f>
        <v>0</v>
      </c>
      <c r="Q113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35" s="53" t="s">
        <v>187</v>
      </c>
      <c r="S1135" s="37" t="s">
        <v>132</v>
      </c>
    </row>
    <row r="1136" spans="8:19" ht="41.4" x14ac:dyDescent="0.3">
      <c r="H1136" s="32" t="s">
        <v>237</v>
      </c>
      <c r="I1136" s="33" t="s">
        <v>20</v>
      </c>
      <c r="J1136" s="34" t="s">
        <v>21</v>
      </c>
      <c r="K1136" s="35" t="s">
        <v>1</v>
      </c>
      <c r="L1136" s="33"/>
      <c r="M1136" s="33"/>
      <c r="N1136" s="36"/>
      <c r="O1136" s="33">
        <v>3</v>
      </c>
      <c r="P1136" s="33">
        <f>IF(Tabela1[[#This Row],[Status]]="✔️",Tabela1[[#This Row],[Peso]],IF(Tabela1[[#This Row],[Status]]="✔️✔️",Tabela1[[#This Row],[Peso]]/2,0))</f>
        <v>0</v>
      </c>
      <c r="Q113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36" s="53" t="s">
        <v>187</v>
      </c>
      <c r="S1136" s="37" t="s">
        <v>132</v>
      </c>
    </row>
    <row r="1137" spans="8:19" ht="41.4" x14ac:dyDescent="0.3">
      <c r="H1137" s="32" t="s">
        <v>237</v>
      </c>
      <c r="I1137" s="33" t="s">
        <v>20</v>
      </c>
      <c r="J1137" s="34" t="s">
        <v>441</v>
      </c>
      <c r="K1137" s="35" t="s">
        <v>1</v>
      </c>
      <c r="L1137" s="33"/>
      <c r="M1137" s="33"/>
      <c r="N1137" s="36"/>
      <c r="O1137" s="33">
        <v>1</v>
      </c>
      <c r="P1137" s="33">
        <f>IF(Tabela1[[#This Row],[Status]]="✔️",Tabela1[[#This Row],[Peso]],IF(Tabela1[[#This Row],[Status]]="✔️✔️",Tabela1[[#This Row],[Peso]]/2,0))</f>
        <v>0</v>
      </c>
      <c r="Q113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37" s="53" t="s">
        <v>187</v>
      </c>
      <c r="S1137" s="37" t="s">
        <v>132</v>
      </c>
    </row>
    <row r="1138" spans="8:19" ht="41.4" x14ac:dyDescent="0.3">
      <c r="H1138" s="32" t="s">
        <v>237</v>
      </c>
      <c r="I1138" s="33" t="s">
        <v>25</v>
      </c>
      <c r="J1138" s="34" t="s">
        <v>28</v>
      </c>
      <c r="K1138" s="35" t="s">
        <v>1</v>
      </c>
      <c r="L1138" s="33"/>
      <c r="M1138" s="33"/>
      <c r="N1138" s="36"/>
      <c r="O1138" s="33">
        <v>3</v>
      </c>
      <c r="P1138" s="33">
        <f>IF(Tabela1[[#This Row],[Status]]="✔️",Tabela1[[#This Row],[Peso]],IF(Tabela1[[#This Row],[Status]]="✔️✔️",Tabela1[[#This Row],[Peso]]/2,0))</f>
        <v>0</v>
      </c>
      <c r="Q113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38" s="53" t="s">
        <v>187</v>
      </c>
      <c r="S1138" s="37" t="s">
        <v>132</v>
      </c>
    </row>
    <row r="1139" spans="8:19" ht="41.4" x14ac:dyDescent="0.3">
      <c r="H1139" s="32" t="s">
        <v>237</v>
      </c>
      <c r="I1139" s="33" t="s">
        <v>25</v>
      </c>
      <c r="J1139" s="34" t="s">
        <v>29</v>
      </c>
      <c r="K1139" s="35" t="s">
        <v>1</v>
      </c>
      <c r="L1139" s="33"/>
      <c r="M1139" s="33"/>
      <c r="N1139" s="36"/>
      <c r="O1139" s="33">
        <v>3</v>
      </c>
      <c r="P1139" s="33">
        <f>IF(Tabela1[[#This Row],[Status]]="✔️",Tabela1[[#This Row],[Peso]],IF(Tabela1[[#This Row],[Status]]="✔️✔️",Tabela1[[#This Row],[Peso]]/2,0))</f>
        <v>0</v>
      </c>
      <c r="Q113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39" s="53" t="s">
        <v>187</v>
      </c>
      <c r="S1139" s="37" t="s">
        <v>132</v>
      </c>
    </row>
    <row r="1140" spans="8:19" ht="41.4" x14ac:dyDescent="0.3">
      <c r="H1140" s="32" t="s">
        <v>237</v>
      </c>
      <c r="I1140" s="33" t="s">
        <v>25</v>
      </c>
      <c r="J1140" s="34" t="s">
        <v>449</v>
      </c>
      <c r="K1140" s="35" t="s">
        <v>1</v>
      </c>
      <c r="L1140" s="33"/>
      <c r="M1140" s="33"/>
      <c r="N1140" s="36"/>
      <c r="O1140" s="33">
        <v>3</v>
      </c>
      <c r="P1140" s="33">
        <f>IF(Tabela1[[#This Row],[Status]]="✔️",Tabela1[[#This Row],[Peso]],IF(Tabela1[[#This Row],[Status]]="✔️✔️",Tabela1[[#This Row],[Peso]]/2,0))</f>
        <v>0</v>
      </c>
      <c r="Q114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40" s="53" t="s">
        <v>187</v>
      </c>
      <c r="S1140" s="37" t="s">
        <v>132</v>
      </c>
    </row>
    <row r="1141" spans="8:19" ht="41.4" x14ac:dyDescent="0.3">
      <c r="H1141" s="32" t="s">
        <v>237</v>
      </c>
      <c r="I1141" s="33" t="s">
        <v>41</v>
      </c>
      <c r="J1141" s="34" t="s">
        <v>442</v>
      </c>
      <c r="K1141" s="35" t="s">
        <v>1</v>
      </c>
      <c r="L1141" s="33"/>
      <c r="M1141" s="33"/>
      <c r="N1141" s="36"/>
      <c r="O1141" s="33">
        <v>3</v>
      </c>
      <c r="P1141" s="33">
        <f>IF(Tabela1[[#This Row],[Status]]="✔️",Tabela1[[#This Row],[Peso]],IF(Tabela1[[#This Row],[Status]]="✔️✔️",Tabela1[[#This Row],[Peso]]/2,0))</f>
        <v>0</v>
      </c>
      <c r="Q114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41" s="53" t="s">
        <v>187</v>
      </c>
      <c r="S1141" s="37" t="s">
        <v>132</v>
      </c>
    </row>
    <row r="1142" spans="8:19" ht="41.4" x14ac:dyDescent="0.3">
      <c r="H1142" s="32" t="s">
        <v>237</v>
      </c>
      <c r="I1142" s="33" t="s">
        <v>41</v>
      </c>
      <c r="J1142" s="34" t="s">
        <v>443</v>
      </c>
      <c r="K1142" s="35" t="s">
        <v>1</v>
      </c>
      <c r="L1142" s="33"/>
      <c r="M1142" s="33"/>
      <c r="N1142" s="36"/>
      <c r="O1142" s="33">
        <v>2</v>
      </c>
      <c r="P1142" s="33">
        <f>IF(Tabela1[[#This Row],[Status]]="✔️",Tabela1[[#This Row],[Peso]],IF(Tabela1[[#This Row],[Status]]="✔️✔️",Tabela1[[#This Row],[Peso]]/2,0))</f>
        <v>0</v>
      </c>
      <c r="Q114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42" s="53" t="s">
        <v>187</v>
      </c>
      <c r="S1142" s="37" t="s">
        <v>132</v>
      </c>
    </row>
    <row r="1143" spans="8:19" ht="41.4" x14ac:dyDescent="0.3">
      <c r="H1143" s="32" t="s">
        <v>237</v>
      </c>
      <c r="I1143" s="33" t="s">
        <v>10</v>
      </c>
      <c r="J1143" s="34" t="s">
        <v>444</v>
      </c>
      <c r="K1143" s="35" t="s">
        <v>0</v>
      </c>
      <c r="L1143" s="33"/>
      <c r="M1143" s="33"/>
      <c r="N1143" s="36"/>
      <c r="O1143" s="33">
        <v>3</v>
      </c>
      <c r="P1143" s="33">
        <f>IF(Tabela1[[#This Row],[Status]]="✔️",Tabela1[[#This Row],[Peso]],IF(Tabela1[[#This Row],[Status]]="✔️✔️",Tabela1[[#This Row],[Peso]]/2,0))</f>
        <v>3</v>
      </c>
      <c r="Q114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43" s="53" t="s">
        <v>187</v>
      </c>
      <c r="S1143" s="37" t="s">
        <v>132</v>
      </c>
    </row>
    <row r="1144" spans="8:19" ht="27.6" x14ac:dyDescent="0.3">
      <c r="H1144" s="52" t="s">
        <v>69</v>
      </c>
      <c r="I1144" s="33" t="s">
        <v>30</v>
      </c>
      <c r="J1144" s="34" t="s">
        <v>438</v>
      </c>
      <c r="K1144" s="35" t="s">
        <v>0</v>
      </c>
      <c r="L1144" s="33"/>
      <c r="M1144" s="33"/>
      <c r="N1144" s="36"/>
      <c r="O1144" s="33">
        <v>3</v>
      </c>
      <c r="P1144" s="33">
        <f>IF(Tabela1[[#This Row],[Status]]="✔️",Tabela1[[#This Row],[Peso]],IF(Tabela1[[#This Row],[Status]]="✔️✔️",Tabela1[[#This Row],[Peso]]/2,0))</f>
        <v>3</v>
      </c>
      <c r="Q114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44" s="33" t="s">
        <v>127</v>
      </c>
      <c r="S1144" s="37" t="s">
        <v>128</v>
      </c>
    </row>
    <row r="1145" spans="8:19" ht="27.6" x14ac:dyDescent="0.3">
      <c r="H1145" s="52" t="s">
        <v>69</v>
      </c>
      <c r="I1145" s="33" t="s">
        <v>10</v>
      </c>
      <c r="J1145" s="34" t="s">
        <v>11</v>
      </c>
      <c r="K1145" s="35" t="s">
        <v>0</v>
      </c>
      <c r="L1145" s="33"/>
      <c r="M1145" s="33"/>
      <c r="N1145" s="36"/>
      <c r="O1145" s="33">
        <v>3</v>
      </c>
      <c r="P1145" s="33">
        <f>IF(Tabela1[[#This Row],[Status]]="✔️",Tabela1[[#This Row],[Peso]],IF(Tabela1[[#This Row],[Status]]="✔️✔️",Tabela1[[#This Row],[Peso]]/2,0))</f>
        <v>3</v>
      </c>
      <c r="Q114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45" s="33" t="s">
        <v>127</v>
      </c>
      <c r="S1145" s="37" t="s">
        <v>128</v>
      </c>
    </row>
    <row r="1146" spans="8:19" ht="27.6" x14ac:dyDescent="0.3">
      <c r="H1146" s="52" t="s">
        <v>69</v>
      </c>
      <c r="I1146" s="33" t="s">
        <v>10</v>
      </c>
      <c r="J1146" s="34" t="s">
        <v>439</v>
      </c>
      <c r="K1146" s="35" t="s">
        <v>0</v>
      </c>
      <c r="L1146" s="33"/>
      <c r="M1146" s="33"/>
      <c r="N1146" s="36"/>
      <c r="O1146" s="33">
        <v>3</v>
      </c>
      <c r="P1146" s="33">
        <f>IF(Tabela1[[#This Row],[Status]]="✔️",Tabela1[[#This Row],[Peso]],IF(Tabela1[[#This Row],[Status]]="✔️✔️",Tabela1[[#This Row],[Peso]]/2,0))</f>
        <v>3</v>
      </c>
      <c r="Q114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46" s="33" t="s">
        <v>127</v>
      </c>
      <c r="S1146" s="37" t="s">
        <v>128</v>
      </c>
    </row>
    <row r="1147" spans="8:19" ht="27.6" x14ac:dyDescent="0.3">
      <c r="H1147" s="52" t="s">
        <v>69</v>
      </c>
      <c r="I1147" s="53" t="s">
        <v>10</v>
      </c>
      <c r="J1147" s="57" t="s">
        <v>440</v>
      </c>
      <c r="K1147" s="54" t="s">
        <v>0</v>
      </c>
      <c r="L1147" s="53"/>
      <c r="M1147" s="53"/>
      <c r="N1147" s="55"/>
      <c r="O1147" s="53">
        <v>3</v>
      </c>
      <c r="P1147" s="33">
        <f>IF(Tabela1[[#This Row],[Status]]="✔️",Tabela1[[#This Row],[Peso]],IF(Tabela1[[#This Row],[Status]]="✔️✔️",Tabela1[[#This Row],[Peso]]/2,0))</f>
        <v>3</v>
      </c>
      <c r="Q114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47" s="53" t="s">
        <v>127</v>
      </c>
      <c r="S1147" s="56" t="s">
        <v>128</v>
      </c>
    </row>
    <row r="1148" spans="8:19" ht="42" customHeight="1" x14ac:dyDescent="0.3">
      <c r="H1148" s="52" t="s">
        <v>69</v>
      </c>
      <c r="I1148" s="33" t="s">
        <v>12</v>
      </c>
      <c r="J1148" s="34" t="s">
        <v>13</v>
      </c>
      <c r="K1148" s="35" t="s">
        <v>0</v>
      </c>
      <c r="L1148" s="33"/>
      <c r="M1148" s="33"/>
      <c r="N1148" s="36"/>
      <c r="O1148" s="33">
        <v>2</v>
      </c>
      <c r="P1148" s="33">
        <f>IF(Tabela1[[#This Row],[Status]]="✔️",Tabela1[[#This Row],[Peso]],IF(Tabela1[[#This Row],[Status]]="✔️✔️",Tabela1[[#This Row],[Peso]]/2,0))</f>
        <v>2</v>
      </c>
      <c r="Q1148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148" s="33" t="s">
        <v>127</v>
      </c>
      <c r="S1148" s="56" t="s">
        <v>128</v>
      </c>
    </row>
    <row r="1149" spans="8:19" ht="42" customHeight="1" x14ac:dyDescent="0.3">
      <c r="H1149" s="52" t="s">
        <v>69</v>
      </c>
      <c r="I1149" s="33" t="s">
        <v>14</v>
      </c>
      <c r="J1149" s="34" t="s">
        <v>15</v>
      </c>
      <c r="K1149" s="35" t="s">
        <v>0</v>
      </c>
      <c r="L1149" s="33"/>
      <c r="M1149" s="33"/>
      <c r="N1149" s="36"/>
      <c r="O1149" s="33">
        <v>3</v>
      </c>
      <c r="P1149" s="33">
        <f>IF(Tabela1[[#This Row],[Status]]="✔️",Tabela1[[#This Row],[Peso]],IF(Tabela1[[#This Row],[Status]]="✔️✔️",Tabela1[[#This Row],[Peso]]/2,0))</f>
        <v>3</v>
      </c>
      <c r="Q114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49" s="33" t="s">
        <v>127</v>
      </c>
      <c r="S1149" s="56" t="s">
        <v>128</v>
      </c>
    </row>
    <row r="1150" spans="8:19" ht="42" customHeight="1" x14ac:dyDescent="0.3">
      <c r="H1150" s="52" t="s">
        <v>69</v>
      </c>
      <c r="I1150" s="33" t="s">
        <v>14</v>
      </c>
      <c r="J1150" s="34" t="s">
        <v>16</v>
      </c>
      <c r="K1150" s="35" t="s">
        <v>290</v>
      </c>
      <c r="L1150" s="33" t="s">
        <v>59</v>
      </c>
      <c r="M1150" s="33">
        <v>9087</v>
      </c>
      <c r="N1150" s="36"/>
      <c r="O1150" s="33">
        <v>1</v>
      </c>
      <c r="P1150" s="33">
        <f>IF(Tabela1[[#This Row],[Status]]="✔️",Tabela1[[#This Row],[Peso]],IF(Tabela1[[#This Row],[Status]]="✔️✔️",Tabela1[[#This Row],[Peso]]/2,0))</f>
        <v>0</v>
      </c>
      <c r="Q115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150" s="33" t="s">
        <v>127</v>
      </c>
      <c r="S1150" s="56" t="s">
        <v>128</v>
      </c>
    </row>
    <row r="1151" spans="8:19" ht="42" customHeight="1" x14ac:dyDescent="0.3">
      <c r="H1151" s="52" t="s">
        <v>69</v>
      </c>
      <c r="I1151" s="33" t="s">
        <v>17</v>
      </c>
      <c r="J1151" s="34" t="s">
        <v>18</v>
      </c>
      <c r="K1151" s="35" t="s">
        <v>0</v>
      </c>
      <c r="L1151" s="33"/>
      <c r="M1151" s="33"/>
      <c r="N1151" s="36"/>
      <c r="O1151" s="33">
        <v>3</v>
      </c>
      <c r="P1151" s="33">
        <f>IF(Tabela1[[#This Row],[Status]]="✔️",Tabela1[[#This Row],[Peso]],IF(Tabela1[[#This Row],[Status]]="✔️✔️",Tabela1[[#This Row],[Peso]]/2,0))</f>
        <v>3</v>
      </c>
      <c r="Q115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51" s="33" t="s">
        <v>127</v>
      </c>
      <c r="S1151" s="56" t="s">
        <v>128</v>
      </c>
    </row>
    <row r="1152" spans="8:19" ht="42" customHeight="1" x14ac:dyDescent="0.3">
      <c r="H1152" s="52" t="s">
        <v>69</v>
      </c>
      <c r="I1152" s="33" t="s">
        <v>17</v>
      </c>
      <c r="J1152" s="34" t="s">
        <v>19</v>
      </c>
      <c r="K1152" s="35" t="s">
        <v>290</v>
      </c>
      <c r="L1152" s="33" t="s">
        <v>70</v>
      </c>
      <c r="M1152" s="33">
        <v>6497</v>
      </c>
      <c r="N1152" s="36"/>
      <c r="O1152" s="33">
        <v>3</v>
      </c>
      <c r="P1152" s="33">
        <f>IF(Tabela1[[#This Row],[Status]]="✔️",Tabela1[[#This Row],[Peso]],IF(Tabela1[[#This Row],[Status]]="✔️✔️",Tabela1[[#This Row],[Peso]]/2,0))</f>
        <v>0</v>
      </c>
      <c r="Q115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52" s="33" t="s">
        <v>127</v>
      </c>
      <c r="S1152" s="56" t="s">
        <v>128</v>
      </c>
    </row>
    <row r="1153" spans="8:19" ht="42" customHeight="1" x14ac:dyDescent="0.3">
      <c r="H1153" s="52" t="s">
        <v>69</v>
      </c>
      <c r="I1153" s="33" t="s">
        <v>20</v>
      </c>
      <c r="J1153" s="34" t="s">
        <v>21</v>
      </c>
      <c r="K1153" s="35" t="s">
        <v>0</v>
      </c>
      <c r="L1153" s="33"/>
      <c r="M1153" s="33"/>
      <c r="N1153" s="36"/>
      <c r="O1153" s="33">
        <v>3</v>
      </c>
      <c r="P1153" s="33">
        <f>IF(Tabela1[[#This Row],[Status]]="✔️",Tabela1[[#This Row],[Peso]],IF(Tabela1[[#This Row],[Status]]="✔️✔️",Tabela1[[#This Row],[Peso]]/2,0))</f>
        <v>3</v>
      </c>
      <c r="Q115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53" s="33" t="s">
        <v>127</v>
      </c>
      <c r="S1153" s="56" t="s">
        <v>128</v>
      </c>
    </row>
    <row r="1154" spans="8:19" ht="42" customHeight="1" x14ac:dyDescent="0.3">
      <c r="H1154" s="52" t="s">
        <v>69</v>
      </c>
      <c r="I1154" s="33" t="s">
        <v>20</v>
      </c>
      <c r="J1154" s="34" t="s">
        <v>441</v>
      </c>
      <c r="K1154" s="35" t="s">
        <v>0</v>
      </c>
      <c r="L1154" s="33"/>
      <c r="M1154" s="33"/>
      <c r="N1154" s="36"/>
      <c r="O1154" s="33">
        <v>1</v>
      </c>
      <c r="P1154" s="33">
        <f>IF(Tabela1[[#This Row],[Status]]="✔️",Tabela1[[#This Row],[Peso]],IF(Tabela1[[#This Row],[Status]]="✔️✔️",Tabela1[[#This Row],[Peso]]/2,0))</f>
        <v>1</v>
      </c>
      <c r="Q115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154" s="33" t="s">
        <v>127</v>
      </c>
      <c r="S1154" s="56" t="s">
        <v>128</v>
      </c>
    </row>
    <row r="1155" spans="8:19" ht="42" customHeight="1" x14ac:dyDescent="0.3">
      <c r="H1155" s="52" t="s">
        <v>69</v>
      </c>
      <c r="I1155" s="33" t="s">
        <v>25</v>
      </c>
      <c r="J1155" s="34" t="s">
        <v>28</v>
      </c>
      <c r="K1155" s="35" t="s">
        <v>290</v>
      </c>
      <c r="L1155" s="33" t="s">
        <v>53</v>
      </c>
      <c r="M1155" s="33">
        <v>6076</v>
      </c>
      <c r="N1155" s="36"/>
      <c r="O1155" s="33">
        <v>3</v>
      </c>
      <c r="P1155" s="33">
        <f>IF(Tabela1[[#This Row],[Status]]="✔️",Tabela1[[#This Row],[Peso]],IF(Tabela1[[#This Row],[Status]]="✔️✔️",Tabela1[[#This Row],[Peso]]/2,0))</f>
        <v>0</v>
      </c>
      <c r="Q115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55" s="33" t="s">
        <v>127</v>
      </c>
      <c r="S1155" s="56" t="s">
        <v>128</v>
      </c>
    </row>
    <row r="1156" spans="8:19" ht="42" customHeight="1" x14ac:dyDescent="0.3">
      <c r="H1156" s="52" t="s">
        <v>69</v>
      </c>
      <c r="I1156" s="33" t="s">
        <v>25</v>
      </c>
      <c r="J1156" s="34" t="s">
        <v>29</v>
      </c>
      <c r="K1156" s="35" t="s">
        <v>0</v>
      </c>
      <c r="L1156" s="33"/>
      <c r="M1156" s="33"/>
      <c r="N1156" s="36"/>
      <c r="O1156" s="33">
        <v>3</v>
      </c>
      <c r="P1156" s="33">
        <f>IF(Tabela1[[#This Row],[Status]]="✔️",Tabela1[[#This Row],[Peso]],IF(Tabela1[[#This Row],[Status]]="✔️✔️",Tabela1[[#This Row],[Peso]]/2,0))</f>
        <v>3</v>
      </c>
      <c r="Q115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56" s="33" t="s">
        <v>127</v>
      </c>
      <c r="S1156" s="56" t="s">
        <v>128</v>
      </c>
    </row>
    <row r="1157" spans="8:19" ht="42" customHeight="1" x14ac:dyDescent="0.3">
      <c r="H1157" s="52" t="s">
        <v>69</v>
      </c>
      <c r="I1157" s="33" t="s">
        <v>25</v>
      </c>
      <c r="J1157" s="34" t="s">
        <v>449</v>
      </c>
      <c r="K1157" s="35" t="s">
        <v>0</v>
      </c>
      <c r="L1157" s="33"/>
      <c r="M1157" s="33"/>
      <c r="N1157" s="36"/>
      <c r="O1157" s="33">
        <v>3</v>
      </c>
      <c r="P1157" s="33">
        <f>IF(Tabela1[[#This Row],[Status]]="✔️",Tabela1[[#This Row],[Peso]],IF(Tabela1[[#This Row],[Status]]="✔️✔️",Tabela1[[#This Row],[Peso]]/2,0))</f>
        <v>3</v>
      </c>
      <c r="Q115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57" s="33" t="s">
        <v>127</v>
      </c>
      <c r="S1157" s="56" t="s">
        <v>128</v>
      </c>
    </row>
    <row r="1158" spans="8:19" ht="42" customHeight="1" x14ac:dyDescent="0.3">
      <c r="H1158" s="52" t="s">
        <v>69</v>
      </c>
      <c r="I1158" s="33" t="s">
        <v>41</v>
      </c>
      <c r="J1158" s="34" t="s">
        <v>442</v>
      </c>
      <c r="K1158" s="35" t="s">
        <v>290</v>
      </c>
      <c r="L1158" s="33" t="s">
        <v>47</v>
      </c>
      <c r="M1158" s="33">
        <v>8115</v>
      </c>
      <c r="N1158" s="36"/>
      <c r="O1158" s="33">
        <v>3</v>
      </c>
      <c r="P1158" s="33">
        <f>IF(Tabela1[[#This Row],[Status]]="✔️",Tabela1[[#This Row],[Peso]],IF(Tabela1[[#This Row],[Status]]="✔️✔️",Tabela1[[#This Row],[Peso]]/2,0))</f>
        <v>0</v>
      </c>
      <c r="Q115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58" s="33" t="s">
        <v>127</v>
      </c>
      <c r="S1158" s="56" t="s">
        <v>128</v>
      </c>
    </row>
    <row r="1159" spans="8:19" ht="42" customHeight="1" x14ac:dyDescent="0.3">
      <c r="H1159" s="52" t="s">
        <v>69</v>
      </c>
      <c r="I1159" s="33" t="s">
        <v>41</v>
      </c>
      <c r="J1159" s="34" t="s">
        <v>443</v>
      </c>
      <c r="K1159" s="35" t="s">
        <v>290</v>
      </c>
      <c r="L1159" s="33" t="s">
        <v>47</v>
      </c>
      <c r="M1159" s="33">
        <v>8115</v>
      </c>
      <c r="N1159" s="36"/>
      <c r="O1159" s="33">
        <v>2</v>
      </c>
      <c r="P1159" s="33">
        <f>IF(Tabela1[[#This Row],[Status]]="✔️",Tabela1[[#This Row],[Peso]],IF(Tabela1[[#This Row],[Status]]="✔️✔️",Tabela1[[#This Row],[Peso]]/2,0))</f>
        <v>0</v>
      </c>
      <c r="Q115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159" s="33" t="s">
        <v>127</v>
      </c>
      <c r="S1159" s="56" t="s">
        <v>128</v>
      </c>
    </row>
    <row r="1160" spans="8:19" ht="42" customHeight="1" x14ac:dyDescent="0.3">
      <c r="H1160" s="52" t="s">
        <v>69</v>
      </c>
      <c r="I1160" s="33" t="s">
        <v>10</v>
      </c>
      <c r="J1160" s="34" t="s">
        <v>444</v>
      </c>
      <c r="K1160" s="35" t="s">
        <v>290</v>
      </c>
      <c r="L1160" s="33" t="s">
        <v>60</v>
      </c>
      <c r="M1160" s="33">
        <v>5214</v>
      </c>
      <c r="N1160" s="36"/>
      <c r="O1160" s="33">
        <v>3</v>
      </c>
      <c r="P1160" s="33">
        <f>IF(Tabela1[[#This Row],[Status]]="✔️",Tabela1[[#This Row],[Peso]],IF(Tabela1[[#This Row],[Status]]="✔️✔️",Tabela1[[#This Row],[Peso]]/2,0))</f>
        <v>0</v>
      </c>
      <c r="Q116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60" s="33" t="s">
        <v>127</v>
      </c>
      <c r="S1160" s="56" t="s">
        <v>128</v>
      </c>
    </row>
    <row r="1161" spans="8:19" ht="40.200000000000003" customHeight="1" x14ac:dyDescent="0.3">
      <c r="H1161" s="32" t="s">
        <v>69</v>
      </c>
      <c r="I1161" s="33" t="s">
        <v>30</v>
      </c>
      <c r="J1161" s="34" t="s">
        <v>438</v>
      </c>
      <c r="K1161" s="35" t="s">
        <v>0</v>
      </c>
      <c r="L1161" s="33"/>
      <c r="M1161" s="33"/>
      <c r="N1161" s="36"/>
      <c r="O1161" s="33">
        <v>3</v>
      </c>
      <c r="P1161" s="33">
        <f>IF(Tabela1[[#This Row],[Status]]="✔️",Tabela1[[#This Row],[Peso]],IF(Tabela1[[#This Row],[Status]]="✔️✔️",Tabela1[[#This Row],[Peso]]/2,0))</f>
        <v>3</v>
      </c>
      <c r="Q116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61" s="33" t="s">
        <v>130</v>
      </c>
      <c r="S1161" s="56" t="s">
        <v>132</v>
      </c>
    </row>
    <row r="1162" spans="8:19" ht="40.200000000000003" customHeight="1" x14ac:dyDescent="0.3">
      <c r="H1162" s="32" t="s">
        <v>69</v>
      </c>
      <c r="I1162" s="33" t="s">
        <v>10</v>
      </c>
      <c r="J1162" s="34" t="s">
        <v>11</v>
      </c>
      <c r="K1162" s="35" t="s">
        <v>0</v>
      </c>
      <c r="L1162" s="33"/>
      <c r="M1162" s="33"/>
      <c r="N1162" s="36"/>
      <c r="O1162" s="33">
        <v>3</v>
      </c>
      <c r="P1162" s="33">
        <f>IF(Tabela1[[#This Row],[Status]]="✔️",Tabela1[[#This Row],[Peso]],IF(Tabela1[[#This Row],[Status]]="✔️✔️",Tabela1[[#This Row],[Peso]]/2,0))</f>
        <v>3</v>
      </c>
      <c r="Q116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62" s="33" t="s">
        <v>130</v>
      </c>
      <c r="S1162" s="56" t="s">
        <v>132</v>
      </c>
    </row>
    <row r="1163" spans="8:19" ht="40.200000000000003" customHeight="1" x14ac:dyDescent="0.3">
      <c r="H1163" s="32" t="s">
        <v>69</v>
      </c>
      <c r="I1163" s="33" t="s">
        <v>10</v>
      </c>
      <c r="J1163" s="34" t="s">
        <v>439</v>
      </c>
      <c r="K1163" s="35" t="s">
        <v>0</v>
      </c>
      <c r="L1163" s="33"/>
      <c r="M1163" s="33"/>
      <c r="N1163" s="36"/>
      <c r="O1163" s="33">
        <v>3</v>
      </c>
      <c r="P1163" s="33">
        <f>IF(Tabela1[[#This Row],[Status]]="✔️",Tabela1[[#This Row],[Peso]],IF(Tabela1[[#This Row],[Status]]="✔️✔️",Tabela1[[#This Row],[Peso]]/2,0))</f>
        <v>3</v>
      </c>
      <c r="Q116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63" s="33" t="s">
        <v>130</v>
      </c>
      <c r="S1163" s="56" t="s">
        <v>132</v>
      </c>
    </row>
    <row r="1164" spans="8:19" ht="40.200000000000003" customHeight="1" x14ac:dyDescent="0.3">
      <c r="H1164" s="32" t="s">
        <v>69</v>
      </c>
      <c r="I1164" s="33" t="s">
        <v>10</v>
      </c>
      <c r="J1164" s="34" t="s">
        <v>440</v>
      </c>
      <c r="K1164" s="35" t="s">
        <v>0</v>
      </c>
      <c r="L1164" s="33"/>
      <c r="M1164" s="33"/>
      <c r="N1164" s="36"/>
      <c r="O1164" s="33">
        <v>3</v>
      </c>
      <c r="P1164" s="33">
        <f>IF(Tabela1[[#This Row],[Status]]="✔️",Tabela1[[#This Row],[Peso]],IF(Tabela1[[#This Row],[Status]]="✔️✔️",Tabela1[[#This Row],[Peso]]/2,0))</f>
        <v>3</v>
      </c>
      <c r="Q116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64" s="33" t="s">
        <v>130</v>
      </c>
      <c r="S1164" s="56" t="s">
        <v>132</v>
      </c>
    </row>
    <row r="1165" spans="8:19" ht="40.200000000000003" customHeight="1" x14ac:dyDescent="0.3">
      <c r="H1165" s="32" t="s">
        <v>69</v>
      </c>
      <c r="I1165" s="33" t="s">
        <v>12</v>
      </c>
      <c r="J1165" s="34" t="s">
        <v>13</v>
      </c>
      <c r="K1165" s="35" t="s">
        <v>0</v>
      </c>
      <c r="L1165" s="33"/>
      <c r="M1165" s="33"/>
      <c r="N1165" s="36"/>
      <c r="O1165" s="33">
        <v>2</v>
      </c>
      <c r="P1165" s="33">
        <f>IF(Tabela1[[#This Row],[Status]]="✔️",Tabela1[[#This Row],[Peso]],IF(Tabela1[[#This Row],[Status]]="✔️✔️",Tabela1[[#This Row],[Peso]]/2,0))</f>
        <v>2</v>
      </c>
      <c r="Q1165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165" s="33" t="s">
        <v>130</v>
      </c>
      <c r="S1165" s="56" t="s">
        <v>132</v>
      </c>
    </row>
    <row r="1166" spans="8:19" ht="40.200000000000003" customHeight="1" x14ac:dyDescent="0.3">
      <c r="H1166" s="32" t="s">
        <v>69</v>
      </c>
      <c r="I1166" s="33" t="s">
        <v>14</v>
      </c>
      <c r="J1166" s="34" t="s">
        <v>15</v>
      </c>
      <c r="K1166" s="35" t="s">
        <v>0</v>
      </c>
      <c r="L1166" s="33"/>
      <c r="M1166" s="33"/>
      <c r="N1166" s="36"/>
      <c r="O1166" s="33">
        <v>3</v>
      </c>
      <c r="P1166" s="33">
        <f>IF(Tabela1[[#This Row],[Status]]="✔️",Tabela1[[#This Row],[Peso]],IF(Tabela1[[#This Row],[Status]]="✔️✔️",Tabela1[[#This Row],[Peso]]/2,0))</f>
        <v>3</v>
      </c>
      <c r="Q116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66" s="33" t="s">
        <v>130</v>
      </c>
      <c r="S1166" s="56" t="s">
        <v>132</v>
      </c>
    </row>
    <row r="1167" spans="8:19" ht="40.200000000000003" customHeight="1" x14ac:dyDescent="0.3">
      <c r="H1167" s="32" t="s">
        <v>69</v>
      </c>
      <c r="I1167" s="33" t="s">
        <v>14</v>
      </c>
      <c r="J1167" s="34" t="s">
        <v>16</v>
      </c>
      <c r="K1167" s="35" t="s">
        <v>290</v>
      </c>
      <c r="L1167" s="33" t="s">
        <v>169</v>
      </c>
      <c r="M1167" s="33">
        <v>3701</v>
      </c>
      <c r="N1167" s="36"/>
      <c r="O1167" s="33">
        <v>1</v>
      </c>
      <c r="P1167" s="33">
        <f>IF(Tabela1[[#This Row],[Status]]="✔️",Tabela1[[#This Row],[Peso]],IF(Tabela1[[#This Row],[Status]]="✔️✔️",Tabela1[[#This Row],[Peso]]/2,0))</f>
        <v>0</v>
      </c>
      <c r="Q116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167" s="33" t="s">
        <v>130</v>
      </c>
      <c r="S1167" s="56" t="s">
        <v>132</v>
      </c>
    </row>
    <row r="1168" spans="8:19" ht="40.200000000000003" customHeight="1" x14ac:dyDescent="0.3">
      <c r="H1168" s="32" t="s">
        <v>69</v>
      </c>
      <c r="I1168" s="53" t="s">
        <v>17</v>
      </c>
      <c r="J1168" s="57" t="s">
        <v>18</v>
      </c>
      <c r="K1168" s="54" t="s">
        <v>290</v>
      </c>
      <c r="L1168" s="53" t="s">
        <v>173</v>
      </c>
      <c r="M1168" s="53">
        <v>3182</v>
      </c>
      <c r="N1168" s="55"/>
      <c r="O1168" s="53">
        <v>3</v>
      </c>
      <c r="P1168" s="33">
        <f>IF(Tabela1[[#This Row],[Status]]="✔️",Tabela1[[#This Row],[Peso]],IF(Tabela1[[#This Row],[Status]]="✔️✔️",Tabela1[[#This Row],[Peso]]/2,0))</f>
        <v>0</v>
      </c>
      <c r="Q116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68" s="33" t="s">
        <v>130</v>
      </c>
      <c r="S1168" s="56" t="s">
        <v>132</v>
      </c>
    </row>
    <row r="1169" spans="8:19" ht="40.200000000000003" customHeight="1" x14ac:dyDescent="0.3">
      <c r="H1169" s="32" t="s">
        <v>69</v>
      </c>
      <c r="I1169" s="33" t="s">
        <v>17</v>
      </c>
      <c r="J1169" s="34" t="s">
        <v>19</v>
      </c>
      <c r="K1169" s="35" t="s">
        <v>0</v>
      </c>
      <c r="L1169" s="33"/>
      <c r="M1169" s="33"/>
      <c r="N1169" s="36"/>
      <c r="O1169" s="33">
        <v>3</v>
      </c>
      <c r="P1169" s="33">
        <f>IF(Tabela1[[#This Row],[Status]]="✔️",Tabela1[[#This Row],[Peso]],IF(Tabela1[[#This Row],[Status]]="✔️✔️",Tabela1[[#This Row],[Peso]]/2,0))</f>
        <v>3</v>
      </c>
      <c r="Q116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69" s="33" t="s">
        <v>130</v>
      </c>
      <c r="S1169" s="56" t="s">
        <v>132</v>
      </c>
    </row>
    <row r="1170" spans="8:19" ht="40.200000000000003" customHeight="1" x14ac:dyDescent="0.3">
      <c r="H1170" s="32" t="s">
        <v>69</v>
      </c>
      <c r="I1170" s="33" t="s">
        <v>20</v>
      </c>
      <c r="J1170" s="34" t="s">
        <v>21</v>
      </c>
      <c r="K1170" s="35" t="s">
        <v>0</v>
      </c>
      <c r="L1170" s="33"/>
      <c r="M1170" s="33"/>
      <c r="N1170" s="36"/>
      <c r="O1170" s="33">
        <v>3</v>
      </c>
      <c r="P1170" s="33">
        <f>IF(Tabela1[[#This Row],[Status]]="✔️",Tabela1[[#This Row],[Peso]],IF(Tabela1[[#This Row],[Status]]="✔️✔️",Tabela1[[#This Row],[Peso]]/2,0))</f>
        <v>3</v>
      </c>
      <c r="Q117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70" s="33" t="s">
        <v>130</v>
      </c>
      <c r="S1170" s="56" t="s">
        <v>132</v>
      </c>
    </row>
    <row r="1171" spans="8:19" ht="40.200000000000003" customHeight="1" x14ac:dyDescent="0.3">
      <c r="H1171" s="32" t="s">
        <v>69</v>
      </c>
      <c r="I1171" s="33" t="s">
        <v>20</v>
      </c>
      <c r="J1171" s="34" t="s">
        <v>441</v>
      </c>
      <c r="K1171" s="35" t="s">
        <v>290</v>
      </c>
      <c r="L1171" s="33" t="s">
        <v>174</v>
      </c>
      <c r="M1171" s="33">
        <v>4378</v>
      </c>
      <c r="N1171" s="36"/>
      <c r="O1171" s="33">
        <v>1</v>
      </c>
      <c r="P1171" s="33">
        <f>IF(Tabela1[[#This Row],[Status]]="✔️",Tabela1[[#This Row],[Peso]],IF(Tabela1[[#This Row],[Status]]="✔️✔️",Tabela1[[#This Row],[Peso]]/2,0))</f>
        <v>0</v>
      </c>
      <c r="Q117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171" s="33" t="s">
        <v>130</v>
      </c>
      <c r="S1171" s="56" t="s">
        <v>132</v>
      </c>
    </row>
    <row r="1172" spans="8:19" ht="40.200000000000003" customHeight="1" x14ac:dyDescent="0.3">
      <c r="H1172" s="32" t="s">
        <v>69</v>
      </c>
      <c r="I1172" s="33" t="s">
        <v>25</v>
      </c>
      <c r="J1172" s="34" t="s">
        <v>28</v>
      </c>
      <c r="K1172" s="35" t="s">
        <v>0</v>
      </c>
      <c r="L1172" s="33"/>
      <c r="M1172" s="33"/>
      <c r="N1172" s="36"/>
      <c r="O1172" s="33">
        <v>3</v>
      </c>
      <c r="P1172" s="33">
        <f>IF(Tabela1[[#This Row],[Status]]="✔️",Tabela1[[#This Row],[Peso]],IF(Tabela1[[#This Row],[Status]]="✔️✔️",Tabela1[[#This Row],[Peso]]/2,0))</f>
        <v>3</v>
      </c>
      <c r="Q117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72" s="33" t="s">
        <v>130</v>
      </c>
      <c r="S1172" s="56" t="s">
        <v>132</v>
      </c>
    </row>
    <row r="1173" spans="8:19" ht="40.200000000000003" customHeight="1" x14ac:dyDescent="0.3">
      <c r="H1173" s="32" t="s">
        <v>69</v>
      </c>
      <c r="I1173" s="33" t="s">
        <v>25</v>
      </c>
      <c r="J1173" s="34" t="s">
        <v>29</v>
      </c>
      <c r="K1173" s="35" t="s">
        <v>0</v>
      </c>
      <c r="L1173" s="33"/>
      <c r="M1173" s="33"/>
      <c r="N1173" s="36"/>
      <c r="O1173" s="33">
        <v>3</v>
      </c>
      <c r="P1173" s="33">
        <f>IF(Tabela1[[#This Row],[Status]]="✔️",Tabela1[[#This Row],[Peso]],IF(Tabela1[[#This Row],[Status]]="✔️✔️",Tabela1[[#This Row],[Peso]]/2,0))</f>
        <v>3</v>
      </c>
      <c r="Q117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73" s="33" t="s">
        <v>130</v>
      </c>
      <c r="S1173" s="56" t="s">
        <v>132</v>
      </c>
    </row>
    <row r="1174" spans="8:19" ht="40.200000000000003" customHeight="1" x14ac:dyDescent="0.3">
      <c r="H1174" s="32" t="s">
        <v>69</v>
      </c>
      <c r="I1174" s="33" t="s">
        <v>25</v>
      </c>
      <c r="J1174" s="34" t="s">
        <v>449</v>
      </c>
      <c r="K1174" s="35" t="s">
        <v>290</v>
      </c>
      <c r="L1174" s="33" t="s">
        <v>175</v>
      </c>
      <c r="M1174" s="33">
        <v>9434</v>
      </c>
      <c r="N1174" s="36"/>
      <c r="O1174" s="33">
        <v>3</v>
      </c>
      <c r="P1174" s="33">
        <f>IF(Tabela1[[#This Row],[Status]]="✔️",Tabela1[[#This Row],[Peso]],IF(Tabela1[[#This Row],[Status]]="✔️✔️",Tabela1[[#This Row],[Peso]]/2,0))</f>
        <v>0</v>
      </c>
      <c r="Q117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74" s="33" t="s">
        <v>130</v>
      </c>
      <c r="S1174" s="56" t="s">
        <v>132</v>
      </c>
    </row>
    <row r="1175" spans="8:19" ht="40.200000000000003" customHeight="1" x14ac:dyDescent="0.3">
      <c r="H1175" s="32" t="s">
        <v>69</v>
      </c>
      <c r="I1175" s="33" t="s">
        <v>41</v>
      </c>
      <c r="J1175" s="34" t="s">
        <v>442</v>
      </c>
      <c r="K1175" s="35" t="s">
        <v>290</v>
      </c>
      <c r="L1175" s="33" t="s">
        <v>47</v>
      </c>
      <c r="M1175" s="33">
        <v>3184</v>
      </c>
      <c r="N1175" s="36"/>
      <c r="O1175" s="33">
        <v>3</v>
      </c>
      <c r="P1175" s="33">
        <f>IF(Tabela1[[#This Row],[Status]]="✔️",Tabela1[[#This Row],[Peso]],IF(Tabela1[[#This Row],[Status]]="✔️✔️",Tabela1[[#This Row],[Peso]]/2,0))</f>
        <v>0</v>
      </c>
      <c r="Q117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75" s="33" t="s">
        <v>130</v>
      </c>
      <c r="S1175" s="56" t="s">
        <v>132</v>
      </c>
    </row>
    <row r="1176" spans="8:19" ht="40.200000000000003" customHeight="1" x14ac:dyDescent="0.3">
      <c r="H1176" s="32" t="s">
        <v>69</v>
      </c>
      <c r="I1176" s="33" t="s">
        <v>41</v>
      </c>
      <c r="J1176" s="34" t="s">
        <v>443</v>
      </c>
      <c r="K1176" s="35" t="s">
        <v>290</v>
      </c>
      <c r="L1176" s="33" t="s">
        <v>47</v>
      </c>
      <c r="M1176" s="33">
        <v>3184</v>
      </c>
      <c r="N1176" s="36"/>
      <c r="O1176" s="33">
        <v>2</v>
      </c>
      <c r="P1176" s="33">
        <f>IF(Tabela1[[#This Row],[Status]]="✔️",Tabela1[[#This Row],[Peso]],IF(Tabela1[[#This Row],[Status]]="✔️✔️",Tabela1[[#This Row],[Peso]]/2,0))</f>
        <v>0</v>
      </c>
      <c r="Q117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176" s="33" t="s">
        <v>130</v>
      </c>
      <c r="S1176" s="56" t="s">
        <v>132</v>
      </c>
    </row>
    <row r="1177" spans="8:19" ht="40.200000000000003" customHeight="1" x14ac:dyDescent="0.3">
      <c r="H1177" s="32" t="s">
        <v>69</v>
      </c>
      <c r="I1177" s="33" t="s">
        <v>30</v>
      </c>
      <c r="J1177" s="34" t="s">
        <v>438</v>
      </c>
      <c r="K1177" s="35" t="s">
        <v>0</v>
      </c>
      <c r="L1177" s="33"/>
      <c r="M1177" s="33"/>
      <c r="N1177" s="36"/>
      <c r="O1177" s="33">
        <v>3</v>
      </c>
      <c r="P1177" s="33">
        <f>IF(Tabela1[[#This Row],[Status]]="✔️",Tabela1[[#This Row],[Peso]],IF(Tabela1[[#This Row],[Status]]="✔️✔️",Tabela1[[#This Row],[Peso]]/2,0))</f>
        <v>3</v>
      </c>
      <c r="Q117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77" s="33" t="s">
        <v>130</v>
      </c>
      <c r="S1177" s="56" t="s">
        <v>128</v>
      </c>
    </row>
    <row r="1178" spans="8:19" ht="40.200000000000003" customHeight="1" x14ac:dyDescent="0.3">
      <c r="H1178" s="32" t="s">
        <v>69</v>
      </c>
      <c r="I1178" s="33" t="s">
        <v>10</v>
      </c>
      <c r="J1178" s="34" t="s">
        <v>444</v>
      </c>
      <c r="K1178" s="35" t="s">
        <v>290</v>
      </c>
      <c r="L1178" s="33" t="s">
        <v>168</v>
      </c>
      <c r="M1178" s="33">
        <v>9588</v>
      </c>
      <c r="N1178" s="36"/>
      <c r="O1178" s="33">
        <v>3</v>
      </c>
      <c r="P1178" s="33">
        <f>IF(Tabela1[[#This Row],[Status]]="✔️",Tabela1[[#This Row],[Peso]],IF(Tabela1[[#This Row],[Status]]="✔️✔️",Tabela1[[#This Row],[Peso]]/2,0))</f>
        <v>0</v>
      </c>
      <c r="Q117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78" s="33" t="s">
        <v>130</v>
      </c>
      <c r="S1178" s="56" t="s">
        <v>132</v>
      </c>
    </row>
    <row r="1179" spans="8:19" ht="40.200000000000003" customHeight="1" x14ac:dyDescent="0.3">
      <c r="H1179" s="32" t="s">
        <v>69</v>
      </c>
      <c r="I1179" s="33" t="s">
        <v>10</v>
      </c>
      <c r="J1179" s="34" t="s">
        <v>11</v>
      </c>
      <c r="K1179" s="35" t="s">
        <v>0</v>
      </c>
      <c r="L1179" s="33"/>
      <c r="M1179" s="33"/>
      <c r="N1179" s="36"/>
      <c r="O1179" s="33">
        <v>3</v>
      </c>
      <c r="P1179" s="33">
        <f>IF(Tabela1[[#This Row],[Status]]="✔️",Tabela1[[#This Row],[Peso]],IF(Tabela1[[#This Row],[Status]]="✔️✔️",Tabela1[[#This Row],[Peso]]/2,0))</f>
        <v>3</v>
      </c>
      <c r="Q117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79" s="33" t="s">
        <v>130</v>
      </c>
      <c r="S1179" s="56" t="s">
        <v>128</v>
      </c>
    </row>
    <row r="1180" spans="8:19" ht="40.200000000000003" customHeight="1" x14ac:dyDescent="0.3">
      <c r="H1180" s="32" t="s">
        <v>69</v>
      </c>
      <c r="I1180" s="33" t="s">
        <v>10</v>
      </c>
      <c r="J1180" s="34" t="s">
        <v>439</v>
      </c>
      <c r="K1180" s="35" t="s">
        <v>0</v>
      </c>
      <c r="L1180" s="33"/>
      <c r="M1180" s="33"/>
      <c r="N1180" s="36"/>
      <c r="O1180" s="33">
        <v>3</v>
      </c>
      <c r="P1180" s="33">
        <f>IF(Tabela1[[#This Row],[Status]]="✔️",Tabela1[[#This Row],[Peso]],IF(Tabela1[[#This Row],[Status]]="✔️✔️",Tabela1[[#This Row],[Peso]]/2,0))</f>
        <v>3</v>
      </c>
      <c r="Q118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80" s="33" t="s">
        <v>130</v>
      </c>
      <c r="S1180" s="56" t="s">
        <v>128</v>
      </c>
    </row>
    <row r="1181" spans="8:19" ht="40.200000000000003" customHeight="1" x14ac:dyDescent="0.3">
      <c r="H1181" s="32" t="s">
        <v>69</v>
      </c>
      <c r="I1181" s="33" t="s">
        <v>10</v>
      </c>
      <c r="J1181" s="34" t="s">
        <v>440</v>
      </c>
      <c r="K1181" s="35" t="s">
        <v>0</v>
      </c>
      <c r="L1181" s="33"/>
      <c r="M1181" s="33"/>
      <c r="N1181" s="36"/>
      <c r="O1181" s="33">
        <v>3</v>
      </c>
      <c r="P1181" s="33">
        <f>IF(Tabela1[[#This Row],[Status]]="✔️",Tabela1[[#This Row],[Peso]],IF(Tabela1[[#This Row],[Status]]="✔️✔️",Tabela1[[#This Row],[Peso]]/2,0))</f>
        <v>3</v>
      </c>
      <c r="Q118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81" s="33" t="s">
        <v>130</v>
      </c>
      <c r="S1181" s="56" t="s">
        <v>128</v>
      </c>
    </row>
    <row r="1182" spans="8:19" ht="40.200000000000003" customHeight="1" x14ac:dyDescent="0.3">
      <c r="H1182" s="32" t="s">
        <v>69</v>
      </c>
      <c r="I1182" s="33" t="s">
        <v>12</v>
      </c>
      <c r="J1182" s="34" t="s">
        <v>13</v>
      </c>
      <c r="K1182" s="35" t="s">
        <v>0</v>
      </c>
      <c r="L1182" s="33"/>
      <c r="M1182" s="33"/>
      <c r="N1182" s="36"/>
      <c r="O1182" s="33">
        <v>2</v>
      </c>
      <c r="P1182" s="33">
        <f>IF(Tabela1[[#This Row],[Status]]="✔️",Tabela1[[#This Row],[Peso]],IF(Tabela1[[#This Row],[Status]]="✔️✔️",Tabela1[[#This Row],[Peso]]/2,0))</f>
        <v>2</v>
      </c>
      <c r="Q1182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182" s="33" t="s">
        <v>130</v>
      </c>
      <c r="S1182" s="56" t="s">
        <v>128</v>
      </c>
    </row>
    <row r="1183" spans="8:19" ht="40.200000000000003" customHeight="1" x14ac:dyDescent="0.3">
      <c r="H1183" s="32" t="s">
        <v>69</v>
      </c>
      <c r="I1183" s="33" t="s">
        <v>14</v>
      </c>
      <c r="J1183" s="34" t="s">
        <v>15</v>
      </c>
      <c r="K1183" s="35" t="s">
        <v>0</v>
      </c>
      <c r="L1183" s="33"/>
      <c r="M1183" s="33"/>
      <c r="N1183" s="36"/>
      <c r="O1183" s="33">
        <v>3</v>
      </c>
      <c r="P1183" s="33">
        <f>IF(Tabela1[[#This Row],[Status]]="✔️",Tabela1[[#This Row],[Peso]],IF(Tabela1[[#This Row],[Status]]="✔️✔️",Tabela1[[#This Row],[Peso]]/2,0))</f>
        <v>3</v>
      </c>
      <c r="Q118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83" s="33" t="s">
        <v>130</v>
      </c>
      <c r="S1183" s="56" t="s">
        <v>128</v>
      </c>
    </row>
    <row r="1184" spans="8:19" ht="40.200000000000003" customHeight="1" x14ac:dyDescent="0.3">
      <c r="H1184" s="32" t="s">
        <v>69</v>
      </c>
      <c r="I1184" s="33" t="s">
        <v>14</v>
      </c>
      <c r="J1184" s="34" t="s">
        <v>16</v>
      </c>
      <c r="K1184" s="35" t="s">
        <v>290</v>
      </c>
      <c r="L1184" s="33" t="s">
        <v>169</v>
      </c>
      <c r="M1184" s="33">
        <v>3701</v>
      </c>
      <c r="N1184" s="36"/>
      <c r="O1184" s="33">
        <v>1</v>
      </c>
      <c r="P1184" s="33">
        <f>IF(Tabela1[[#This Row],[Status]]="✔️",Tabela1[[#This Row],[Peso]],IF(Tabela1[[#This Row],[Status]]="✔️✔️",Tabela1[[#This Row],[Peso]]/2,0))</f>
        <v>0</v>
      </c>
      <c r="Q118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184" s="33" t="s">
        <v>130</v>
      </c>
      <c r="S1184" s="56" t="s">
        <v>128</v>
      </c>
    </row>
    <row r="1185" spans="8:19" ht="40.200000000000003" customHeight="1" x14ac:dyDescent="0.3">
      <c r="H1185" s="32" t="s">
        <v>69</v>
      </c>
      <c r="I1185" s="33" t="s">
        <v>17</v>
      </c>
      <c r="J1185" s="34" t="s">
        <v>18</v>
      </c>
      <c r="K1185" s="35" t="s">
        <v>290</v>
      </c>
      <c r="L1185" s="33" t="s">
        <v>173</v>
      </c>
      <c r="M1185" s="33">
        <v>3182</v>
      </c>
      <c r="N1185" s="36"/>
      <c r="O1185" s="33">
        <v>3</v>
      </c>
      <c r="P1185" s="33">
        <f>IF(Tabela1[[#This Row],[Status]]="✔️",Tabela1[[#This Row],[Peso]],IF(Tabela1[[#This Row],[Status]]="✔️✔️",Tabela1[[#This Row],[Peso]]/2,0))</f>
        <v>0</v>
      </c>
      <c r="Q118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85" s="33" t="s">
        <v>130</v>
      </c>
      <c r="S1185" s="56" t="s">
        <v>128</v>
      </c>
    </row>
    <row r="1186" spans="8:19" ht="40.200000000000003" customHeight="1" x14ac:dyDescent="0.3">
      <c r="H1186" s="32" t="s">
        <v>69</v>
      </c>
      <c r="I1186" s="33" t="s">
        <v>17</v>
      </c>
      <c r="J1186" s="34" t="s">
        <v>19</v>
      </c>
      <c r="K1186" s="35" t="s">
        <v>0</v>
      </c>
      <c r="L1186" s="33"/>
      <c r="M1186" s="33"/>
      <c r="N1186" s="36"/>
      <c r="O1186" s="33">
        <v>3</v>
      </c>
      <c r="P1186" s="33">
        <f>IF(Tabela1[[#This Row],[Status]]="✔️",Tabela1[[#This Row],[Peso]],IF(Tabela1[[#This Row],[Status]]="✔️✔️",Tabela1[[#This Row],[Peso]]/2,0))</f>
        <v>3</v>
      </c>
      <c r="Q118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86" s="33" t="s">
        <v>130</v>
      </c>
      <c r="S1186" s="56" t="s">
        <v>128</v>
      </c>
    </row>
    <row r="1187" spans="8:19" ht="40.200000000000003" customHeight="1" x14ac:dyDescent="0.3">
      <c r="H1187" s="32" t="s">
        <v>69</v>
      </c>
      <c r="I1187" s="53" t="s">
        <v>20</v>
      </c>
      <c r="J1187" s="57" t="s">
        <v>21</v>
      </c>
      <c r="K1187" s="54" t="s">
        <v>0</v>
      </c>
      <c r="L1187" s="53"/>
      <c r="M1187" s="53"/>
      <c r="N1187" s="55"/>
      <c r="O1187" s="53">
        <v>3</v>
      </c>
      <c r="P1187" s="33">
        <f>IF(Tabela1[[#This Row],[Status]]="✔️",Tabela1[[#This Row],[Peso]],IF(Tabela1[[#This Row],[Status]]="✔️✔️",Tabela1[[#This Row],[Peso]]/2,0))</f>
        <v>3</v>
      </c>
      <c r="Q118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87" s="33" t="s">
        <v>130</v>
      </c>
      <c r="S1187" s="56" t="s">
        <v>128</v>
      </c>
    </row>
    <row r="1188" spans="8:19" ht="43.8" customHeight="1" x14ac:dyDescent="0.3">
      <c r="H1188" s="32" t="s">
        <v>69</v>
      </c>
      <c r="I1188" s="33" t="s">
        <v>20</v>
      </c>
      <c r="J1188" s="34" t="s">
        <v>441</v>
      </c>
      <c r="K1188" s="35" t="s">
        <v>290</v>
      </c>
      <c r="L1188" s="33" t="s">
        <v>174</v>
      </c>
      <c r="M1188" s="33">
        <v>4378</v>
      </c>
      <c r="N1188" s="36"/>
      <c r="O1188" s="33">
        <v>1</v>
      </c>
      <c r="P1188" s="33">
        <f>IF(Tabela1[[#This Row],[Status]]="✔️",Tabela1[[#This Row],[Peso]],IF(Tabela1[[#This Row],[Status]]="✔️✔️",Tabela1[[#This Row],[Peso]]/2,0))</f>
        <v>0</v>
      </c>
      <c r="Q118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188" s="33" t="s">
        <v>130</v>
      </c>
      <c r="S1188" s="37" t="s">
        <v>128</v>
      </c>
    </row>
    <row r="1189" spans="8:19" ht="43.8" customHeight="1" x14ac:dyDescent="0.3">
      <c r="H1189" s="32" t="s">
        <v>69</v>
      </c>
      <c r="I1189" s="33" t="s">
        <v>25</v>
      </c>
      <c r="J1189" s="34" t="s">
        <v>28</v>
      </c>
      <c r="K1189" s="35" t="s">
        <v>0</v>
      </c>
      <c r="L1189" s="33"/>
      <c r="M1189" s="33"/>
      <c r="N1189" s="36"/>
      <c r="O1189" s="33">
        <v>3</v>
      </c>
      <c r="P1189" s="33">
        <f>IF(Tabela1[[#This Row],[Status]]="✔️",Tabela1[[#This Row],[Peso]],IF(Tabela1[[#This Row],[Status]]="✔️✔️",Tabela1[[#This Row],[Peso]]/2,0))</f>
        <v>3</v>
      </c>
      <c r="Q118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89" s="33" t="s">
        <v>130</v>
      </c>
      <c r="S1189" s="37" t="s">
        <v>128</v>
      </c>
    </row>
    <row r="1190" spans="8:19" ht="43.8" customHeight="1" x14ac:dyDescent="0.3">
      <c r="H1190" s="32" t="s">
        <v>69</v>
      </c>
      <c r="I1190" s="33" t="s">
        <v>25</v>
      </c>
      <c r="J1190" s="34" t="s">
        <v>29</v>
      </c>
      <c r="K1190" s="35" t="s">
        <v>0</v>
      </c>
      <c r="L1190" s="33"/>
      <c r="M1190" s="33"/>
      <c r="N1190" s="36"/>
      <c r="O1190" s="33">
        <v>3</v>
      </c>
      <c r="P1190" s="33">
        <f>IF(Tabela1[[#This Row],[Status]]="✔️",Tabela1[[#This Row],[Peso]],IF(Tabela1[[#This Row],[Status]]="✔️✔️",Tabela1[[#This Row],[Peso]]/2,0))</f>
        <v>3</v>
      </c>
      <c r="Q119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90" s="33" t="s">
        <v>130</v>
      </c>
      <c r="S1190" s="37" t="s">
        <v>128</v>
      </c>
    </row>
    <row r="1191" spans="8:19" ht="39" customHeight="1" x14ac:dyDescent="0.3">
      <c r="H1191" s="52" t="s">
        <v>69</v>
      </c>
      <c r="I1191" s="53" t="s">
        <v>25</v>
      </c>
      <c r="J1191" s="57" t="s">
        <v>449</v>
      </c>
      <c r="K1191" s="54" t="s">
        <v>290</v>
      </c>
      <c r="L1191" s="53" t="s">
        <v>175</v>
      </c>
      <c r="M1191" s="53">
        <v>9434</v>
      </c>
      <c r="N1191" s="55"/>
      <c r="O1191" s="53">
        <v>3</v>
      </c>
      <c r="P1191" s="33">
        <f>IF(Tabela1[[#This Row],[Status]]="✔️",Tabela1[[#This Row],[Peso]],IF(Tabela1[[#This Row],[Status]]="✔️✔️",Tabela1[[#This Row],[Peso]]/2,0))</f>
        <v>0</v>
      </c>
      <c r="Q119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91" s="53" t="s">
        <v>130</v>
      </c>
      <c r="S1191" s="56" t="s">
        <v>128</v>
      </c>
    </row>
    <row r="1192" spans="8:19" ht="39" customHeight="1" x14ac:dyDescent="0.3">
      <c r="H1192" s="32" t="s">
        <v>69</v>
      </c>
      <c r="I1192" s="33" t="s">
        <v>41</v>
      </c>
      <c r="J1192" s="34" t="s">
        <v>442</v>
      </c>
      <c r="K1192" s="35" t="s">
        <v>290</v>
      </c>
      <c r="L1192" s="33" t="s">
        <v>47</v>
      </c>
      <c r="M1192" s="33">
        <v>3184</v>
      </c>
      <c r="N1192" s="36"/>
      <c r="O1192" s="33">
        <v>3</v>
      </c>
      <c r="P1192" s="33">
        <f>IF(Tabela1[[#This Row],[Status]]="✔️",Tabela1[[#This Row],[Peso]],IF(Tabela1[[#This Row],[Status]]="✔️✔️",Tabela1[[#This Row],[Peso]]/2,0))</f>
        <v>0</v>
      </c>
      <c r="Q119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92" s="33" t="s">
        <v>130</v>
      </c>
      <c r="S1192" s="37" t="s">
        <v>128</v>
      </c>
    </row>
    <row r="1193" spans="8:19" ht="39" customHeight="1" x14ac:dyDescent="0.3">
      <c r="H1193" s="32" t="s">
        <v>69</v>
      </c>
      <c r="I1193" s="33" t="s">
        <v>41</v>
      </c>
      <c r="J1193" s="34" t="s">
        <v>443</v>
      </c>
      <c r="K1193" s="35" t="s">
        <v>290</v>
      </c>
      <c r="L1193" s="33" t="s">
        <v>47</v>
      </c>
      <c r="M1193" s="33">
        <v>3184</v>
      </c>
      <c r="N1193" s="36"/>
      <c r="O1193" s="33">
        <v>2</v>
      </c>
      <c r="P1193" s="33">
        <f>IF(Tabela1[[#This Row],[Status]]="✔️",Tabela1[[#This Row],[Peso]],IF(Tabela1[[#This Row],[Status]]="✔️✔️",Tabela1[[#This Row],[Peso]]/2,0))</f>
        <v>0</v>
      </c>
      <c r="Q1193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193" s="33" t="s">
        <v>130</v>
      </c>
      <c r="S1193" s="37" t="s">
        <v>128</v>
      </c>
    </row>
    <row r="1194" spans="8:19" ht="39" customHeight="1" x14ac:dyDescent="0.3">
      <c r="H1194" s="32" t="s">
        <v>69</v>
      </c>
      <c r="I1194" s="33" t="s">
        <v>10</v>
      </c>
      <c r="J1194" s="34" t="s">
        <v>444</v>
      </c>
      <c r="K1194" s="35" t="s">
        <v>290</v>
      </c>
      <c r="L1194" s="33" t="s">
        <v>168</v>
      </c>
      <c r="M1194" s="33">
        <v>9588</v>
      </c>
      <c r="N1194" s="36"/>
      <c r="O1194" s="33">
        <v>3</v>
      </c>
      <c r="P1194" s="33">
        <f>IF(Tabela1[[#This Row],[Status]]="✔️",Tabela1[[#This Row],[Peso]],IF(Tabela1[[#This Row],[Status]]="✔️✔️",Tabela1[[#This Row],[Peso]]/2,0))</f>
        <v>0</v>
      </c>
      <c r="Q119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94" s="33" t="s">
        <v>130</v>
      </c>
      <c r="S1194" s="37" t="s">
        <v>128</v>
      </c>
    </row>
    <row r="1195" spans="8:19" ht="41.4" x14ac:dyDescent="0.3">
      <c r="H1195" s="32" t="s">
        <v>69</v>
      </c>
      <c r="I1195" s="33" t="s">
        <v>30</v>
      </c>
      <c r="J1195" s="34" t="s">
        <v>438</v>
      </c>
      <c r="K1195" s="35" t="s">
        <v>0</v>
      </c>
      <c r="L1195" s="33"/>
      <c r="M1195" s="33"/>
      <c r="N1195" s="36"/>
      <c r="O1195" s="33">
        <v>3</v>
      </c>
      <c r="P1195" s="33">
        <f>IF(Tabela1[[#This Row],[Status]]="✔️",Tabela1[[#This Row],[Peso]],IF(Tabela1[[#This Row],[Status]]="✔️✔️",Tabela1[[#This Row],[Peso]]/2,0))</f>
        <v>3</v>
      </c>
      <c r="Q119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95" s="33" t="s">
        <v>187</v>
      </c>
      <c r="S1195" s="37" t="s">
        <v>132</v>
      </c>
    </row>
    <row r="1196" spans="8:19" ht="41.4" x14ac:dyDescent="0.3">
      <c r="H1196" s="32" t="s">
        <v>69</v>
      </c>
      <c r="I1196" s="33" t="s">
        <v>10</v>
      </c>
      <c r="J1196" s="34" t="s">
        <v>11</v>
      </c>
      <c r="K1196" s="35" t="s">
        <v>0</v>
      </c>
      <c r="L1196" s="33"/>
      <c r="M1196" s="33"/>
      <c r="N1196" s="36"/>
      <c r="O1196" s="33">
        <v>3</v>
      </c>
      <c r="P1196" s="33">
        <f>IF(Tabela1[[#This Row],[Status]]="✔️",Tabela1[[#This Row],[Peso]],IF(Tabela1[[#This Row],[Status]]="✔️✔️",Tabela1[[#This Row],[Peso]]/2,0))</f>
        <v>3</v>
      </c>
      <c r="Q119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96" s="33" t="s">
        <v>187</v>
      </c>
      <c r="S1196" s="37" t="s">
        <v>132</v>
      </c>
    </row>
    <row r="1197" spans="8:19" ht="41.4" x14ac:dyDescent="0.3">
      <c r="H1197" s="32" t="s">
        <v>69</v>
      </c>
      <c r="I1197" s="33" t="s">
        <v>10</v>
      </c>
      <c r="J1197" s="34" t="s">
        <v>439</v>
      </c>
      <c r="K1197" s="35" t="s">
        <v>0</v>
      </c>
      <c r="L1197" s="33"/>
      <c r="M1197" s="33"/>
      <c r="N1197" s="36"/>
      <c r="O1197" s="33">
        <v>3</v>
      </c>
      <c r="P1197" s="33">
        <f>IF(Tabela1[[#This Row],[Status]]="✔️",Tabela1[[#This Row],[Peso]],IF(Tabela1[[#This Row],[Status]]="✔️✔️",Tabela1[[#This Row],[Peso]]/2,0))</f>
        <v>3</v>
      </c>
      <c r="Q119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97" s="33" t="s">
        <v>187</v>
      </c>
      <c r="S1197" s="37" t="s">
        <v>132</v>
      </c>
    </row>
    <row r="1198" spans="8:19" ht="41.4" x14ac:dyDescent="0.3">
      <c r="H1198" s="32" t="s">
        <v>69</v>
      </c>
      <c r="I1198" s="33" t="s">
        <v>10</v>
      </c>
      <c r="J1198" s="34" t="s">
        <v>440</v>
      </c>
      <c r="K1198" s="35" t="s">
        <v>0</v>
      </c>
      <c r="L1198" s="33"/>
      <c r="M1198" s="33"/>
      <c r="N1198" s="36"/>
      <c r="O1198" s="33">
        <v>3</v>
      </c>
      <c r="P1198" s="33">
        <f>IF(Tabela1[[#This Row],[Status]]="✔️",Tabela1[[#This Row],[Peso]],IF(Tabela1[[#This Row],[Status]]="✔️✔️",Tabela1[[#This Row],[Peso]]/2,0))</f>
        <v>3</v>
      </c>
      <c r="Q119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98" s="33" t="s">
        <v>187</v>
      </c>
      <c r="S1198" s="37" t="s">
        <v>132</v>
      </c>
    </row>
    <row r="1199" spans="8:19" ht="41.4" x14ac:dyDescent="0.3">
      <c r="H1199" s="32" t="s">
        <v>69</v>
      </c>
      <c r="I1199" s="33" t="s">
        <v>12</v>
      </c>
      <c r="J1199" s="34" t="s">
        <v>13</v>
      </c>
      <c r="K1199" s="35" t="s">
        <v>0</v>
      </c>
      <c r="L1199" s="33"/>
      <c r="M1199" s="33"/>
      <c r="N1199" s="36"/>
      <c r="O1199" s="33">
        <v>2</v>
      </c>
      <c r="P1199" s="33">
        <f>IF(Tabela1[[#This Row],[Status]]="✔️",Tabela1[[#This Row],[Peso]],IF(Tabela1[[#This Row],[Status]]="✔️✔️",Tabela1[[#This Row],[Peso]]/2,0))</f>
        <v>2</v>
      </c>
      <c r="Q119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199" s="33" t="s">
        <v>187</v>
      </c>
      <c r="S1199" s="37" t="s">
        <v>132</v>
      </c>
    </row>
    <row r="1200" spans="8:19" ht="41.4" x14ac:dyDescent="0.3">
      <c r="H1200" s="32" t="s">
        <v>69</v>
      </c>
      <c r="I1200" s="33" t="s">
        <v>14</v>
      </c>
      <c r="J1200" s="34" t="s">
        <v>15</v>
      </c>
      <c r="K1200" s="35" t="s">
        <v>0</v>
      </c>
      <c r="L1200" s="33"/>
      <c r="M1200" s="33"/>
      <c r="N1200" s="36"/>
      <c r="O1200" s="33">
        <v>3</v>
      </c>
      <c r="P1200" s="33">
        <f>IF(Tabela1[[#This Row],[Status]]="✔️",Tabela1[[#This Row],[Peso]],IF(Tabela1[[#This Row],[Status]]="✔️✔️",Tabela1[[#This Row],[Peso]]/2,0))</f>
        <v>3</v>
      </c>
      <c r="Q120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00" s="33" t="s">
        <v>187</v>
      </c>
      <c r="S1200" s="37" t="s">
        <v>132</v>
      </c>
    </row>
    <row r="1201" spans="8:19" ht="41.4" x14ac:dyDescent="0.3">
      <c r="H1201" s="32" t="s">
        <v>69</v>
      </c>
      <c r="I1201" s="33" t="s">
        <v>14</v>
      </c>
      <c r="J1201" s="34" t="s">
        <v>16</v>
      </c>
      <c r="K1201" s="35" t="s">
        <v>0</v>
      </c>
      <c r="L1201" s="33"/>
      <c r="M1201" s="33"/>
      <c r="N1201" s="36"/>
      <c r="O1201" s="33">
        <v>1</v>
      </c>
      <c r="P1201" s="33">
        <f>IF(Tabela1[[#This Row],[Status]]="✔️",Tabela1[[#This Row],[Peso]],IF(Tabela1[[#This Row],[Status]]="✔️✔️",Tabela1[[#This Row],[Peso]]/2,0))</f>
        <v>1</v>
      </c>
      <c r="Q120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01" s="33" t="s">
        <v>187</v>
      </c>
      <c r="S1201" s="37" t="s">
        <v>132</v>
      </c>
    </row>
    <row r="1202" spans="8:19" ht="41.4" x14ac:dyDescent="0.3">
      <c r="H1202" s="32" t="s">
        <v>69</v>
      </c>
      <c r="I1202" s="33" t="s">
        <v>17</v>
      </c>
      <c r="J1202" s="34" t="s">
        <v>18</v>
      </c>
      <c r="K1202" s="35" t="s">
        <v>0</v>
      </c>
      <c r="L1202" s="33"/>
      <c r="M1202" s="33"/>
      <c r="N1202" s="36"/>
      <c r="O1202" s="33">
        <v>3</v>
      </c>
      <c r="P1202" s="33">
        <f>IF(Tabela1[[#This Row],[Status]]="✔️",Tabela1[[#This Row],[Peso]],IF(Tabela1[[#This Row],[Status]]="✔️✔️",Tabela1[[#This Row],[Peso]]/2,0))</f>
        <v>3</v>
      </c>
      <c r="Q120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02" s="33" t="s">
        <v>187</v>
      </c>
      <c r="S1202" s="37" t="s">
        <v>132</v>
      </c>
    </row>
    <row r="1203" spans="8:19" ht="41.4" x14ac:dyDescent="0.3">
      <c r="H1203" s="32" t="s">
        <v>69</v>
      </c>
      <c r="I1203" s="33" t="s">
        <v>17</v>
      </c>
      <c r="J1203" s="34" t="s">
        <v>19</v>
      </c>
      <c r="K1203" s="35" t="s">
        <v>0</v>
      </c>
      <c r="L1203" s="33"/>
      <c r="M1203" s="33"/>
      <c r="N1203" s="36"/>
      <c r="O1203" s="33">
        <v>1</v>
      </c>
      <c r="P1203" s="33">
        <f>IF(Tabela1[[#This Row],[Status]]="✔️",Tabela1[[#This Row],[Peso]],IF(Tabela1[[#This Row],[Status]]="✔️✔️",Tabela1[[#This Row],[Peso]]/2,0))</f>
        <v>1</v>
      </c>
      <c r="Q120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03" s="33" t="s">
        <v>187</v>
      </c>
      <c r="S1203" s="37" t="s">
        <v>132</v>
      </c>
    </row>
    <row r="1204" spans="8:19" ht="41.4" x14ac:dyDescent="0.3">
      <c r="H1204" s="32" t="s">
        <v>69</v>
      </c>
      <c r="I1204" s="33" t="s">
        <v>20</v>
      </c>
      <c r="J1204" s="34" t="s">
        <v>21</v>
      </c>
      <c r="K1204" s="35" t="s">
        <v>0</v>
      </c>
      <c r="L1204" s="33"/>
      <c r="M1204" s="33"/>
      <c r="N1204" s="36"/>
      <c r="O1204" s="33">
        <v>3</v>
      </c>
      <c r="P1204" s="33">
        <f>IF(Tabela1[[#This Row],[Status]]="✔️",Tabela1[[#This Row],[Peso]],IF(Tabela1[[#This Row],[Status]]="✔️✔️",Tabela1[[#This Row],[Peso]]/2,0))</f>
        <v>3</v>
      </c>
      <c r="Q120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04" s="33" t="s">
        <v>187</v>
      </c>
      <c r="S1204" s="37" t="s">
        <v>132</v>
      </c>
    </row>
    <row r="1205" spans="8:19" ht="41.4" x14ac:dyDescent="0.3">
      <c r="H1205" s="32" t="s">
        <v>69</v>
      </c>
      <c r="I1205" s="33" t="s">
        <v>20</v>
      </c>
      <c r="J1205" s="34" t="s">
        <v>441</v>
      </c>
      <c r="K1205" s="35" t="s">
        <v>290</v>
      </c>
      <c r="L1205" s="33" t="s">
        <v>174</v>
      </c>
      <c r="M1205" s="33">
        <v>9524</v>
      </c>
      <c r="N1205" s="36"/>
      <c r="O1205" s="33">
        <v>1</v>
      </c>
      <c r="P1205" s="33">
        <f>IF(Tabela1[[#This Row],[Status]]="✔️",Tabela1[[#This Row],[Peso]],IF(Tabela1[[#This Row],[Status]]="✔️✔️",Tabela1[[#This Row],[Peso]]/2,0))</f>
        <v>0</v>
      </c>
      <c r="Q120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05" s="33" t="s">
        <v>187</v>
      </c>
      <c r="S1205" s="37" t="s">
        <v>132</v>
      </c>
    </row>
    <row r="1206" spans="8:19" ht="41.4" x14ac:dyDescent="0.3">
      <c r="H1206" s="32" t="s">
        <v>69</v>
      </c>
      <c r="I1206" s="33" t="s">
        <v>25</v>
      </c>
      <c r="J1206" s="34" t="s">
        <v>28</v>
      </c>
      <c r="K1206" s="35" t="s">
        <v>0</v>
      </c>
      <c r="L1206" s="33"/>
      <c r="M1206" s="33"/>
      <c r="N1206" s="36"/>
      <c r="O1206" s="33">
        <v>3</v>
      </c>
      <c r="P1206" s="33">
        <f>IF(Tabela1[[#This Row],[Status]]="✔️",Tabela1[[#This Row],[Peso]],IF(Tabela1[[#This Row],[Status]]="✔️✔️",Tabela1[[#This Row],[Peso]]/2,0))</f>
        <v>3</v>
      </c>
      <c r="Q120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06" s="33" t="s">
        <v>187</v>
      </c>
      <c r="S1206" s="37" t="s">
        <v>132</v>
      </c>
    </row>
    <row r="1207" spans="8:19" ht="41.4" x14ac:dyDescent="0.3">
      <c r="H1207" s="32" t="s">
        <v>69</v>
      </c>
      <c r="I1207" s="33" t="s">
        <v>25</v>
      </c>
      <c r="J1207" s="34" t="s">
        <v>29</v>
      </c>
      <c r="K1207" s="35" t="s">
        <v>0</v>
      </c>
      <c r="L1207" s="33"/>
      <c r="M1207" s="33"/>
      <c r="N1207" s="36"/>
      <c r="O1207" s="33">
        <v>3</v>
      </c>
      <c r="P1207" s="33">
        <f>IF(Tabela1[[#This Row],[Status]]="✔️",Tabela1[[#This Row],[Peso]],IF(Tabela1[[#This Row],[Status]]="✔️✔️",Tabela1[[#This Row],[Peso]]/2,0))</f>
        <v>3</v>
      </c>
      <c r="Q120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07" s="33" t="s">
        <v>187</v>
      </c>
      <c r="S1207" s="37" t="s">
        <v>132</v>
      </c>
    </row>
    <row r="1208" spans="8:19" ht="41.4" x14ac:dyDescent="0.3">
      <c r="H1208" s="32" t="s">
        <v>69</v>
      </c>
      <c r="I1208" s="33" t="s">
        <v>25</v>
      </c>
      <c r="J1208" s="34" t="s">
        <v>449</v>
      </c>
      <c r="K1208" s="35" t="s">
        <v>0</v>
      </c>
      <c r="L1208" s="33"/>
      <c r="M1208" s="33"/>
      <c r="N1208" s="36"/>
      <c r="O1208" s="33">
        <v>3</v>
      </c>
      <c r="P1208" s="33">
        <f>IF(Tabela1[[#This Row],[Status]]="✔️",Tabela1[[#This Row],[Peso]],IF(Tabela1[[#This Row],[Status]]="✔️✔️",Tabela1[[#This Row],[Peso]]/2,0))</f>
        <v>3</v>
      </c>
      <c r="Q120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08" s="33" t="s">
        <v>187</v>
      </c>
      <c r="S1208" s="37" t="s">
        <v>132</v>
      </c>
    </row>
    <row r="1209" spans="8:19" ht="41.4" x14ac:dyDescent="0.3">
      <c r="H1209" s="32" t="s">
        <v>69</v>
      </c>
      <c r="I1209" s="33" t="s">
        <v>41</v>
      </c>
      <c r="J1209" s="34" t="s">
        <v>442</v>
      </c>
      <c r="K1209" s="35" t="s">
        <v>290</v>
      </c>
      <c r="L1209" s="33" t="s">
        <v>236</v>
      </c>
      <c r="M1209" s="33">
        <v>9106</v>
      </c>
      <c r="N1209" s="36"/>
      <c r="O1209" s="33">
        <v>3</v>
      </c>
      <c r="P1209" s="33">
        <f>IF(Tabela1[[#This Row],[Status]]="✔️",Tabela1[[#This Row],[Peso]],IF(Tabela1[[#This Row],[Status]]="✔️✔️",Tabela1[[#This Row],[Peso]]/2,0))</f>
        <v>0</v>
      </c>
      <c r="Q120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09" s="33" t="s">
        <v>187</v>
      </c>
      <c r="S1209" s="37" t="s">
        <v>132</v>
      </c>
    </row>
    <row r="1210" spans="8:19" ht="41.4" x14ac:dyDescent="0.3">
      <c r="H1210" s="32" t="s">
        <v>69</v>
      </c>
      <c r="I1210" s="53" t="s">
        <v>41</v>
      </c>
      <c r="J1210" s="57" t="s">
        <v>443</v>
      </c>
      <c r="K1210" s="54" t="s">
        <v>290</v>
      </c>
      <c r="L1210" s="53" t="s">
        <v>236</v>
      </c>
      <c r="M1210" s="53">
        <v>9106</v>
      </c>
      <c r="N1210" s="55"/>
      <c r="O1210" s="53">
        <v>2</v>
      </c>
      <c r="P1210" s="33">
        <f>IF(Tabela1[[#This Row],[Status]]="✔️",Tabela1[[#This Row],[Peso]],IF(Tabela1[[#This Row],[Status]]="✔️✔️",Tabela1[[#This Row],[Peso]]/2,0))</f>
        <v>0</v>
      </c>
      <c r="Q1210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210" s="53" t="s">
        <v>187</v>
      </c>
      <c r="S1210" s="56" t="s">
        <v>132</v>
      </c>
    </row>
    <row r="1211" spans="8:19" ht="41.4" x14ac:dyDescent="0.3">
      <c r="H1211" s="32" t="s">
        <v>69</v>
      </c>
      <c r="I1211" s="33" t="s">
        <v>10</v>
      </c>
      <c r="J1211" s="34" t="s">
        <v>444</v>
      </c>
      <c r="K1211" s="35" t="s">
        <v>290</v>
      </c>
      <c r="L1211" s="33" t="s">
        <v>238</v>
      </c>
      <c r="M1211" s="33">
        <v>8967</v>
      </c>
      <c r="N1211" s="36"/>
      <c r="O1211" s="33">
        <v>3</v>
      </c>
      <c r="P1211" s="33">
        <f>IF(Tabela1[[#This Row],[Status]]="✔️",Tabela1[[#This Row],[Peso]],IF(Tabela1[[#This Row],[Status]]="✔️✔️",Tabela1[[#This Row],[Peso]]/2,0))</f>
        <v>0</v>
      </c>
      <c r="Q121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11" s="33" t="s">
        <v>187</v>
      </c>
      <c r="S1211" s="37" t="s">
        <v>132</v>
      </c>
    </row>
    <row r="1212" spans="8:19" ht="27.6" x14ac:dyDescent="0.3">
      <c r="H1212" s="32" t="s">
        <v>69</v>
      </c>
      <c r="I1212" s="33" t="s">
        <v>14</v>
      </c>
      <c r="J1212" s="34" t="s">
        <v>15</v>
      </c>
      <c r="K1212" s="35" t="s">
        <v>290</v>
      </c>
      <c r="L1212" s="33" t="s">
        <v>336</v>
      </c>
      <c r="M1212" s="33"/>
      <c r="N1212" s="36"/>
      <c r="O1212" s="33">
        <v>3</v>
      </c>
      <c r="P1212" s="33">
        <f>IF(Tabela1[[#This Row],[Status]]="✔️",Tabela1[[#This Row],[Peso]],IF(Tabela1[[#This Row],[Status]]="✔️✔️",Tabela1[[#This Row],[Peso]]/2,0))</f>
        <v>0</v>
      </c>
      <c r="Q121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12" s="33" t="s">
        <v>264</v>
      </c>
      <c r="S1212" s="37" t="s">
        <v>263</v>
      </c>
    </row>
    <row r="1213" spans="8:19" ht="27.6" x14ac:dyDescent="0.3">
      <c r="H1213" s="32" t="s">
        <v>69</v>
      </c>
      <c r="I1213" s="33" t="s">
        <v>14</v>
      </c>
      <c r="J1213" s="34" t="s">
        <v>16</v>
      </c>
      <c r="K1213" s="35" t="s">
        <v>290</v>
      </c>
      <c r="L1213" s="33" t="s">
        <v>336</v>
      </c>
      <c r="M1213" s="33"/>
      <c r="N1213" s="36"/>
      <c r="O1213" s="33">
        <v>1</v>
      </c>
      <c r="P1213" s="33">
        <f>IF(Tabela1[[#This Row],[Status]]="✔️",Tabela1[[#This Row],[Peso]],IF(Tabela1[[#This Row],[Status]]="✔️✔️",Tabela1[[#This Row],[Peso]]/2,0))</f>
        <v>0</v>
      </c>
      <c r="Q121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13" s="33" t="s">
        <v>264</v>
      </c>
      <c r="S1213" s="37" t="s">
        <v>263</v>
      </c>
    </row>
    <row r="1214" spans="8:19" ht="27.6" x14ac:dyDescent="0.3">
      <c r="H1214" s="32" t="s">
        <v>69</v>
      </c>
      <c r="I1214" s="33" t="s">
        <v>10</v>
      </c>
      <c r="J1214" s="34" t="s">
        <v>11</v>
      </c>
      <c r="K1214" s="35" t="s">
        <v>1</v>
      </c>
      <c r="L1214" s="33" t="s">
        <v>339</v>
      </c>
      <c r="M1214" s="33"/>
      <c r="N1214" s="36"/>
      <c r="O1214" s="33">
        <v>3</v>
      </c>
      <c r="P1214" s="33">
        <f>IF(Tabela1[[#This Row],[Status]]="✔️",Tabela1[[#This Row],[Peso]],IF(Tabela1[[#This Row],[Status]]="✔️✔️",Tabela1[[#This Row],[Peso]]/2,0))</f>
        <v>0</v>
      </c>
      <c r="Q121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214" s="33" t="s">
        <v>264</v>
      </c>
      <c r="S1214" s="37" t="s">
        <v>263</v>
      </c>
    </row>
    <row r="1215" spans="8:19" ht="27.6" x14ac:dyDescent="0.3">
      <c r="H1215" s="32" t="s">
        <v>69</v>
      </c>
      <c r="I1215" s="33" t="s">
        <v>10</v>
      </c>
      <c r="J1215" s="34" t="s">
        <v>316</v>
      </c>
      <c r="K1215" s="35" t="s">
        <v>0</v>
      </c>
      <c r="L1215" s="33"/>
      <c r="M1215" s="33"/>
      <c r="N1215" s="36"/>
      <c r="O1215" s="33">
        <v>3</v>
      </c>
      <c r="P1215" s="33">
        <f>IF(Tabela1[[#This Row],[Status]]="✔️",Tabela1[[#This Row],[Peso]],IF(Tabela1[[#This Row],[Status]]="✔️✔️",Tabela1[[#This Row],[Peso]]/2,0))</f>
        <v>3</v>
      </c>
      <c r="Q121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15" s="33" t="s">
        <v>264</v>
      </c>
      <c r="S1215" s="37" t="s">
        <v>263</v>
      </c>
    </row>
    <row r="1216" spans="8:19" ht="27.6" x14ac:dyDescent="0.3">
      <c r="H1216" s="32" t="s">
        <v>69</v>
      </c>
      <c r="I1216" s="33" t="s">
        <v>10</v>
      </c>
      <c r="J1216" s="34" t="s">
        <v>450</v>
      </c>
      <c r="K1216" s="35" t="s">
        <v>1</v>
      </c>
      <c r="L1216" s="33" t="s">
        <v>339</v>
      </c>
      <c r="M1216" s="33"/>
      <c r="N1216" s="36"/>
      <c r="O1216" s="33">
        <v>3</v>
      </c>
      <c r="P1216" s="33">
        <f>IF(Tabela1[[#This Row],[Status]]="✔️",Tabela1[[#This Row],[Peso]],IF(Tabela1[[#This Row],[Status]]="✔️✔️",Tabela1[[#This Row],[Peso]]/2,0))</f>
        <v>0</v>
      </c>
      <c r="Q121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216" s="33" t="s">
        <v>264</v>
      </c>
      <c r="S1216" s="37" t="s">
        <v>263</v>
      </c>
    </row>
    <row r="1217" spans="8:19" ht="27.6" x14ac:dyDescent="0.3">
      <c r="H1217" s="32" t="s">
        <v>69</v>
      </c>
      <c r="I1217" s="33" t="s">
        <v>10</v>
      </c>
      <c r="J1217" s="34" t="s">
        <v>451</v>
      </c>
      <c r="K1217" s="35" t="s">
        <v>1</v>
      </c>
      <c r="L1217" s="33"/>
      <c r="M1217" s="33"/>
      <c r="N1217" s="36"/>
      <c r="O1217" s="33">
        <v>3</v>
      </c>
      <c r="P1217" s="33">
        <f>IF(Tabela1[[#This Row],[Status]]="✔️",Tabela1[[#This Row],[Peso]],IF(Tabela1[[#This Row],[Status]]="✔️✔️",Tabela1[[#This Row],[Peso]]/2,0))</f>
        <v>0</v>
      </c>
      <c r="Q121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217" s="33" t="s">
        <v>264</v>
      </c>
      <c r="S1217" s="37" t="s">
        <v>263</v>
      </c>
    </row>
    <row r="1218" spans="8:19" ht="27.6" x14ac:dyDescent="0.3">
      <c r="H1218" s="32" t="s">
        <v>69</v>
      </c>
      <c r="I1218" s="33" t="s">
        <v>12</v>
      </c>
      <c r="J1218" s="34" t="s">
        <v>13</v>
      </c>
      <c r="K1218" s="35" t="s">
        <v>0</v>
      </c>
      <c r="L1218" s="33"/>
      <c r="M1218" s="33"/>
      <c r="N1218" s="36"/>
      <c r="O1218" s="33">
        <v>2</v>
      </c>
      <c r="P1218" s="33">
        <f>IF(Tabela1[[#This Row],[Status]]="✔️",Tabela1[[#This Row],[Peso]],IF(Tabela1[[#This Row],[Status]]="✔️✔️",Tabela1[[#This Row],[Peso]]/2,0))</f>
        <v>2</v>
      </c>
      <c r="Q1218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218" s="33" t="s">
        <v>264</v>
      </c>
      <c r="S1218" s="37" t="s">
        <v>263</v>
      </c>
    </row>
    <row r="1219" spans="8:19" ht="27.6" x14ac:dyDescent="0.3">
      <c r="H1219" s="32" t="s">
        <v>69</v>
      </c>
      <c r="I1219" s="33" t="s">
        <v>17</v>
      </c>
      <c r="J1219" s="34" t="s">
        <v>18</v>
      </c>
      <c r="K1219" s="35" t="s">
        <v>0</v>
      </c>
      <c r="L1219" s="33"/>
      <c r="M1219" s="33"/>
      <c r="N1219" s="36"/>
      <c r="O1219" s="33">
        <v>3</v>
      </c>
      <c r="P1219" s="33">
        <f>IF(Tabela1[[#This Row],[Status]]="✔️",Tabela1[[#This Row],[Peso]],IF(Tabela1[[#This Row],[Status]]="✔️✔️",Tabela1[[#This Row],[Peso]]/2,0))</f>
        <v>3</v>
      </c>
      <c r="Q121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19" s="33" t="s">
        <v>264</v>
      </c>
      <c r="S1219" s="37" t="s">
        <v>263</v>
      </c>
    </row>
    <row r="1220" spans="8:19" ht="27.6" x14ac:dyDescent="0.3">
      <c r="H1220" s="32" t="s">
        <v>69</v>
      </c>
      <c r="I1220" s="33" t="s">
        <v>17</v>
      </c>
      <c r="J1220" s="34" t="s">
        <v>19</v>
      </c>
      <c r="K1220" s="35" t="s">
        <v>0</v>
      </c>
      <c r="L1220" s="33"/>
      <c r="M1220" s="33"/>
      <c r="N1220" s="36"/>
      <c r="O1220" s="33">
        <v>1</v>
      </c>
      <c r="P1220" s="33">
        <f>IF(Tabela1[[#This Row],[Status]]="✔️",Tabela1[[#This Row],[Peso]],IF(Tabela1[[#This Row],[Status]]="✔️✔️",Tabela1[[#This Row],[Peso]]/2,0))</f>
        <v>1</v>
      </c>
      <c r="Q122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20" s="33" t="s">
        <v>264</v>
      </c>
      <c r="S1220" s="37" t="s">
        <v>263</v>
      </c>
    </row>
    <row r="1221" spans="8:19" ht="27.6" x14ac:dyDescent="0.3">
      <c r="H1221" s="32" t="s">
        <v>69</v>
      </c>
      <c r="I1221" s="33" t="s">
        <v>20</v>
      </c>
      <c r="J1221" s="34" t="s">
        <v>21</v>
      </c>
      <c r="K1221" s="35" t="s">
        <v>1</v>
      </c>
      <c r="L1221" s="33"/>
      <c r="M1221" s="33"/>
      <c r="N1221" s="36"/>
      <c r="O1221" s="33">
        <v>3</v>
      </c>
      <c r="P1221" s="33">
        <f>IF(Tabela1[[#This Row],[Status]]="✔️",Tabela1[[#This Row],[Peso]],IF(Tabela1[[#This Row],[Status]]="✔️✔️",Tabela1[[#This Row],[Peso]]/2,0))</f>
        <v>0</v>
      </c>
      <c r="Q122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221" s="33" t="s">
        <v>264</v>
      </c>
      <c r="S1221" s="37" t="s">
        <v>263</v>
      </c>
    </row>
    <row r="1222" spans="8:19" ht="27.6" x14ac:dyDescent="0.3">
      <c r="H1222" s="32" t="s">
        <v>69</v>
      </c>
      <c r="I1222" s="33" t="s">
        <v>20</v>
      </c>
      <c r="J1222" s="34" t="s">
        <v>452</v>
      </c>
      <c r="K1222" s="35" t="s">
        <v>290</v>
      </c>
      <c r="L1222" s="33"/>
      <c r="M1222" s="33"/>
      <c r="N1222" s="36"/>
      <c r="O1222" s="33">
        <v>1</v>
      </c>
      <c r="P1222" s="33">
        <f>IF(Tabela1[[#This Row],[Status]]="✔️",Tabela1[[#This Row],[Peso]],IF(Tabela1[[#This Row],[Status]]="✔️✔️",Tabela1[[#This Row],[Peso]]/2,0))</f>
        <v>0</v>
      </c>
      <c r="Q122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22" s="33" t="s">
        <v>264</v>
      </c>
      <c r="S1222" s="37" t="s">
        <v>263</v>
      </c>
    </row>
    <row r="1223" spans="8:19" ht="27.6" x14ac:dyDescent="0.3">
      <c r="H1223" s="32" t="s">
        <v>69</v>
      </c>
      <c r="I1223" s="33" t="s">
        <v>22</v>
      </c>
      <c r="J1223" s="34" t="s">
        <v>23</v>
      </c>
      <c r="K1223" s="35" t="s">
        <v>1</v>
      </c>
      <c r="L1223" s="33"/>
      <c r="M1223" s="33"/>
      <c r="N1223" s="36"/>
      <c r="O1223" s="33">
        <v>1</v>
      </c>
      <c r="P1223" s="33">
        <f>IF(Tabela1[[#This Row],[Status]]="✔️",Tabela1[[#This Row],[Peso]],IF(Tabela1[[#This Row],[Status]]="✔️✔️",Tabela1[[#This Row],[Peso]]/2,0))</f>
        <v>0</v>
      </c>
      <c r="Q122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223" s="33" t="s">
        <v>264</v>
      </c>
      <c r="S1223" s="37" t="s">
        <v>263</v>
      </c>
    </row>
    <row r="1224" spans="8:19" ht="27.6" x14ac:dyDescent="0.3">
      <c r="H1224" s="32" t="s">
        <v>69</v>
      </c>
      <c r="I1224" s="33" t="s">
        <v>22</v>
      </c>
      <c r="J1224" s="34" t="s">
        <v>453</v>
      </c>
      <c r="K1224" s="35" t="s">
        <v>1</v>
      </c>
      <c r="L1224" s="33"/>
      <c r="M1224" s="33"/>
      <c r="N1224" s="36"/>
      <c r="O1224" s="33">
        <v>1</v>
      </c>
      <c r="P1224" s="33">
        <f>IF(Tabela1[[#This Row],[Status]]="✔️",Tabela1[[#This Row],[Peso]],IF(Tabela1[[#This Row],[Status]]="✔️✔️",Tabela1[[#This Row],[Peso]]/2,0))</f>
        <v>0</v>
      </c>
      <c r="Q122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224" s="33" t="s">
        <v>264</v>
      </c>
      <c r="S1224" s="37" t="s">
        <v>263</v>
      </c>
    </row>
    <row r="1225" spans="8:19" ht="27.6" x14ac:dyDescent="0.3">
      <c r="H1225" s="32" t="s">
        <v>69</v>
      </c>
      <c r="I1225" s="33" t="s">
        <v>25</v>
      </c>
      <c r="J1225" s="34" t="s">
        <v>454</v>
      </c>
      <c r="K1225" s="35" t="s">
        <v>290</v>
      </c>
      <c r="L1225" s="33"/>
      <c r="M1225" s="33"/>
      <c r="N1225" s="36"/>
      <c r="O1225" s="33">
        <v>3</v>
      </c>
      <c r="P1225" s="33">
        <f>IF(Tabela1[[#This Row],[Status]]="✔️",Tabela1[[#This Row],[Peso]],IF(Tabela1[[#This Row],[Status]]="✔️✔️",Tabela1[[#This Row],[Peso]]/2,0))</f>
        <v>0</v>
      </c>
      <c r="Q122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25" s="33" t="s">
        <v>264</v>
      </c>
      <c r="S1225" s="37" t="s">
        <v>263</v>
      </c>
    </row>
    <row r="1226" spans="8:19" ht="27.6" x14ac:dyDescent="0.3">
      <c r="H1226" s="32" t="s">
        <v>69</v>
      </c>
      <c r="I1226" s="33" t="s">
        <v>25</v>
      </c>
      <c r="J1226" s="34" t="s">
        <v>340</v>
      </c>
      <c r="K1226" s="35" t="s">
        <v>0</v>
      </c>
      <c r="L1226" s="33"/>
      <c r="M1226" s="33"/>
      <c r="N1226" s="36"/>
      <c r="O1226" s="33">
        <v>3</v>
      </c>
      <c r="P1226" s="33">
        <f>IF(Tabela1[[#This Row],[Status]]="✔️",Tabela1[[#This Row],[Peso]],IF(Tabela1[[#This Row],[Status]]="✔️✔️",Tabela1[[#This Row],[Peso]]/2,0))</f>
        <v>3</v>
      </c>
      <c r="Q122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26" s="33" t="s">
        <v>264</v>
      </c>
      <c r="S1226" s="37" t="s">
        <v>263</v>
      </c>
    </row>
    <row r="1227" spans="8:19" ht="27.6" x14ac:dyDescent="0.3">
      <c r="H1227" s="32" t="s">
        <v>69</v>
      </c>
      <c r="I1227" s="33" t="s">
        <v>30</v>
      </c>
      <c r="J1227" s="34" t="s">
        <v>455</v>
      </c>
      <c r="K1227" s="35" t="s">
        <v>0</v>
      </c>
      <c r="L1227" s="33"/>
      <c r="M1227" s="33"/>
      <c r="N1227" s="36"/>
      <c r="O1227" s="33">
        <v>3</v>
      </c>
      <c r="P1227" s="33">
        <f>IF(Tabela1[[#This Row],[Status]]="✔️",Tabela1[[#This Row],[Peso]],IF(Tabela1[[#This Row],[Status]]="✔️✔️",Tabela1[[#This Row],[Peso]]/2,0))</f>
        <v>3</v>
      </c>
      <c r="Q122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27" s="33" t="s">
        <v>264</v>
      </c>
      <c r="S1227" s="37" t="s">
        <v>263</v>
      </c>
    </row>
    <row r="1228" spans="8:19" ht="27.6" x14ac:dyDescent="0.3">
      <c r="H1228" s="32" t="s">
        <v>69</v>
      </c>
      <c r="I1228" s="33" t="s">
        <v>25</v>
      </c>
      <c r="J1228" s="34" t="s">
        <v>456</v>
      </c>
      <c r="K1228" s="35" t="s">
        <v>0</v>
      </c>
      <c r="L1228" s="33"/>
      <c r="M1228" s="33"/>
      <c r="N1228" s="36"/>
      <c r="O1228" s="33">
        <v>3</v>
      </c>
      <c r="P1228" s="33">
        <f>IF(Tabela1[[#This Row],[Status]]="✔️",Tabela1[[#This Row],[Peso]],IF(Tabela1[[#This Row],[Status]]="✔️✔️",Tabela1[[#This Row],[Peso]]/2,0))</f>
        <v>3</v>
      </c>
      <c r="Q122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28" s="33" t="s">
        <v>264</v>
      </c>
      <c r="S1228" s="37" t="s">
        <v>263</v>
      </c>
    </row>
    <row r="1229" spans="8:19" ht="41.4" x14ac:dyDescent="0.3">
      <c r="H1229" s="32" t="s">
        <v>69</v>
      </c>
      <c r="I1229" s="53" t="s">
        <v>41</v>
      </c>
      <c r="J1229" s="57" t="s">
        <v>457</v>
      </c>
      <c r="K1229" s="54" t="s">
        <v>1</v>
      </c>
      <c r="L1229" s="53"/>
      <c r="M1229" s="53"/>
      <c r="N1229" s="55"/>
      <c r="O1229" s="53">
        <v>3</v>
      </c>
      <c r="P1229" s="33">
        <f>IF(Tabela1[[#This Row],[Status]]="✔️",Tabela1[[#This Row],[Peso]],IF(Tabela1[[#This Row],[Status]]="✔️✔️",Tabela1[[#This Row],[Peso]]/2,0))</f>
        <v>0</v>
      </c>
      <c r="Q122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229" s="53" t="s">
        <v>264</v>
      </c>
      <c r="S1229" s="56" t="s">
        <v>263</v>
      </c>
    </row>
    <row r="1230" spans="8:19" ht="41.4" x14ac:dyDescent="0.3">
      <c r="H1230" s="32" t="s">
        <v>69</v>
      </c>
      <c r="I1230" s="33" t="s">
        <v>41</v>
      </c>
      <c r="J1230" s="34" t="s">
        <v>458</v>
      </c>
      <c r="K1230" s="35" t="s">
        <v>1</v>
      </c>
      <c r="L1230" s="33"/>
      <c r="M1230" s="33"/>
      <c r="N1230" s="36"/>
      <c r="O1230" s="33">
        <v>2</v>
      </c>
      <c r="P1230" s="33">
        <f>IF(Tabela1[[#This Row],[Status]]="✔️",Tabela1[[#This Row],[Peso]],IF(Tabela1[[#This Row],[Status]]="✔️✔️",Tabela1[[#This Row],[Peso]]/2,0))</f>
        <v>0</v>
      </c>
      <c r="Q123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230" s="33" t="s">
        <v>264</v>
      </c>
      <c r="S1230" s="37" t="s">
        <v>263</v>
      </c>
    </row>
    <row r="1231" spans="8:19" ht="41.4" x14ac:dyDescent="0.3">
      <c r="H1231" s="32" t="s">
        <v>245</v>
      </c>
      <c r="I1231" s="33" t="s">
        <v>30</v>
      </c>
      <c r="J1231" s="34" t="s">
        <v>438</v>
      </c>
      <c r="K1231" s="35" t="s">
        <v>0</v>
      </c>
      <c r="L1231" s="33"/>
      <c r="M1231" s="33"/>
      <c r="N1231" s="36"/>
      <c r="O1231" s="33">
        <v>3</v>
      </c>
      <c r="P1231" s="33">
        <f>IF(Tabela1[[#This Row],[Status]]="✔️",Tabela1[[#This Row],[Peso]],IF(Tabela1[[#This Row],[Status]]="✔️✔️",Tabela1[[#This Row],[Peso]]/2,0))</f>
        <v>3</v>
      </c>
      <c r="Q123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31" s="33" t="s">
        <v>187</v>
      </c>
      <c r="S1231" s="37" t="s">
        <v>132</v>
      </c>
    </row>
    <row r="1232" spans="8:19" ht="41.4" x14ac:dyDescent="0.3">
      <c r="H1232" s="32" t="s">
        <v>245</v>
      </c>
      <c r="I1232" s="33" t="s">
        <v>10</v>
      </c>
      <c r="J1232" s="34" t="s">
        <v>11</v>
      </c>
      <c r="K1232" s="35" t="s">
        <v>0</v>
      </c>
      <c r="L1232" s="33"/>
      <c r="M1232" s="33"/>
      <c r="N1232" s="36"/>
      <c r="O1232" s="33">
        <v>3</v>
      </c>
      <c r="P1232" s="33">
        <f>IF(Tabela1[[#This Row],[Status]]="✔️",Tabela1[[#This Row],[Peso]],IF(Tabela1[[#This Row],[Status]]="✔️✔️",Tabela1[[#This Row],[Peso]]/2,0))</f>
        <v>3</v>
      </c>
      <c r="Q123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32" s="33" t="s">
        <v>187</v>
      </c>
      <c r="S1232" s="37" t="s">
        <v>132</v>
      </c>
    </row>
    <row r="1233" spans="8:19" ht="41.4" x14ac:dyDescent="0.3">
      <c r="H1233" s="32" t="s">
        <v>245</v>
      </c>
      <c r="I1233" s="33" t="s">
        <v>10</v>
      </c>
      <c r="J1233" s="34" t="s">
        <v>439</v>
      </c>
      <c r="K1233" s="35" t="s">
        <v>0</v>
      </c>
      <c r="L1233" s="33"/>
      <c r="M1233" s="33"/>
      <c r="N1233" s="36"/>
      <c r="O1233" s="33">
        <v>3</v>
      </c>
      <c r="P1233" s="33">
        <f>IF(Tabela1[[#This Row],[Status]]="✔️",Tabela1[[#This Row],[Peso]],IF(Tabela1[[#This Row],[Status]]="✔️✔️",Tabela1[[#This Row],[Peso]]/2,0))</f>
        <v>3</v>
      </c>
      <c r="Q123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33" s="33" t="s">
        <v>187</v>
      </c>
      <c r="S1233" s="37" t="s">
        <v>132</v>
      </c>
    </row>
    <row r="1234" spans="8:19" ht="41.4" x14ac:dyDescent="0.3">
      <c r="H1234" s="32" t="s">
        <v>245</v>
      </c>
      <c r="I1234" s="33" t="s">
        <v>10</v>
      </c>
      <c r="J1234" s="34" t="s">
        <v>440</v>
      </c>
      <c r="K1234" s="35" t="s">
        <v>1</v>
      </c>
      <c r="L1234" s="33"/>
      <c r="M1234" s="33"/>
      <c r="N1234" s="36"/>
      <c r="O1234" s="33">
        <v>3</v>
      </c>
      <c r="P1234" s="33">
        <f>IF(Tabela1[[#This Row],[Status]]="✔️",Tabela1[[#This Row],[Peso]],IF(Tabela1[[#This Row],[Status]]="✔️✔️",Tabela1[[#This Row],[Peso]]/2,0))</f>
        <v>0</v>
      </c>
      <c r="Q123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234" s="33" t="s">
        <v>187</v>
      </c>
      <c r="S1234" s="37" t="s">
        <v>132</v>
      </c>
    </row>
    <row r="1235" spans="8:19" ht="41.4" x14ac:dyDescent="0.3">
      <c r="H1235" s="32" t="s">
        <v>245</v>
      </c>
      <c r="I1235" s="33" t="s">
        <v>12</v>
      </c>
      <c r="J1235" s="34" t="s">
        <v>13</v>
      </c>
      <c r="K1235" s="35" t="s">
        <v>290</v>
      </c>
      <c r="L1235" s="33" t="s">
        <v>243</v>
      </c>
      <c r="M1235" s="33">
        <v>5178</v>
      </c>
      <c r="N1235" s="36"/>
      <c r="O1235" s="33">
        <v>2</v>
      </c>
      <c r="P1235" s="33">
        <f>IF(Tabela1[[#This Row],[Status]]="✔️",Tabela1[[#This Row],[Peso]],IF(Tabela1[[#This Row],[Status]]="✔️✔️",Tabela1[[#This Row],[Peso]]/2,0))</f>
        <v>0</v>
      </c>
      <c r="Q1235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235" s="33" t="s">
        <v>187</v>
      </c>
      <c r="S1235" s="37" t="s">
        <v>132</v>
      </c>
    </row>
    <row r="1236" spans="8:19" ht="41.4" x14ac:dyDescent="0.3">
      <c r="H1236" s="32" t="s">
        <v>245</v>
      </c>
      <c r="I1236" s="33" t="s">
        <v>14</v>
      </c>
      <c r="J1236" s="34" t="s">
        <v>15</v>
      </c>
      <c r="K1236" s="35" t="s">
        <v>0</v>
      </c>
      <c r="L1236" s="33"/>
      <c r="M1236" s="33"/>
      <c r="N1236" s="36"/>
      <c r="O1236" s="33">
        <v>3</v>
      </c>
      <c r="P1236" s="33">
        <f>IF(Tabela1[[#This Row],[Status]]="✔️",Tabela1[[#This Row],[Peso]],IF(Tabela1[[#This Row],[Status]]="✔️✔️",Tabela1[[#This Row],[Peso]]/2,0))</f>
        <v>3</v>
      </c>
      <c r="Q123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36" s="33" t="s">
        <v>187</v>
      </c>
      <c r="S1236" s="37" t="s">
        <v>132</v>
      </c>
    </row>
    <row r="1237" spans="8:19" ht="41.4" x14ac:dyDescent="0.3">
      <c r="H1237" s="32" t="s">
        <v>245</v>
      </c>
      <c r="I1237" s="33" t="s">
        <v>14</v>
      </c>
      <c r="J1237" s="34" t="s">
        <v>16</v>
      </c>
      <c r="K1237" s="35" t="s">
        <v>0</v>
      </c>
      <c r="L1237" s="33"/>
      <c r="M1237" s="33"/>
      <c r="N1237" s="36"/>
      <c r="O1237" s="33">
        <v>1</v>
      </c>
      <c r="P1237" s="33">
        <f>IF(Tabela1[[#This Row],[Status]]="✔️",Tabela1[[#This Row],[Peso]],IF(Tabela1[[#This Row],[Status]]="✔️✔️",Tabela1[[#This Row],[Peso]]/2,0))</f>
        <v>1</v>
      </c>
      <c r="Q123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37" s="33" t="s">
        <v>187</v>
      </c>
      <c r="S1237" s="37" t="s">
        <v>132</v>
      </c>
    </row>
    <row r="1238" spans="8:19" ht="41.4" x14ac:dyDescent="0.3">
      <c r="H1238" s="32" t="s">
        <v>245</v>
      </c>
      <c r="I1238" s="33" t="s">
        <v>17</v>
      </c>
      <c r="J1238" s="34" t="s">
        <v>18</v>
      </c>
      <c r="K1238" s="35" t="s">
        <v>0</v>
      </c>
      <c r="L1238" s="33"/>
      <c r="M1238" s="33"/>
      <c r="N1238" s="36"/>
      <c r="O1238" s="33">
        <v>3</v>
      </c>
      <c r="P1238" s="33">
        <f>IF(Tabela1[[#This Row],[Status]]="✔️",Tabela1[[#This Row],[Peso]],IF(Tabela1[[#This Row],[Status]]="✔️✔️",Tabela1[[#This Row],[Peso]]/2,0))</f>
        <v>3</v>
      </c>
      <c r="Q123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38" s="33" t="s">
        <v>187</v>
      </c>
      <c r="S1238" s="37" t="s">
        <v>132</v>
      </c>
    </row>
    <row r="1239" spans="8:19" ht="41.4" x14ac:dyDescent="0.3">
      <c r="H1239" s="32" t="s">
        <v>245</v>
      </c>
      <c r="I1239" s="33" t="s">
        <v>17</v>
      </c>
      <c r="J1239" s="34" t="s">
        <v>19</v>
      </c>
      <c r="K1239" s="35" t="s">
        <v>290</v>
      </c>
      <c r="L1239" s="33" t="s">
        <v>246</v>
      </c>
      <c r="M1239" s="33">
        <v>8500</v>
      </c>
      <c r="N1239" s="36"/>
      <c r="O1239" s="33">
        <v>1</v>
      </c>
      <c r="P1239" s="33">
        <f>IF(Tabela1[[#This Row],[Status]]="✔️",Tabela1[[#This Row],[Peso]],IF(Tabela1[[#This Row],[Status]]="✔️✔️",Tabela1[[#This Row],[Peso]]/2,0))</f>
        <v>0</v>
      </c>
      <c r="Q123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39" s="33" t="s">
        <v>187</v>
      </c>
      <c r="S1239" s="37" t="s">
        <v>132</v>
      </c>
    </row>
    <row r="1240" spans="8:19" ht="41.4" x14ac:dyDescent="0.3">
      <c r="H1240" s="32" t="s">
        <v>245</v>
      </c>
      <c r="I1240" s="33" t="s">
        <v>20</v>
      </c>
      <c r="J1240" s="34" t="s">
        <v>21</v>
      </c>
      <c r="K1240" s="35" t="s">
        <v>1</v>
      </c>
      <c r="L1240" s="33"/>
      <c r="M1240" s="33"/>
      <c r="N1240" s="36"/>
      <c r="O1240" s="33">
        <v>3</v>
      </c>
      <c r="P1240" s="33">
        <f>IF(Tabela1[[#This Row],[Status]]="✔️",Tabela1[[#This Row],[Peso]],IF(Tabela1[[#This Row],[Status]]="✔️✔️",Tabela1[[#This Row],[Peso]]/2,0))</f>
        <v>0</v>
      </c>
      <c r="Q124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240" s="33" t="s">
        <v>187</v>
      </c>
      <c r="S1240" s="37" t="s">
        <v>132</v>
      </c>
    </row>
    <row r="1241" spans="8:19" ht="41.4" x14ac:dyDescent="0.3">
      <c r="H1241" s="32" t="s">
        <v>245</v>
      </c>
      <c r="I1241" s="33" t="s">
        <v>20</v>
      </c>
      <c r="J1241" s="34" t="s">
        <v>441</v>
      </c>
      <c r="K1241" s="35" t="s">
        <v>290</v>
      </c>
      <c r="L1241" s="33" t="s">
        <v>244</v>
      </c>
      <c r="M1241" s="33">
        <v>9524</v>
      </c>
      <c r="N1241" s="36"/>
      <c r="O1241" s="33">
        <v>1</v>
      </c>
      <c r="P1241" s="33">
        <f>IF(Tabela1[[#This Row],[Status]]="✔️",Tabela1[[#This Row],[Peso]],IF(Tabela1[[#This Row],[Status]]="✔️✔️",Tabela1[[#This Row],[Peso]]/2,0))</f>
        <v>0</v>
      </c>
      <c r="Q124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41" s="33" t="s">
        <v>187</v>
      </c>
      <c r="S1241" s="37" t="s">
        <v>132</v>
      </c>
    </row>
    <row r="1242" spans="8:19" ht="41.4" x14ac:dyDescent="0.3">
      <c r="H1242" s="32" t="s">
        <v>245</v>
      </c>
      <c r="I1242" s="33" t="s">
        <v>25</v>
      </c>
      <c r="J1242" s="34" t="s">
        <v>28</v>
      </c>
      <c r="K1242" s="35" t="s">
        <v>290</v>
      </c>
      <c r="L1242" s="33" t="s">
        <v>242</v>
      </c>
      <c r="M1242" s="33">
        <v>3445</v>
      </c>
      <c r="N1242" s="36"/>
      <c r="O1242" s="33">
        <v>3</v>
      </c>
      <c r="P1242" s="33">
        <f>IF(Tabela1[[#This Row],[Status]]="✔️",Tabela1[[#This Row],[Peso]],IF(Tabela1[[#This Row],[Status]]="✔️✔️",Tabela1[[#This Row],[Peso]]/2,0))</f>
        <v>0</v>
      </c>
      <c r="Q124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42" s="33" t="s">
        <v>187</v>
      </c>
      <c r="S1242" s="37" t="s">
        <v>132</v>
      </c>
    </row>
    <row r="1243" spans="8:19" ht="41.4" x14ac:dyDescent="0.3">
      <c r="H1243" s="32" t="s">
        <v>245</v>
      </c>
      <c r="I1243" s="33" t="s">
        <v>25</v>
      </c>
      <c r="J1243" s="34" t="s">
        <v>29</v>
      </c>
      <c r="K1243" s="35" t="s">
        <v>0</v>
      </c>
      <c r="L1243" s="33"/>
      <c r="M1243" s="33"/>
      <c r="N1243" s="36"/>
      <c r="O1243" s="33">
        <v>3</v>
      </c>
      <c r="P1243" s="33">
        <f>IF(Tabela1[[#This Row],[Status]]="✔️",Tabela1[[#This Row],[Peso]],IF(Tabela1[[#This Row],[Status]]="✔️✔️",Tabela1[[#This Row],[Peso]]/2,0))</f>
        <v>3</v>
      </c>
      <c r="Q124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43" s="33" t="s">
        <v>187</v>
      </c>
      <c r="S1243" s="37" t="s">
        <v>132</v>
      </c>
    </row>
    <row r="1244" spans="8:19" ht="41.4" x14ac:dyDescent="0.3">
      <c r="H1244" s="32" t="s">
        <v>245</v>
      </c>
      <c r="I1244" s="33" t="s">
        <v>25</v>
      </c>
      <c r="J1244" s="34" t="s">
        <v>449</v>
      </c>
      <c r="K1244" s="35" t="s">
        <v>0</v>
      </c>
      <c r="L1244" s="33"/>
      <c r="M1244" s="33"/>
      <c r="N1244" s="36"/>
      <c r="O1244" s="33">
        <v>3</v>
      </c>
      <c r="P1244" s="33">
        <f>IF(Tabela1[[#This Row],[Status]]="✔️",Tabela1[[#This Row],[Peso]],IF(Tabela1[[#This Row],[Status]]="✔️✔️",Tabela1[[#This Row],[Peso]]/2,0))</f>
        <v>3</v>
      </c>
      <c r="Q124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44" s="33" t="s">
        <v>187</v>
      </c>
      <c r="S1244" s="37" t="s">
        <v>132</v>
      </c>
    </row>
    <row r="1245" spans="8:19" ht="41.4" x14ac:dyDescent="0.3">
      <c r="H1245" s="32" t="s">
        <v>245</v>
      </c>
      <c r="I1245" s="33" t="s">
        <v>41</v>
      </c>
      <c r="J1245" s="34" t="s">
        <v>442</v>
      </c>
      <c r="K1245" s="35" t="s">
        <v>290</v>
      </c>
      <c r="L1245" s="33" t="s">
        <v>236</v>
      </c>
      <c r="M1245" s="33">
        <v>9106</v>
      </c>
      <c r="N1245" s="36"/>
      <c r="O1245" s="33">
        <v>3</v>
      </c>
      <c r="P1245" s="33">
        <f>IF(Tabela1[[#This Row],[Status]]="✔️",Tabela1[[#This Row],[Peso]],IF(Tabela1[[#This Row],[Status]]="✔️✔️",Tabela1[[#This Row],[Peso]]/2,0))</f>
        <v>0</v>
      </c>
      <c r="Q124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45" s="33" t="s">
        <v>187</v>
      </c>
      <c r="S1245" s="37" t="s">
        <v>132</v>
      </c>
    </row>
    <row r="1246" spans="8:19" ht="41.4" x14ac:dyDescent="0.3">
      <c r="H1246" s="32" t="s">
        <v>245</v>
      </c>
      <c r="I1246" s="33" t="s">
        <v>41</v>
      </c>
      <c r="J1246" s="34" t="s">
        <v>443</v>
      </c>
      <c r="K1246" s="35" t="s">
        <v>290</v>
      </c>
      <c r="L1246" s="33" t="s">
        <v>236</v>
      </c>
      <c r="M1246" s="33">
        <v>9106</v>
      </c>
      <c r="N1246" s="36"/>
      <c r="O1246" s="33">
        <v>2</v>
      </c>
      <c r="P1246" s="33">
        <f>IF(Tabela1[[#This Row],[Status]]="✔️",Tabela1[[#This Row],[Peso]],IF(Tabela1[[#This Row],[Status]]="✔️✔️",Tabela1[[#This Row],[Peso]]/2,0))</f>
        <v>0</v>
      </c>
      <c r="Q124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246" s="33" t="s">
        <v>187</v>
      </c>
      <c r="S1246" s="37" t="s">
        <v>132</v>
      </c>
    </row>
    <row r="1247" spans="8:19" ht="41.4" x14ac:dyDescent="0.3">
      <c r="H1247" s="32" t="s">
        <v>245</v>
      </c>
      <c r="I1247" s="33" t="s">
        <v>10</v>
      </c>
      <c r="J1247" s="34" t="s">
        <v>444</v>
      </c>
      <c r="K1247" s="35" t="s">
        <v>290</v>
      </c>
      <c r="L1247" s="33" t="s">
        <v>238</v>
      </c>
      <c r="M1247" s="33">
        <v>8967</v>
      </c>
      <c r="N1247" s="36"/>
      <c r="O1247" s="33">
        <v>3</v>
      </c>
      <c r="P1247" s="33">
        <f>IF(Tabela1[[#This Row],[Status]]="✔️",Tabela1[[#This Row],[Peso]],IF(Tabela1[[#This Row],[Status]]="✔️✔️",Tabela1[[#This Row],[Peso]]/2,0))</f>
        <v>0</v>
      </c>
      <c r="Q124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47" s="33" t="s">
        <v>187</v>
      </c>
      <c r="S1247" s="37" t="s">
        <v>132</v>
      </c>
    </row>
    <row r="1248" spans="8:19" ht="27.6" x14ac:dyDescent="0.3">
      <c r="H1248" s="32" t="s">
        <v>9</v>
      </c>
      <c r="I1248" s="33" t="s">
        <v>14</v>
      </c>
      <c r="J1248" s="34" t="s">
        <v>15</v>
      </c>
      <c r="K1248" s="35" t="s">
        <v>0</v>
      </c>
      <c r="L1248" s="33"/>
      <c r="M1248" s="33"/>
      <c r="N1248" s="36"/>
      <c r="O1248" s="33">
        <v>3</v>
      </c>
      <c r="P1248" s="33">
        <f>IF(Tabela1[[#This Row],[Status]]="✔️",Tabela1[[#This Row],[Peso]],IF(Tabela1[[#This Row],[Status]]="✔️✔️",Tabela1[[#This Row],[Peso]]/2,0))</f>
        <v>3</v>
      </c>
      <c r="Q124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48" s="33" t="s">
        <v>127</v>
      </c>
      <c r="S1248" s="37" t="s">
        <v>349</v>
      </c>
    </row>
    <row r="1249" spans="8:19" ht="27.6" x14ac:dyDescent="0.3">
      <c r="H1249" s="32" t="s">
        <v>9</v>
      </c>
      <c r="I1249" s="33" t="s">
        <v>14</v>
      </c>
      <c r="J1249" s="34" t="s">
        <v>16</v>
      </c>
      <c r="K1249" s="35" t="s">
        <v>0</v>
      </c>
      <c r="L1249" s="33"/>
      <c r="M1249" s="33"/>
      <c r="N1249" s="36"/>
      <c r="O1249" s="33">
        <v>1</v>
      </c>
      <c r="P1249" s="33">
        <f>IF(Tabela1[[#This Row],[Status]]="✔️",Tabela1[[#This Row],[Peso]],IF(Tabela1[[#This Row],[Status]]="✔️✔️",Tabela1[[#This Row],[Peso]]/2,0))</f>
        <v>1</v>
      </c>
      <c r="Q124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49" s="33" t="s">
        <v>127</v>
      </c>
      <c r="S1249" s="37" t="s">
        <v>349</v>
      </c>
    </row>
    <row r="1250" spans="8:19" ht="27.6" x14ac:dyDescent="0.3">
      <c r="H1250" s="32" t="s">
        <v>9</v>
      </c>
      <c r="I1250" s="33" t="s">
        <v>10</v>
      </c>
      <c r="J1250" s="34" t="s">
        <v>11</v>
      </c>
      <c r="K1250" s="35" t="s">
        <v>0</v>
      </c>
      <c r="L1250" s="33"/>
      <c r="M1250" s="33"/>
      <c r="N1250" s="36"/>
      <c r="O1250" s="33">
        <v>3</v>
      </c>
      <c r="P1250" s="33">
        <f>IF(Tabela1[[#This Row],[Status]]="✔️",Tabela1[[#This Row],[Peso]],IF(Tabela1[[#This Row],[Status]]="✔️✔️",Tabela1[[#This Row],[Peso]]/2,0))</f>
        <v>3</v>
      </c>
      <c r="Q125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50" s="33" t="s">
        <v>127</v>
      </c>
      <c r="S1250" s="37" t="s">
        <v>349</v>
      </c>
    </row>
    <row r="1251" spans="8:19" ht="27.6" x14ac:dyDescent="0.3">
      <c r="H1251" s="32" t="s">
        <v>9</v>
      </c>
      <c r="I1251" s="33" t="s">
        <v>10</v>
      </c>
      <c r="J1251" s="34" t="s">
        <v>316</v>
      </c>
      <c r="K1251" s="35" t="s">
        <v>0</v>
      </c>
      <c r="L1251" s="33"/>
      <c r="M1251" s="33"/>
      <c r="N1251" s="36"/>
      <c r="O1251" s="33">
        <v>3</v>
      </c>
      <c r="P1251" s="33">
        <f>IF(Tabela1[[#This Row],[Status]]="✔️",Tabela1[[#This Row],[Peso]],IF(Tabela1[[#This Row],[Status]]="✔️✔️",Tabela1[[#This Row],[Peso]]/2,0))</f>
        <v>3</v>
      </c>
      <c r="Q125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51" s="33" t="s">
        <v>127</v>
      </c>
      <c r="S1251" s="37" t="s">
        <v>349</v>
      </c>
    </row>
    <row r="1252" spans="8:19" ht="27.6" x14ac:dyDescent="0.3">
      <c r="H1252" s="32" t="s">
        <v>9</v>
      </c>
      <c r="I1252" s="33" t="s">
        <v>10</v>
      </c>
      <c r="J1252" s="34" t="s">
        <v>450</v>
      </c>
      <c r="K1252" s="35" t="s">
        <v>0</v>
      </c>
      <c r="L1252" s="33"/>
      <c r="M1252" s="33"/>
      <c r="N1252" s="36"/>
      <c r="O1252" s="33">
        <v>3</v>
      </c>
      <c r="P1252" s="33">
        <f>IF(Tabela1[[#This Row],[Status]]="✔️",Tabela1[[#This Row],[Peso]],IF(Tabela1[[#This Row],[Status]]="✔️✔️",Tabela1[[#This Row],[Peso]]/2,0))</f>
        <v>3</v>
      </c>
      <c r="Q125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52" s="33" t="s">
        <v>127</v>
      </c>
      <c r="S1252" s="37" t="s">
        <v>349</v>
      </c>
    </row>
    <row r="1253" spans="8:19" ht="27.6" x14ac:dyDescent="0.3">
      <c r="H1253" s="32" t="s">
        <v>9</v>
      </c>
      <c r="I1253" s="33" t="s">
        <v>10</v>
      </c>
      <c r="J1253" s="34" t="s">
        <v>451</v>
      </c>
      <c r="K1253" s="35" t="s">
        <v>0</v>
      </c>
      <c r="L1253" s="33"/>
      <c r="M1253" s="33"/>
      <c r="N1253" s="36"/>
      <c r="O1253" s="33">
        <v>3</v>
      </c>
      <c r="P1253" s="33">
        <f>IF(Tabela1[[#This Row],[Status]]="✔️",Tabela1[[#This Row],[Peso]],IF(Tabela1[[#This Row],[Status]]="✔️✔️",Tabela1[[#This Row],[Peso]]/2,0))</f>
        <v>3</v>
      </c>
      <c r="Q125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53" s="33" t="s">
        <v>127</v>
      </c>
      <c r="S1253" s="37" t="s">
        <v>349</v>
      </c>
    </row>
    <row r="1254" spans="8:19" ht="27.6" x14ac:dyDescent="0.3">
      <c r="H1254" s="32" t="s">
        <v>9</v>
      </c>
      <c r="I1254" s="33" t="s">
        <v>12</v>
      </c>
      <c r="J1254" s="34" t="s">
        <v>463</v>
      </c>
      <c r="K1254" s="35" t="s">
        <v>0</v>
      </c>
      <c r="L1254" s="33"/>
      <c r="M1254" s="33"/>
      <c r="N1254" s="36"/>
      <c r="O1254" s="33">
        <v>2</v>
      </c>
      <c r="P1254" s="33">
        <f>IF(Tabela1[[#This Row],[Status]]="✔️",Tabela1[[#This Row],[Peso]],IF(Tabela1[[#This Row],[Status]]="✔️✔️",Tabela1[[#This Row],[Peso]]/2,0))</f>
        <v>2</v>
      </c>
      <c r="Q125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254" s="33" t="s">
        <v>127</v>
      </c>
      <c r="S1254" s="37" t="s">
        <v>349</v>
      </c>
    </row>
    <row r="1255" spans="8:19" ht="27.6" x14ac:dyDescent="0.3">
      <c r="H1255" s="32" t="s">
        <v>9</v>
      </c>
      <c r="I1255" s="33" t="s">
        <v>17</v>
      </c>
      <c r="J1255" s="34" t="s">
        <v>325</v>
      </c>
      <c r="K1255" s="35" t="s">
        <v>0</v>
      </c>
      <c r="L1255" s="33"/>
      <c r="M1255" s="33"/>
      <c r="N1255" s="36"/>
      <c r="O1255" s="33">
        <v>3</v>
      </c>
      <c r="P1255" s="33">
        <f>IF(Tabela1[[#This Row],[Status]]="✔️",Tabela1[[#This Row],[Peso]],IF(Tabela1[[#This Row],[Status]]="✔️✔️",Tabela1[[#This Row],[Peso]]/2,0))</f>
        <v>3</v>
      </c>
      <c r="Q125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55" s="33" t="s">
        <v>127</v>
      </c>
      <c r="S1255" s="37" t="s">
        <v>349</v>
      </c>
    </row>
    <row r="1256" spans="8:19" ht="27.6" x14ac:dyDescent="0.3">
      <c r="H1256" s="32" t="s">
        <v>9</v>
      </c>
      <c r="I1256" s="33" t="s">
        <v>17</v>
      </c>
      <c r="J1256" s="34" t="s">
        <v>19</v>
      </c>
      <c r="K1256" s="35" t="s">
        <v>290</v>
      </c>
      <c r="L1256" s="33" t="s">
        <v>370</v>
      </c>
      <c r="M1256" s="33">
        <v>2191</v>
      </c>
      <c r="N1256" s="36"/>
      <c r="O1256" s="33">
        <v>3</v>
      </c>
      <c r="P1256" s="33">
        <f>IF(Tabela1[[#This Row],[Status]]="✔️",Tabela1[[#This Row],[Peso]],IF(Tabela1[[#This Row],[Status]]="✔️✔️",Tabela1[[#This Row],[Peso]]/2,0))</f>
        <v>0</v>
      </c>
      <c r="Q125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56" s="33" t="s">
        <v>127</v>
      </c>
      <c r="S1256" s="37" t="s">
        <v>349</v>
      </c>
    </row>
    <row r="1257" spans="8:19" ht="27.6" x14ac:dyDescent="0.3">
      <c r="H1257" s="32" t="s">
        <v>9</v>
      </c>
      <c r="I1257" s="33" t="s">
        <v>20</v>
      </c>
      <c r="J1257" s="34" t="s">
        <v>21</v>
      </c>
      <c r="K1257" s="35" t="s">
        <v>291</v>
      </c>
      <c r="L1257" s="33" t="s">
        <v>81</v>
      </c>
      <c r="M1257" s="33">
        <v>6405</v>
      </c>
      <c r="N1257" s="36"/>
      <c r="O1257" s="33">
        <v>3</v>
      </c>
      <c r="P1257" s="33">
        <f>IF(Tabela1[[#This Row],[Status]]="✔️",Tabela1[[#This Row],[Peso]],IF(Tabela1[[#This Row],[Status]]="✔️✔️",Tabela1[[#This Row],[Peso]]/2,0))</f>
        <v>1.5</v>
      </c>
      <c r="Q1257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257" s="33" t="s">
        <v>127</v>
      </c>
      <c r="S1257" s="37" t="s">
        <v>349</v>
      </c>
    </row>
    <row r="1258" spans="8:19" ht="27.6" x14ac:dyDescent="0.3">
      <c r="H1258" s="32" t="s">
        <v>9</v>
      </c>
      <c r="I1258" s="33" t="s">
        <v>20</v>
      </c>
      <c r="J1258" s="34" t="s">
        <v>452</v>
      </c>
      <c r="K1258" s="35" t="s">
        <v>0</v>
      </c>
      <c r="L1258" s="33"/>
      <c r="M1258" s="33"/>
      <c r="N1258" s="36"/>
      <c r="O1258" s="33">
        <v>1</v>
      </c>
      <c r="P1258" s="33">
        <f>IF(Tabela1[[#This Row],[Status]]="✔️",Tabela1[[#This Row],[Peso]],IF(Tabela1[[#This Row],[Status]]="✔️✔️",Tabela1[[#This Row],[Peso]]/2,0))</f>
        <v>1</v>
      </c>
      <c r="Q125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58" s="33" t="s">
        <v>127</v>
      </c>
      <c r="S1258" s="37" t="s">
        <v>349</v>
      </c>
    </row>
    <row r="1259" spans="8:19" ht="27.6" x14ac:dyDescent="0.3">
      <c r="H1259" s="32" t="s">
        <v>9</v>
      </c>
      <c r="I1259" s="33" t="s">
        <v>22</v>
      </c>
      <c r="J1259" s="34" t="s">
        <v>23</v>
      </c>
      <c r="K1259" s="35" t="s">
        <v>0</v>
      </c>
      <c r="L1259" s="33"/>
      <c r="M1259" s="33"/>
      <c r="N1259" s="36"/>
      <c r="O1259" s="33">
        <v>1</v>
      </c>
      <c r="P1259" s="33">
        <f>IF(Tabela1[[#This Row],[Status]]="✔️",Tabela1[[#This Row],[Peso]],IF(Tabela1[[#This Row],[Status]]="✔️✔️",Tabela1[[#This Row],[Peso]]/2,0))</f>
        <v>1</v>
      </c>
      <c r="Q125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59" s="33" t="s">
        <v>127</v>
      </c>
      <c r="S1259" s="37" t="s">
        <v>349</v>
      </c>
    </row>
    <row r="1260" spans="8:19" ht="27.6" x14ac:dyDescent="0.3">
      <c r="H1260" s="32" t="s">
        <v>9</v>
      </c>
      <c r="I1260" s="33" t="s">
        <v>22</v>
      </c>
      <c r="J1260" s="34" t="s">
        <v>453</v>
      </c>
      <c r="K1260" s="35" t="s">
        <v>0</v>
      </c>
      <c r="L1260" s="33"/>
      <c r="M1260" s="33"/>
      <c r="N1260" s="36"/>
      <c r="O1260" s="33">
        <v>1</v>
      </c>
      <c r="P1260" s="33">
        <f>IF(Tabela1[[#This Row],[Status]]="✔️",Tabela1[[#This Row],[Peso]],IF(Tabela1[[#This Row],[Status]]="✔️✔️",Tabela1[[#This Row],[Peso]]/2,0))</f>
        <v>1</v>
      </c>
      <c r="Q126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60" s="33" t="s">
        <v>127</v>
      </c>
      <c r="S1260" s="37" t="s">
        <v>349</v>
      </c>
    </row>
    <row r="1261" spans="8:19" ht="27.6" x14ac:dyDescent="0.3">
      <c r="H1261" s="32" t="s">
        <v>9</v>
      </c>
      <c r="I1261" s="33" t="s">
        <v>25</v>
      </c>
      <c r="J1261" s="34" t="s">
        <v>464</v>
      </c>
      <c r="K1261" s="35" t="s">
        <v>291</v>
      </c>
      <c r="L1261" s="33" t="s">
        <v>74</v>
      </c>
      <c r="M1261" s="33">
        <v>5211</v>
      </c>
      <c r="N1261" s="36"/>
      <c r="O1261" s="33">
        <v>3</v>
      </c>
      <c r="P1261" s="33">
        <f>IF(Tabela1[[#This Row],[Status]]="✔️",Tabela1[[#This Row],[Peso]],IF(Tabela1[[#This Row],[Status]]="✔️✔️",Tabela1[[#This Row],[Peso]]/2,0))</f>
        <v>1.5</v>
      </c>
      <c r="Q1261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261" s="33" t="s">
        <v>127</v>
      </c>
      <c r="S1261" s="37" t="s">
        <v>349</v>
      </c>
    </row>
    <row r="1262" spans="8:19" ht="33.6" customHeight="1" x14ac:dyDescent="0.3">
      <c r="H1262" s="32" t="s">
        <v>9</v>
      </c>
      <c r="I1262" s="33" t="s">
        <v>25</v>
      </c>
      <c r="J1262" s="34" t="s">
        <v>464</v>
      </c>
      <c r="K1262" s="35" t="s">
        <v>290</v>
      </c>
      <c r="L1262" s="33" t="s">
        <v>350</v>
      </c>
      <c r="M1262" s="33">
        <v>1125</v>
      </c>
      <c r="N1262" s="36"/>
      <c r="O1262" s="33">
        <v>3</v>
      </c>
      <c r="P1262" s="33">
        <f>IF(Tabela1[[#This Row],[Status]]="✔️",Tabela1[[#This Row],[Peso]],IF(Tabela1[[#This Row],[Status]]="✔️✔️",Tabela1[[#This Row],[Peso]]/2,0))</f>
        <v>0</v>
      </c>
      <c r="Q126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62" s="33" t="s">
        <v>127</v>
      </c>
      <c r="S1262" s="37" t="s">
        <v>349</v>
      </c>
    </row>
    <row r="1263" spans="8:19" ht="27.6" x14ac:dyDescent="0.3">
      <c r="H1263" s="32" t="s">
        <v>9</v>
      </c>
      <c r="I1263" s="33" t="s">
        <v>25</v>
      </c>
      <c r="J1263" s="34" t="s">
        <v>29</v>
      </c>
      <c r="K1263" s="35" t="s">
        <v>291</v>
      </c>
      <c r="L1263" s="33" t="s">
        <v>351</v>
      </c>
      <c r="M1263" s="33">
        <v>2370</v>
      </c>
      <c r="N1263" s="36"/>
      <c r="O1263" s="33">
        <v>3</v>
      </c>
      <c r="P1263" s="33">
        <f>IF(Tabela1[[#This Row],[Status]]="✔️",Tabela1[[#This Row],[Peso]],IF(Tabela1[[#This Row],[Status]]="✔️✔️",Tabela1[[#This Row],[Peso]]/2,0))</f>
        <v>1.5</v>
      </c>
      <c r="Q1263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263" s="33" t="s">
        <v>127</v>
      </c>
      <c r="S1263" s="37" t="s">
        <v>349</v>
      </c>
    </row>
    <row r="1264" spans="8:19" ht="27.6" x14ac:dyDescent="0.3">
      <c r="H1264" s="32" t="s">
        <v>9</v>
      </c>
      <c r="I1264" s="33" t="s">
        <v>31</v>
      </c>
      <c r="J1264" s="34" t="s">
        <v>32</v>
      </c>
      <c r="K1264" s="35" t="s">
        <v>290</v>
      </c>
      <c r="L1264" s="33" t="s">
        <v>352</v>
      </c>
      <c r="M1264" s="33">
        <v>2658</v>
      </c>
      <c r="N1264" s="36"/>
      <c r="O1264" s="33">
        <v>3</v>
      </c>
      <c r="P1264" s="33">
        <f>IF(Tabela1[[#This Row],[Status]]="✔️",Tabela1[[#This Row],[Peso]],IF(Tabela1[[#This Row],[Status]]="✔️✔️",Tabela1[[#This Row],[Peso]]/2,0))</f>
        <v>0</v>
      </c>
      <c r="Q126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64" s="33" t="s">
        <v>127</v>
      </c>
      <c r="S1264" s="37" t="s">
        <v>349</v>
      </c>
    </row>
    <row r="1265" spans="8:19" ht="27.6" x14ac:dyDescent="0.3">
      <c r="H1265" s="32" t="s">
        <v>9</v>
      </c>
      <c r="I1265" s="33" t="s">
        <v>30</v>
      </c>
      <c r="J1265" s="34" t="s">
        <v>455</v>
      </c>
      <c r="K1265" s="35" t="s">
        <v>0</v>
      </c>
      <c r="L1265" s="33"/>
      <c r="M1265" s="33"/>
      <c r="N1265" s="36"/>
      <c r="O1265" s="33">
        <v>3</v>
      </c>
      <c r="P1265" s="33">
        <f>IF(Tabela1[[#This Row],[Status]]="✔️",Tabela1[[#This Row],[Peso]],IF(Tabela1[[#This Row],[Status]]="✔️✔️",Tabela1[[#This Row],[Peso]]/2,0))</f>
        <v>3</v>
      </c>
      <c r="Q126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65" s="33" t="s">
        <v>127</v>
      </c>
      <c r="S1265" s="37" t="s">
        <v>349</v>
      </c>
    </row>
    <row r="1266" spans="8:19" ht="27.6" x14ac:dyDescent="0.3">
      <c r="H1266" s="32" t="s">
        <v>9</v>
      </c>
      <c r="I1266" s="33" t="s">
        <v>33</v>
      </c>
      <c r="J1266" s="34" t="s">
        <v>131</v>
      </c>
      <c r="K1266" s="35" t="s">
        <v>0</v>
      </c>
      <c r="L1266" s="33"/>
      <c r="M1266" s="33"/>
      <c r="N1266" s="36"/>
      <c r="O1266" s="33">
        <v>3</v>
      </c>
      <c r="P1266" s="33">
        <f>IF(Tabela1[[#This Row],[Status]]="✔️",Tabela1[[#This Row],[Peso]],IF(Tabela1[[#This Row],[Status]]="✔️✔️",Tabela1[[#This Row],[Peso]]/2,0))</f>
        <v>3</v>
      </c>
      <c r="Q126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66" s="33" t="s">
        <v>127</v>
      </c>
      <c r="S1266" s="37" t="s">
        <v>349</v>
      </c>
    </row>
    <row r="1267" spans="8:19" ht="41.4" x14ac:dyDescent="0.3">
      <c r="H1267" s="32" t="s">
        <v>9</v>
      </c>
      <c r="I1267" s="33" t="s">
        <v>33</v>
      </c>
      <c r="J1267" s="34" t="s">
        <v>326</v>
      </c>
      <c r="K1267" s="35" t="s">
        <v>290</v>
      </c>
      <c r="L1267" s="33" t="s">
        <v>371</v>
      </c>
      <c r="M1267" s="33">
        <v>1755</v>
      </c>
      <c r="N1267" s="36"/>
      <c r="O1267" s="33">
        <v>3</v>
      </c>
      <c r="P1267" s="33">
        <f>IF(Tabela1[[#This Row],[Status]]="✔️",Tabela1[[#This Row],[Peso]],IF(Tabela1[[#This Row],[Status]]="✔️✔️",Tabela1[[#This Row],[Peso]]/2,0))</f>
        <v>0</v>
      </c>
      <c r="Q126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67" s="33" t="s">
        <v>127</v>
      </c>
      <c r="S1267" s="37" t="s">
        <v>349</v>
      </c>
    </row>
    <row r="1268" spans="8:19" ht="27.6" x14ac:dyDescent="0.3">
      <c r="H1268" s="32" t="s">
        <v>9</v>
      </c>
      <c r="I1268" s="33" t="s">
        <v>33</v>
      </c>
      <c r="J1268" s="34" t="s">
        <v>465</v>
      </c>
      <c r="K1268" s="35" t="s">
        <v>290</v>
      </c>
      <c r="L1268" s="33"/>
      <c r="M1268" s="33" t="s">
        <v>358</v>
      </c>
      <c r="N1268" s="36"/>
      <c r="O1268" s="33">
        <v>3</v>
      </c>
      <c r="P1268" s="33">
        <f>IF(Tabela1[[#This Row],[Status]]="✔️",Tabela1[[#This Row],[Peso]],IF(Tabela1[[#This Row],[Status]]="✔️✔️",Tabela1[[#This Row],[Peso]]/2,0))</f>
        <v>0</v>
      </c>
      <c r="Q126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68" s="33" t="s">
        <v>127</v>
      </c>
      <c r="S1268" s="37" t="s">
        <v>349</v>
      </c>
    </row>
    <row r="1269" spans="8:19" ht="82.8" x14ac:dyDescent="0.3">
      <c r="H1269" s="32" t="s">
        <v>9</v>
      </c>
      <c r="I1269" s="33" t="s">
        <v>33</v>
      </c>
      <c r="J1269" s="34" t="s">
        <v>36</v>
      </c>
      <c r="K1269" s="35" t="s">
        <v>0</v>
      </c>
      <c r="L1269" s="33"/>
      <c r="M1269" s="33" t="s">
        <v>358</v>
      </c>
      <c r="N1269" s="36"/>
      <c r="O1269" s="33">
        <v>3</v>
      </c>
      <c r="P1269" s="33">
        <f>IF(Tabela1[[#This Row],[Status]]="✔️",Tabela1[[#This Row],[Peso]],IF(Tabela1[[#This Row],[Status]]="✔️✔️",Tabela1[[#This Row],[Peso]]/2,0))</f>
        <v>3</v>
      </c>
      <c r="Q126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69" s="33" t="s">
        <v>127</v>
      </c>
      <c r="S1269" s="37" t="s">
        <v>349</v>
      </c>
    </row>
    <row r="1270" spans="8:19" ht="27.6" x14ac:dyDescent="0.3">
      <c r="H1270" s="32" t="s">
        <v>9</v>
      </c>
      <c r="I1270" s="33" t="s">
        <v>33</v>
      </c>
      <c r="J1270" s="34" t="s">
        <v>37</v>
      </c>
      <c r="K1270" s="35" t="s">
        <v>0</v>
      </c>
      <c r="L1270" s="33"/>
      <c r="M1270" s="33"/>
      <c r="N1270" s="36"/>
      <c r="O1270" s="33">
        <v>3</v>
      </c>
      <c r="P1270" s="33">
        <f>IF(Tabela1[[#This Row],[Status]]="✔️",Tabela1[[#This Row],[Peso]],IF(Tabela1[[#This Row],[Status]]="✔️✔️",Tabela1[[#This Row],[Peso]]/2,0))</f>
        <v>3</v>
      </c>
      <c r="Q127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70" s="33" t="s">
        <v>127</v>
      </c>
      <c r="S1270" s="37" t="s">
        <v>349</v>
      </c>
    </row>
    <row r="1271" spans="8:19" ht="27.6" x14ac:dyDescent="0.3">
      <c r="H1271" s="32" t="s">
        <v>9</v>
      </c>
      <c r="I1271" s="33" t="s">
        <v>38</v>
      </c>
      <c r="J1271" s="34" t="s">
        <v>327</v>
      </c>
      <c r="K1271" s="35" t="s">
        <v>290</v>
      </c>
      <c r="L1271" s="33" t="s">
        <v>372</v>
      </c>
      <c r="M1271" s="33">
        <v>8475</v>
      </c>
      <c r="N1271" s="36"/>
      <c r="O1271" s="33">
        <v>3</v>
      </c>
      <c r="P1271" s="33">
        <f>IF(Tabela1[[#This Row],[Status]]="✔️",Tabela1[[#This Row],[Peso]],IF(Tabela1[[#This Row],[Status]]="✔️✔️",Tabela1[[#This Row],[Peso]]/2,0))</f>
        <v>0</v>
      </c>
      <c r="Q127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71" s="33" t="s">
        <v>127</v>
      </c>
      <c r="S1271" s="37" t="s">
        <v>349</v>
      </c>
    </row>
    <row r="1272" spans="8:19" ht="82.8" x14ac:dyDescent="0.3">
      <c r="H1272" s="32" t="s">
        <v>9</v>
      </c>
      <c r="I1272" s="33" t="s">
        <v>38</v>
      </c>
      <c r="J1272" s="34" t="s">
        <v>40</v>
      </c>
      <c r="K1272" s="35" t="s">
        <v>290</v>
      </c>
      <c r="L1272" s="33" t="s">
        <v>373</v>
      </c>
      <c r="M1272" s="33">
        <v>8475</v>
      </c>
      <c r="N1272" s="36"/>
      <c r="O1272" s="33">
        <v>3</v>
      </c>
      <c r="P1272" s="33">
        <f>IF(Tabela1[[#This Row],[Status]]="✔️",Tabela1[[#This Row],[Peso]],IF(Tabela1[[#This Row],[Status]]="✔️✔️",Tabela1[[#This Row],[Peso]]/2,0))</f>
        <v>0</v>
      </c>
      <c r="Q127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72" s="33" t="s">
        <v>127</v>
      </c>
      <c r="S1272" s="37" t="s">
        <v>349</v>
      </c>
    </row>
    <row r="1273" spans="8:19" ht="41.4" x14ac:dyDescent="0.3">
      <c r="H1273" s="32" t="s">
        <v>9</v>
      </c>
      <c r="I1273" s="33" t="s">
        <v>41</v>
      </c>
      <c r="J1273" s="34" t="s">
        <v>457</v>
      </c>
      <c r="K1273" s="35" t="s">
        <v>291</v>
      </c>
      <c r="L1273" s="33"/>
      <c r="M1273" s="33">
        <v>8115</v>
      </c>
      <c r="N1273" s="36"/>
      <c r="O1273" s="33">
        <v>3</v>
      </c>
      <c r="P1273" s="33">
        <f>IF(Tabela1[[#This Row],[Status]]="✔️",Tabela1[[#This Row],[Peso]],IF(Tabela1[[#This Row],[Status]]="✔️✔️",Tabela1[[#This Row],[Peso]]/2,0))</f>
        <v>1.5</v>
      </c>
      <c r="Q1273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273" s="33" t="s">
        <v>127</v>
      </c>
      <c r="S1273" s="37" t="s">
        <v>349</v>
      </c>
    </row>
    <row r="1274" spans="8:19" ht="41.4" x14ac:dyDescent="0.3">
      <c r="H1274" s="32" t="s">
        <v>9</v>
      </c>
      <c r="I1274" s="53" t="s">
        <v>41</v>
      </c>
      <c r="J1274" s="57" t="s">
        <v>458</v>
      </c>
      <c r="K1274" s="35" t="s">
        <v>290</v>
      </c>
      <c r="L1274" s="53" t="s">
        <v>300</v>
      </c>
      <c r="M1274" s="33">
        <v>8115</v>
      </c>
      <c r="N1274" s="55"/>
      <c r="O1274" s="53">
        <v>2</v>
      </c>
      <c r="P1274" s="33">
        <f>IF(Tabela1[[#This Row],[Status]]="✔️",Tabela1[[#This Row],[Peso]],IF(Tabela1[[#This Row],[Status]]="✔️✔️",Tabela1[[#This Row],[Peso]]/2,0))</f>
        <v>0</v>
      </c>
      <c r="Q127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274" s="33" t="s">
        <v>127</v>
      </c>
      <c r="S1274" s="37" t="s">
        <v>349</v>
      </c>
    </row>
    <row r="1275" spans="8:19" ht="27.6" x14ac:dyDescent="0.3">
      <c r="H1275" s="32" t="s">
        <v>49</v>
      </c>
      <c r="I1275" s="33" t="s">
        <v>14</v>
      </c>
      <c r="J1275" s="34" t="s">
        <v>15</v>
      </c>
      <c r="K1275" s="35" t="s">
        <v>291</v>
      </c>
      <c r="L1275" s="33" t="s">
        <v>389</v>
      </c>
      <c r="M1275" s="33">
        <v>1774</v>
      </c>
      <c r="N1275" s="36"/>
      <c r="O1275" s="33">
        <v>3</v>
      </c>
      <c r="P1275" s="33">
        <f>IF(Tabela1[[#This Row],[Status]]="✔️",Tabela1[[#This Row],[Peso]],IF(Tabela1[[#This Row],[Status]]="✔️✔️",Tabela1[[#This Row],[Peso]]/2,0))</f>
        <v>1.5</v>
      </c>
      <c r="Q1275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275" s="33" t="s">
        <v>127</v>
      </c>
      <c r="S1275" s="37" t="s">
        <v>349</v>
      </c>
    </row>
    <row r="1276" spans="8:19" ht="27.6" x14ac:dyDescent="0.3">
      <c r="H1276" s="32" t="s">
        <v>49</v>
      </c>
      <c r="I1276" s="33" t="s">
        <v>14</v>
      </c>
      <c r="J1276" s="34" t="s">
        <v>16</v>
      </c>
      <c r="K1276" s="35" t="s">
        <v>0</v>
      </c>
      <c r="L1276" s="33"/>
      <c r="M1276" s="33"/>
      <c r="N1276" s="36"/>
      <c r="O1276" s="33">
        <v>1</v>
      </c>
      <c r="P1276" s="33">
        <f>IF(Tabela1[[#This Row],[Status]]="✔️",Tabela1[[#This Row],[Peso]],IF(Tabela1[[#This Row],[Status]]="✔️✔️",Tabela1[[#This Row],[Peso]]/2,0))</f>
        <v>1</v>
      </c>
      <c r="Q127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76" s="33" t="s">
        <v>127</v>
      </c>
      <c r="S1276" s="37" t="s">
        <v>349</v>
      </c>
    </row>
    <row r="1277" spans="8:19" ht="27.6" x14ac:dyDescent="0.3">
      <c r="H1277" s="32" t="s">
        <v>49</v>
      </c>
      <c r="I1277" s="33" t="s">
        <v>10</v>
      </c>
      <c r="J1277" s="34" t="s">
        <v>11</v>
      </c>
      <c r="K1277" s="35" t="s">
        <v>0</v>
      </c>
      <c r="L1277" s="33"/>
      <c r="M1277" s="33"/>
      <c r="N1277" s="36"/>
      <c r="O1277" s="33">
        <v>3</v>
      </c>
      <c r="P1277" s="33">
        <f>IF(Tabela1[[#This Row],[Status]]="✔️",Tabela1[[#This Row],[Peso]],IF(Tabela1[[#This Row],[Status]]="✔️✔️",Tabela1[[#This Row],[Peso]]/2,0))</f>
        <v>3</v>
      </c>
      <c r="Q127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77" s="33" t="s">
        <v>127</v>
      </c>
      <c r="S1277" s="37" t="s">
        <v>349</v>
      </c>
    </row>
    <row r="1278" spans="8:19" ht="27.6" x14ac:dyDescent="0.3">
      <c r="H1278" s="32" t="s">
        <v>49</v>
      </c>
      <c r="I1278" s="33" t="s">
        <v>10</v>
      </c>
      <c r="J1278" s="34" t="s">
        <v>316</v>
      </c>
      <c r="K1278" s="35" t="s">
        <v>0</v>
      </c>
      <c r="L1278" s="33"/>
      <c r="M1278" s="33"/>
      <c r="N1278" s="36"/>
      <c r="O1278" s="33">
        <v>3</v>
      </c>
      <c r="P1278" s="33">
        <f>IF(Tabela1[[#This Row],[Status]]="✔️",Tabela1[[#This Row],[Peso]],IF(Tabela1[[#This Row],[Status]]="✔️✔️",Tabela1[[#This Row],[Peso]]/2,0))</f>
        <v>3</v>
      </c>
      <c r="Q127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78" s="33" t="s">
        <v>127</v>
      </c>
      <c r="S1278" s="37" t="s">
        <v>349</v>
      </c>
    </row>
    <row r="1279" spans="8:19" ht="31.8" customHeight="1" x14ac:dyDescent="0.3">
      <c r="H1279" s="32" t="s">
        <v>49</v>
      </c>
      <c r="I1279" s="33" t="s">
        <v>10</v>
      </c>
      <c r="J1279" s="34" t="s">
        <v>450</v>
      </c>
      <c r="K1279" s="35" t="s">
        <v>290</v>
      </c>
      <c r="L1279" s="33" t="s">
        <v>385</v>
      </c>
      <c r="M1279" s="33">
        <v>4180</v>
      </c>
      <c r="N1279" s="58"/>
      <c r="O1279" s="33">
        <v>3</v>
      </c>
      <c r="P1279" s="33">
        <f>IF(Tabela1[[#This Row],[Status]]="✔️",Tabela1[[#This Row],[Peso]],IF(Tabela1[[#This Row],[Status]]="✔️✔️",Tabela1[[#This Row],[Peso]]/2,0))</f>
        <v>0</v>
      </c>
      <c r="Q127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79" s="33" t="s">
        <v>127</v>
      </c>
      <c r="S1279" s="37" t="s">
        <v>349</v>
      </c>
    </row>
    <row r="1280" spans="8:19" ht="30.6" customHeight="1" x14ac:dyDescent="0.3">
      <c r="H1280" s="32" t="s">
        <v>49</v>
      </c>
      <c r="I1280" s="33" t="s">
        <v>10</v>
      </c>
      <c r="J1280" s="34" t="s">
        <v>450</v>
      </c>
      <c r="K1280" s="35" t="s">
        <v>290</v>
      </c>
      <c r="L1280" s="33" t="s">
        <v>60</v>
      </c>
      <c r="M1280" s="33">
        <v>5214</v>
      </c>
      <c r="N1280" s="58"/>
      <c r="O1280" s="33">
        <v>3</v>
      </c>
      <c r="P1280" s="33">
        <f>IF(Tabela1[[#This Row],[Status]]="✔️",Tabela1[[#This Row],[Peso]],IF(Tabela1[[#This Row],[Status]]="✔️✔️",Tabela1[[#This Row],[Peso]]/2,0))</f>
        <v>0</v>
      </c>
      <c r="Q128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80" s="33" t="s">
        <v>127</v>
      </c>
      <c r="S1280" s="37" t="s">
        <v>349</v>
      </c>
    </row>
    <row r="1281" spans="8:19" ht="27.6" x14ac:dyDescent="0.3">
      <c r="H1281" s="32" t="s">
        <v>49</v>
      </c>
      <c r="I1281" s="33" t="s">
        <v>10</v>
      </c>
      <c r="J1281" s="34" t="s">
        <v>451</v>
      </c>
      <c r="K1281" s="35" t="s">
        <v>0</v>
      </c>
      <c r="L1281" s="33"/>
      <c r="M1281" s="33"/>
      <c r="N1281" s="36"/>
      <c r="O1281" s="33">
        <v>3</v>
      </c>
      <c r="P1281" s="33">
        <f>IF(Tabela1[[#This Row],[Status]]="✔️",Tabela1[[#This Row],[Peso]],IF(Tabela1[[#This Row],[Status]]="✔️✔️",Tabela1[[#This Row],[Peso]]/2,0))</f>
        <v>3</v>
      </c>
      <c r="Q128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81" s="33" t="s">
        <v>127</v>
      </c>
      <c r="S1281" s="37" t="s">
        <v>349</v>
      </c>
    </row>
    <row r="1282" spans="8:19" ht="27.6" x14ac:dyDescent="0.3">
      <c r="H1282" s="32" t="s">
        <v>49</v>
      </c>
      <c r="I1282" s="33" t="s">
        <v>12</v>
      </c>
      <c r="J1282" s="34" t="s">
        <v>13</v>
      </c>
      <c r="K1282" s="35" t="s">
        <v>291</v>
      </c>
      <c r="L1282" s="33" t="s">
        <v>390</v>
      </c>
      <c r="M1282" s="33">
        <v>2955</v>
      </c>
      <c r="N1282" s="36"/>
      <c r="O1282" s="33">
        <v>2</v>
      </c>
      <c r="P1282" s="33">
        <f>IF(Tabela1[[#This Row],[Status]]="✔️",Tabela1[[#This Row],[Peso]],IF(Tabela1[[#This Row],[Status]]="✔️✔️",Tabela1[[#This Row],[Peso]]/2,0))</f>
        <v>1</v>
      </c>
      <c r="Q128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82" s="33" t="s">
        <v>127</v>
      </c>
      <c r="S1282" s="37" t="s">
        <v>349</v>
      </c>
    </row>
    <row r="1283" spans="8:19" ht="27.6" x14ac:dyDescent="0.3">
      <c r="H1283" s="32" t="s">
        <v>49</v>
      </c>
      <c r="I1283" s="33" t="s">
        <v>17</v>
      </c>
      <c r="J1283" s="34" t="s">
        <v>18</v>
      </c>
      <c r="K1283" s="35" t="s">
        <v>0</v>
      </c>
      <c r="L1283" s="33"/>
      <c r="M1283" s="33"/>
      <c r="N1283" s="36"/>
      <c r="O1283" s="33">
        <v>3</v>
      </c>
      <c r="P1283" s="33">
        <f>IF(Tabela1[[#This Row],[Status]]="✔️",Tabela1[[#This Row],[Peso]],IF(Tabela1[[#This Row],[Status]]="✔️✔️",Tabela1[[#This Row],[Peso]]/2,0))</f>
        <v>3</v>
      </c>
      <c r="Q128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83" s="33" t="s">
        <v>127</v>
      </c>
      <c r="S1283" s="37" t="s">
        <v>349</v>
      </c>
    </row>
    <row r="1284" spans="8:19" ht="27.6" x14ac:dyDescent="0.3">
      <c r="H1284" s="32" t="s">
        <v>49</v>
      </c>
      <c r="I1284" s="33" t="s">
        <v>17</v>
      </c>
      <c r="J1284" s="34" t="s">
        <v>19</v>
      </c>
      <c r="K1284" s="35" t="s">
        <v>290</v>
      </c>
      <c r="L1284" s="33" t="s">
        <v>58</v>
      </c>
      <c r="M1284" s="33">
        <v>8293</v>
      </c>
      <c r="N1284" s="36"/>
      <c r="O1284" s="33">
        <v>1</v>
      </c>
      <c r="P1284" s="33">
        <f>IF(Tabela1[[#This Row],[Status]]="✔️",Tabela1[[#This Row],[Peso]],IF(Tabela1[[#This Row],[Status]]="✔️✔️",Tabela1[[#This Row],[Peso]]/2,0))</f>
        <v>0</v>
      </c>
      <c r="Q128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84" s="33" t="s">
        <v>127</v>
      </c>
      <c r="S1284" s="37" t="s">
        <v>349</v>
      </c>
    </row>
    <row r="1285" spans="8:19" ht="27.6" x14ac:dyDescent="0.3">
      <c r="H1285" s="32" t="s">
        <v>49</v>
      </c>
      <c r="I1285" s="33" t="s">
        <v>20</v>
      </c>
      <c r="J1285" s="34" t="s">
        <v>21</v>
      </c>
      <c r="K1285" s="35" t="s">
        <v>290</v>
      </c>
      <c r="L1285" s="33" t="s">
        <v>388</v>
      </c>
      <c r="M1285" s="33">
        <v>3089</v>
      </c>
      <c r="N1285" s="36"/>
      <c r="O1285" s="33">
        <v>3</v>
      </c>
      <c r="P1285" s="33">
        <f>IF(Tabela1[[#This Row],[Status]]="✔️",Tabela1[[#This Row],[Peso]],IF(Tabela1[[#This Row],[Status]]="✔️✔️",Tabela1[[#This Row],[Peso]]/2,0))</f>
        <v>0</v>
      </c>
      <c r="Q128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85" s="33" t="s">
        <v>127</v>
      </c>
      <c r="S1285" s="37" t="s">
        <v>349</v>
      </c>
    </row>
    <row r="1286" spans="8:19" ht="27.6" x14ac:dyDescent="0.3">
      <c r="H1286" s="32" t="s">
        <v>49</v>
      </c>
      <c r="I1286" s="33" t="s">
        <v>20</v>
      </c>
      <c r="J1286" s="34" t="s">
        <v>452</v>
      </c>
      <c r="K1286" s="35" t="s">
        <v>291</v>
      </c>
      <c r="L1286" s="33" t="s">
        <v>355</v>
      </c>
      <c r="M1286" s="33">
        <v>9087</v>
      </c>
      <c r="N1286" s="36"/>
      <c r="O1286" s="33">
        <v>1</v>
      </c>
      <c r="P1286" s="33">
        <f>IF(Tabela1[[#This Row],[Status]]="✔️",Tabela1[[#This Row],[Peso]],IF(Tabela1[[#This Row],[Status]]="✔️✔️",Tabela1[[#This Row],[Peso]]/2,0))</f>
        <v>0.5</v>
      </c>
      <c r="Q1286" s="33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1286" s="33" t="s">
        <v>127</v>
      </c>
      <c r="S1286" s="37" t="s">
        <v>349</v>
      </c>
    </row>
    <row r="1287" spans="8:19" ht="27.6" x14ac:dyDescent="0.3">
      <c r="H1287" s="32" t="s">
        <v>49</v>
      </c>
      <c r="I1287" s="33" t="s">
        <v>22</v>
      </c>
      <c r="J1287" s="34" t="s">
        <v>23</v>
      </c>
      <c r="K1287" s="35" t="s">
        <v>0</v>
      </c>
      <c r="L1287" s="33"/>
      <c r="M1287" s="33"/>
      <c r="N1287" s="36"/>
      <c r="O1287" s="33">
        <v>1</v>
      </c>
      <c r="P1287" s="33">
        <f>IF(Tabela1[[#This Row],[Status]]="✔️",Tabela1[[#This Row],[Peso]],IF(Tabela1[[#This Row],[Status]]="✔️✔️",Tabela1[[#This Row],[Peso]]/2,0))</f>
        <v>1</v>
      </c>
      <c r="Q128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87" s="33" t="s">
        <v>127</v>
      </c>
      <c r="S1287" s="37" t="s">
        <v>349</v>
      </c>
    </row>
    <row r="1288" spans="8:19" ht="27.6" x14ac:dyDescent="0.3">
      <c r="H1288" s="32" t="s">
        <v>49</v>
      </c>
      <c r="I1288" s="33" t="s">
        <v>22</v>
      </c>
      <c r="J1288" s="34" t="s">
        <v>453</v>
      </c>
      <c r="K1288" s="35" t="s">
        <v>291</v>
      </c>
      <c r="L1288" s="33" t="s">
        <v>354</v>
      </c>
      <c r="M1288" s="33">
        <v>3089</v>
      </c>
      <c r="N1288" s="36" t="s">
        <v>268</v>
      </c>
      <c r="O1288" s="33">
        <v>1</v>
      </c>
      <c r="P1288" s="33">
        <f>IF(Tabela1[[#This Row],[Status]]="✔️",Tabela1[[#This Row],[Peso]],IF(Tabela1[[#This Row],[Status]]="✔️✔️",Tabela1[[#This Row],[Peso]]/2,0))</f>
        <v>0.5</v>
      </c>
      <c r="Q1288" s="33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1288" s="33" t="s">
        <v>127</v>
      </c>
      <c r="S1288" s="37" t="s">
        <v>349</v>
      </c>
    </row>
    <row r="1289" spans="8:19" ht="27.6" x14ac:dyDescent="0.3">
      <c r="H1289" s="32" t="s">
        <v>49</v>
      </c>
      <c r="I1289" s="33" t="s">
        <v>25</v>
      </c>
      <c r="J1289" s="34" t="s">
        <v>454</v>
      </c>
      <c r="K1289" s="35" t="s">
        <v>0</v>
      </c>
      <c r="L1289" s="33"/>
      <c r="M1289" s="33"/>
      <c r="N1289" s="36"/>
      <c r="O1289" s="33">
        <v>3</v>
      </c>
      <c r="P1289" s="33">
        <f>IF(Tabela1[[#This Row],[Status]]="✔️",Tabela1[[#This Row],[Peso]],IF(Tabela1[[#This Row],[Status]]="✔️✔️",Tabela1[[#This Row],[Peso]]/2,0))</f>
        <v>3</v>
      </c>
      <c r="Q128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89" s="33" t="s">
        <v>127</v>
      </c>
      <c r="S1289" s="37" t="s">
        <v>349</v>
      </c>
    </row>
    <row r="1290" spans="8:19" ht="27.6" x14ac:dyDescent="0.3">
      <c r="H1290" s="32" t="s">
        <v>49</v>
      </c>
      <c r="I1290" s="33" t="s">
        <v>25</v>
      </c>
      <c r="J1290" s="34" t="s">
        <v>320</v>
      </c>
      <c r="K1290" s="35" t="s">
        <v>0</v>
      </c>
      <c r="L1290" s="33"/>
      <c r="M1290" s="33"/>
      <c r="N1290" s="36"/>
      <c r="O1290" s="33">
        <v>3</v>
      </c>
      <c r="P1290" s="33">
        <f>IF(Tabela1[[#This Row],[Status]]="✔️",Tabela1[[#This Row],[Peso]],IF(Tabela1[[#This Row],[Status]]="✔️✔️",Tabela1[[#This Row],[Peso]]/2,0))</f>
        <v>3</v>
      </c>
      <c r="Q129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90" s="33" t="s">
        <v>127</v>
      </c>
      <c r="S1290" s="37" t="s">
        <v>349</v>
      </c>
    </row>
    <row r="1291" spans="8:19" ht="27.6" x14ac:dyDescent="0.3">
      <c r="H1291" s="32" t="s">
        <v>49</v>
      </c>
      <c r="I1291" s="33" t="s">
        <v>30</v>
      </c>
      <c r="J1291" s="34" t="s">
        <v>455</v>
      </c>
      <c r="K1291" s="35" t="s">
        <v>0</v>
      </c>
      <c r="L1291" s="33"/>
      <c r="M1291" s="33"/>
      <c r="N1291" s="36"/>
      <c r="O1291" s="33">
        <v>3</v>
      </c>
      <c r="P1291" s="33">
        <f>IF(Tabela1[[#This Row],[Status]]="✔️",Tabela1[[#This Row],[Peso]],IF(Tabela1[[#This Row],[Status]]="✔️✔️",Tabela1[[#This Row],[Peso]]/2,0))</f>
        <v>3</v>
      </c>
      <c r="Q129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91" s="33" t="s">
        <v>127</v>
      </c>
      <c r="S1291" s="37" t="s">
        <v>349</v>
      </c>
    </row>
    <row r="1292" spans="8:19" ht="34.200000000000003" customHeight="1" x14ac:dyDescent="0.3">
      <c r="H1292" s="32" t="s">
        <v>49</v>
      </c>
      <c r="I1292" s="33" t="s">
        <v>25</v>
      </c>
      <c r="J1292" s="34" t="s">
        <v>456</v>
      </c>
      <c r="K1292" s="35" t="s">
        <v>291</v>
      </c>
      <c r="L1292" s="33" t="s">
        <v>353</v>
      </c>
      <c r="M1292" s="33">
        <v>8773</v>
      </c>
      <c r="N1292" s="36" t="s">
        <v>386</v>
      </c>
      <c r="O1292" s="33">
        <v>3</v>
      </c>
      <c r="P1292" s="33">
        <f>IF(Tabela1[[#This Row],[Status]]="✔️",Tabela1[[#This Row],[Peso]],IF(Tabela1[[#This Row],[Status]]="✔️✔️",Tabela1[[#This Row],[Peso]]/2,0))</f>
        <v>1.5</v>
      </c>
      <c r="Q1292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292" s="33" t="s">
        <v>127</v>
      </c>
      <c r="S1292" s="37" t="s">
        <v>349</v>
      </c>
    </row>
    <row r="1293" spans="8:19" ht="34.200000000000003" customHeight="1" x14ac:dyDescent="0.3">
      <c r="H1293" s="32" t="s">
        <v>49</v>
      </c>
      <c r="I1293" s="33" t="s">
        <v>25</v>
      </c>
      <c r="J1293" s="34" t="s">
        <v>456</v>
      </c>
      <c r="K1293" s="35" t="s">
        <v>290</v>
      </c>
      <c r="L1293" s="33" t="s">
        <v>387</v>
      </c>
      <c r="M1293" s="33">
        <v>9934</v>
      </c>
      <c r="N1293" s="36"/>
      <c r="O1293" s="33">
        <v>3</v>
      </c>
      <c r="P1293" s="33">
        <f>IF(Tabela1[[#This Row],[Status]]="✔️",Tabela1[[#This Row],[Peso]],IF(Tabela1[[#This Row],[Status]]="✔️✔️",Tabela1[[#This Row],[Peso]]/2,0))</f>
        <v>0</v>
      </c>
      <c r="Q129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93" s="33" t="s">
        <v>127</v>
      </c>
      <c r="S1293" s="37" t="s">
        <v>349</v>
      </c>
    </row>
    <row r="1294" spans="8:19" ht="41.4" x14ac:dyDescent="0.3">
      <c r="H1294" s="32" t="s">
        <v>49</v>
      </c>
      <c r="I1294" s="33" t="s">
        <v>41</v>
      </c>
      <c r="J1294" s="34" t="s">
        <v>457</v>
      </c>
      <c r="K1294" s="35" t="s">
        <v>290</v>
      </c>
      <c r="L1294" s="33" t="s">
        <v>359</v>
      </c>
      <c r="M1294" s="33">
        <v>8115</v>
      </c>
      <c r="N1294" s="36"/>
      <c r="O1294" s="33">
        <v>3</v>
      </c>
      <c r="P1294" s="33">
        <f>IF(Tabela1[[#This Row],[Status]]="✔️",Tabela1[[#This Row],[Peso]],IF(Tabela1[[#This Row],[Status]]="✔️✔️",Tabela1[[#This Row],[Peso]]/2,0))</f>
        <v>0</v>
      </c>
      <c r="Q129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94" s="33" t="s">
        <v>127</v>
      </c>
      <c r="S1294" s="37" t="s">
        <v>349</v>
      </c>
    </row>
    <row r="1295" spans="8:19" ht="41.4" x14ac:dyDescent="0.3">
      <c r="H1295" s="32" t="s">
        <v>49</v>
      </c>
      <c r="I1295" s="53" t="s">
        <v>41</v>
      </c>
      <c r="J1295" s="57" t="s">
        <v>458</v>
      </c>
      <c r="K1295" s="54" t="s">
        <v>290</v>
      </c>
      <c r="L1295" s="33" t="s">
        <v>359</v>
      </c>
      <c r="M1295" s="53">
        <v>8115</v>
      </c>
      <c r="N1295" s="36"/>
      <c r="O1295" s="53">
        <v>2</v>
      </c>
      <c r="P1295" s="33">
        <f>IF(Tabela1[[#This Row],[Status]]="✔️",Tabela1[[#This Row],[Peso]],IF(Tabela1[[#This Row],[Status]]="✔️✔️",Tabela1[[#This Row],[Peso]]/2,0))</f>
        <v>0</v>
      </c>
      <c r="Q1295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295" s="33" t="s">
        <v>127</v>
      </c>
      <c r="S1295" s="37" t="s">
        <v>349</v>
      </c>
    </row>
    <row r="1296" spans="8:19" ht="27.6" x14ac:dyDescent="0.3">
      <c r="H1296" s="32" t="s">
        <v>50</v>
      </c>
      <c r="I1296" s="33" t="s">
        <v>14</v>
      </c>
      <c r="J1296" s="34" t="s">
        <v>15</v>
      </c>
      <c r="K1296" s="35" t="s">
        <v>0</v>
      </c>
      <c r="L1296" s="33"/>
      <c r="M1296" s="33"/>
      <c r="N1296" s="36"/>
      <c r="O1296" s="33">
        <v>3</v>
      </c>
      <c r="P1296" s="33">
        <f>IF(Tabela1[[#This Row],[Status]]="✔️",Tabela1[[#This Row],[Peso]],IF(Tabela1[[#This Row],[Status]]="✔️✔️",Tabela1[[#This Row],[Peso]]/2,0))</f>
        <v>3</v>
      </c>
      <c r="Q129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96" s="33" t="s">
        <v>127</v>
      </c>
      <c r="S1296" s="37" t="s">
        <v>349</v>
      </c>
    </row>
    <row r="1297" spans="8:19" ht="27.6" x14ac:dyDescent="0.3">
      <c r="H1297" s="32" t="s">
        <v>50</v>
      </c>
      <c r="I1297" s="33" t="s">
        <v>14</v>
      </c>
      <c r="J1297" s="34" t="s">
        <v>16</v>
      </c>
      <c r="K1297" s="35" t="s">
        <v>0</v>
      </c>
      <c r="L1297" s="33"/>
      <c r="M1297" s="33"/>
      <c r="N1297" s="36"/>
      <c r="O1297" s="33">
        <v>1</v>
      </c>
      <c r="P1297" s="33">
        <f>IF(Tabela1[[#This Row],[Status]]="✔️",Tabela1[[#This Row],[Peso]],IF(Tabela1[[#This Row],[Status]]="✔️✔️",Tabela1[[#This Row],[Peso]]/2,0))</f>
        <v>1</v>
      </c>
      <c r="Q129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97" s="33" t="s">
        <v>127</v>
      </c>
      <c r="S1297" s="37" t="s">
        <v>349</v>
      </c>
    </row>
    <row r="1298" spans="8:19" ht="27.6" x14ac:dyDescent="0.3">
      <c r="H1298" s="32" t="s">
        <v>50</v>
      </c>
      <c r="I1298" s="33" t="s">
        <v>10</v>
      </c>
      <c r="J1298" s="34" t="s">
        <v>11</v>
      </c>
      <c r="K1298" s="35" t="s">
        <v>0</v>
      </c>
      <c r="L1298" s="33"/>
      <c r="M1298" s="33"/>
      <c r="N1298" s="36"/>
      <c r="O1298" s="33">
        <v>3</v>
      </c>
      <c r="P1298" s="33">
        <f>IF(Tabela1[[#This Row],[Status]]="✔️",Tabela1[[#This Row],[Peso]],IF(Tabela1[[#This Row],[Status]]="✔️✔️",Tabela1[[#This Row],[Peso]]/2,0))</f>
        <v>3</v>
      </c>
      <c r="Q129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98" s="33" t="s">
        <v>127</v>
      </c>
      <c r="S1298" s="37" t="s">
        <v>349</v>
      </c>
    </row>
    <row r="1299" spans="8:19" ht="27.6" x14ac:dyDescent="0.3">
      <c r="H1299" s="32" t="s">
        <v>50</v>
      </c>
      <c r="I1299" s="33" t="s">
        <v>10</v>
      </c>
      <c r="J1299" s="34" t="s">
        <v>316</v>
      </c>
      <c r="K1299" s="35" t="s">
        <v>0</v>
      </c>
      <c r="L1299" s="33"/>
      <c r="M1299" s="33"/>
      <c r="N1299" s="36"/>
      <c r="O1299" s="33">
        <v>3</v>
      </c>
      <c r="P1299" s="33">
        <f>IF(Tabela1[[#This Row],[Status]]="✔️",Tabela1[[#This Row],[Peso]],IF(Tabela1[[#This Row],[Status]]="✔️✔️",Tabela1[[#This Row],[Peso]]/2,0))</f>
        <v>3</v>
      </c>
      <c r="Q129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99" s="33" t="s">
        <v>127</v>
      </c>
      <c r="S1299" s="37" t="s">
        <v>349</v>
      </c>
    </row>
    <row r="1300" spans="8:19" ht="27.6" x14ac:dyDescent="0.3">
      <c r="H1300" s="32" t="s">
        <v>50</v>
      </c>
      <c r="I1300" s="33" t="s">
        <v>10</v>
      </c>
      <c r="J1300" s="34" t="s">
        <v>450</v>
      </c>
      <c r="K1300" s="35" t="s">
        <v>291</v>
      </c>
      <c r="L1300" s="33"/>
      <c r="M1300" s="33">
        <v>5214</v>
      </c>
      <c r="N1300" s="36"/>
      <c r="O1300" s="33">
        <v>3</v>
      </c>
      <c r="P1300" s="33">
        <f>IF(Tabela1[[#This Row],[Status]]="✔️",Tabela1[[#This Row],[Peso]],IF(Tabela1[[#This Row],[Status]]="✔️✔️",Tabela1[[#This Row],[Peso]]/2,0))</f>
        <v>1.5</v>
      </c>
      <c r="Q1300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00" s="33" t="s">
        <v>127</v>
      </c>
      <c r="S1300" s="37" t="s">
        <v>349</v>
      </c>
    </row>
    <row r="1301" spans="8:19" ht="27.6" x14ac:dyDescent="0.3">
      <c r="H1301" s="32" t="s">
        <v>50</v>
      </c>
      <c r="I1301" s="33" t="s">
        <v>10</v>
      </c>
      <c r="J1301" s="34" t="s">
        <v>451</v>
      </c>
      <c r="K1301" s="35" t="s">
        <v>0</v>
      </c>
      <c r="L1301" s="33"/>
      <c r="M1301" s="33"/>
      <c r="N1301" s="36"/>
      <c r="O1301" s="33">
        <v>3</v>
      </c>
      <c r="P1301" s="33">
        <f>IF(Tabela1[[#This Row],[Status]]="✔️",Tabela1[[#This Row],[Peso]],IF(Tabela1[[#This Row],[Status]]="✔️✔️",Tabela1[[#This Row],[Peso]]/2,0))</f>
        <v>3</v>
      </c>
      <c r="Q130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01" s="33" t="s">
        <v>127</v>
      </c>
      <c r="S1301" s="37" t="s">
        <v>349</v>
      </c>
    </row>
    <row r="1302" spans="8:19" ht="27.6" x14ac:dyDescent="0.3">
      <c r="H1302" s="32" t="s">
        <v>50</v>
      </c>
      <c r="I1302" s="33" t="s">
        <v>12</v>
      </c>
      <c r="J1302" s="34" t="s">
        <v>13</v>
      </c>
      <c r="K1302" s="35" t="s">
        <v>291</v>
      </c>
      <c r="L1302" s="33"/>
      <c r="M1302" s="33">
        <v>2955</v>
      </c>
      <c r="N1302" s="36"/>
      <c r="O1302" s="33">
        <v>2</v>
      </c>
      <c r="P1302" s="33">
        <f>IF(Tabela1[[#This Row],[Status]]="✔️",Tabela1[[#This Row],[Peso]],IF(Tabela1[[#This Row],[Status]]="✔️✔️",Tabela1[[#This Row],[Peso]]/2,0))</f>
        <v>1</v>
      </c>
      <c r="Q130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02" s="33" t="s">
        <v>127</v>
      </c>
      <c r="S1302" s="37" t="s">
        <v>349</v>
      </c>
    </row>
    <row r="1303" spans="8:19" ht="27.6" x14ac:dyDescent="0.3">
      <c r="H1303" s="32" t="s">
        <v>50</v>
      </c>
      <c r="I1303" s="33" t="s">
        <v>17</v>
      </c>
      <c r="J1303" s="34" t="s">
        <v>18</v>
      </c>
      <c r="K1303" s="35" t="s">
        <v>0</v>
      </c>
      <c r="L1303" s="33"/>
      <c r="M1303" s="33"/>
      <c r="N1303" s="36"/>
      <c r="O1303" s="33">
        <v>3</v>
      </c>
      <c r="P1303" s="33">
        <f>IF(Tabela1[[#This Row],[Status]]="✔️",Tabela1[[#This Row],[Peso]],IF(Tabela1[[#This Row],[Status]]="✔️✔️",Tabela1[[#This Row],[Peso]]/2,0))</f>
        <v>3</v>
      </c>
      <c r="Q130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03" s="33" t="s">
        <v>127</v>
      </c>
      <c r="S1303" s="37" t="s">
        <v>349</v>
      </c>
    </row>
    <row r="1304" spans="8:19" ht="27.6" x14ac:dyDescent="0.3">
      <c r="H1304" s="32" t="s">
        <v>50</v>
      </c>
      <c r="I1304" s="33" t="s">
        <v>17</v>
      </c>
      <c r="J1304" s="34" t="s">
        <v>19</v>
      </c>
      <c r="K1304" s="35" t="s">
        <v>0</v>
      </c>
      <c r="L1304" s="33"/>
      <c r="M1304" s="33"/>
      <c r="N1304" s="36"/>
      <c r="O1304" s="33">
        <v>1</v>
      </c>
      <c r="P1304" s="33">
        <f>IF(Tabela1[[#This Row],[Status]]="✔️",Tabela1[[#This Row],[Peso]],IF(Tabela1[[#This Row],[Status]]="✔️✔️",Tabela1[[#This Row],[Peso]]/2,0))</f>
        <v>1</v>
      </c>
      <c r="Q130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04" s="33" t="s">
        <v>127</v>
      </c>
      <c r="S1304" s="37" t="s">
        <v>349</v>
      </c>
    </row>
    <row r="1305" spans="8:19" ht="27.6" x14ac:dyDescent="0.3">
      <c r="H1305" s="32" t="s">
        <v>50</v>
      </c>
      <c r="I1305" s="33" t="s">
        <v>20</v>
      </c>
      <c r="J1305" s="34" t="s">
        <v>21</v>
      </c>
      <c r="K1305" s="35" t="s">
        <v>291</v>
      </c>
      <c r="L1305" s="33" t="s">
        <v>365</v>
      </c>
      <c r="M1305" s="33">
        <v>3234</v>
      </c>
      <c r="N1305" s="36"/>
      <c r="O1305" s="33">
        <v>3</v>
      </c>
      <c r="P1305" s="33">
        <f>IF(Tabela1[[#This Row],[Status]]="✔️",Tabela1[[#This Row],[Peso]],IF(Tabela1[[#This Row],[Status]]="✔️✔️",Tabela1[[#This Row],[Peso]]/2,0))</f>
        <v>1.5</v>
      </c>
      <c r="Q1305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05" s="33" t="s">
        <v>127</v>
      </c>
      <c r="S1305" s="37" t="s">
        <v>349</v>
      </c>
    </row>
    <row r="1306" spans="8:19" ht="51" customHeight="1" x14ac:dyDescent="0.3">
      <c r="H1306" s="32" t="s">
        <v>50</v>
      </c>
      <c r="I1306" s="33" t="s">
        <v>20</v>
      </c>
      <c r="J1306" s="34" t="s">
        <v>452</v>
      </c>
      <c r="K1306" s="35" t="s">
        <v>290</v>
      </c>
      <c r="L1306" s="33" t="s">
        <v>361</v>
      </c>
      <c r="M1306" s="33">
        <v>6903</v>
      </c>
      <c r="N1306" s="36" t="s">
        <v>391</v>
      </c>
      <c r="O1306" s="33">
        <v>1</v>
      </c>
      <c r="P1306" s="33">
        <f>IF(Tabela1[[#This Row],[Status]]="✔️",Tabela1[[#This Row],[Peso]],IF(Tabela1[[#This Row],[Status]]="✔️✔️",Tabela1[[#This Row],[Peso]]/2,0))</f>
        <v>0</v>
      </c>
      <c r="Q130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06" s="33" t="s">
        <v>127</v>
      </c>
      <c r="S1306" s="37" t="s">
        <v>349</v>
      </c>
    </row>
    <row r="1307" spans="8:19" ht="27.6" x14ac:dyDescent="0.3">
      <c r="H1307" s="32" t="s">
        <v>50</v>
      </c>
      <c r="I1307" s="33" t="s">
        <v>20</v>
      </c>
      <c r="J1307" s="34" t="s">
        <v>452</v>
      </c>
      <c r="K1307" s="35" t="s">
        <v>291</v>
      </c>
      <c r="L1307" s="33" t="s">
        <v>364</v>
      </c>
      <c r="M1307" s="33">
        <v>9087</v>
      </c>
      <c r="N1307" s="36"/>
      <c r="O1307" s="33">
        <v>1</v>
      </c>
      <c r="P1307" s="33">
        <f>IF(Tabela1[[#This Row],[Status]]="✔️",Tabela1[[#This Row],[Peso]],IF(Tabela1[[#This Row],[Status]]="✔️✔️",Tabela1[[#This Row],[Peso]]/2,0))</f>
        <v>0.5</v>
      </c>
      <c r="Q1307" s="33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1307" s="33" t="s">
        <v>127</v>
      </c>
      <c r="S1307" s="37" t="s">
        <v>349</v>
      </c>
    </row>
    <row r="1308" spans="8:19" ht="27.6" x14ac:dyDescent="0.3">
      <c r="H1308" s="32" t="s">
        <v>50</v>
      </c>
      <c r="I1308" s="33" t="s">
        <v>22</v>
      </c>
      <c r="J1308" s="34" t="s">
        <v>23</v>
      </c>
      <c r="K1308" s="35" t="s">
        <v>0</v>
      </c>
      <c r="L1308" s="33"/>
      <c r="M1308" s="33"/>
      <c r="N1308" s="36"/>
      <c r="O1308" s="33">
        <v>1</v>
      </c>
      <c r="P1308" s="33">
        <f>IF(Tabela1[[#This Row],[Status]]="✔️",Tabela1[[#This Row],[Peso]],IF(Tabela1[[#This Row],[Status]]="✔️✔️",Tabela1[[#This Row],[Peso]]/2,0))</f>
        <v>1</v>
      </c>
      <c r="Q130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08" s="33" t="s">
        <v>127</v>
      </c>
      <c r="S1308" s="37" t="s">
        <v>349</v>
      </c>
    </row>
    <row r="1309" spans="8:19" ht="27.6" x14ac:dyDescent="0.3">
      <c r="H1309" s="32" t="s">
        <v>50</v>
      </c>
      <c r="I1309" s="33" t="s">
        <v>22</v>
      </c>
      <c r="J1309" s="34" t="s">
        <v>453</v>
      </c>
      <c r="K1309" s="35" t="s">
        <v>290</v>
      </c>
      <c r="L1309" s="33"/>
      <c r="M1309" s="33" t="s">
        <v>358</v>
      </c>
      <c r="N1309" s="36" t="s">
        <v>391</v>
      </c>
      <c r="O1309" s="33">
        <v>1</v>
      </c>
      <c r="P1309" s="33">
        <f>IF(Tabela1[[#This Row],[Status]]="✔️",Tabela1[[#This Row],[Peso]],IF(Tabela1[[#This Row],[Status]]="✔️✔️",Tabela1[[#This Row],[Peso]]/2,0))</f>
        <v>0</v>
      </c>
      <c r="Q130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09" s="33" t="s">
        <v>127</v>
      </c>
      <c r="S1309" s="37" t="s">
        <v>349</v>
      </c>
    </row>
    <row r="1310" spans="8:19" ht="27.6" x14ac:dyDescent="0.3">
      <c r="H1310" s="32" t="s">
        <v>50</v>
      </c>
      <c r="I1310" s="33" t="s">
        <v>25</v>
      </c>
      <c r="J1310" s="34" t="s">
        <v>454</v>
      </c>
      <c r="K1310" s="35" t="s">
        <v>290</v>
      </c>
      <c r="L1310" s="33"/>
      <c r="M1310" s="33">
        <v>6079</v>
      </c>
      <c r="N1310" s="36" t="s">
        <v>391</v>
      </c>
      <c r="O1310" s="33">
        <v>3</v>
      </c>
      <c r="P1310" s="33">
        <f>IF(Tabela1[[#This Row],[Status]]="✔️",Tabela1[[#This Row],[Peso]],IF(Tabela1[[#This Row],[Status]]="✔️✔️",Tabela1[[#This Row],[Peso]]/2,0))</f>
        <v>0</v>
      </c>
      <c r="Q131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10" s="33" t="s">
        <v>127</v>
      </c>
      <c r="S1310" s="37" t="s">
        <v>349</v>
      </c>
    </row>
    <row r="1311" spans="8:19" ht="27.6" x14ac:dyDescent="0.3">
      <c r="H1311" s="32" t="s">
        <v>50</v>
      </c>
      <c r="I1311" s="33" t="s">
        <v>25</v>
      </c>
      <c r="J1311" s="34" t="s">
        <v>320</v>
      </c>
      <c r="K1311" s="35" t="s">
        <v>291</v>
      </c>
      <c r="L1311" s="33" t="s">
        <v>356</v>
      </c>
      <c r="M1311" s="33">
        <v>8421</v>
      </c>
      <c r="N1311" s="36"/>
      <c r="O1311" s="33">
        <v>3</v>
      </c>
      <c r="P1311" s="33">
        <f>IF(Tabela1[[#This Row],[Status]]="✔️",Tabela1[[#This Row],[Peso]],IF(Tabela1[[#This Row],[Status]]="✔️✔️",Tabela1[[#This Row],[Peso]]/2,0))</f>
        <v>1.5</v>
      </c>
      <c r="Q1311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11" s="33" t="s">
        <v>127</v>
      </c>
      <c r="S1311" s="37" t="s">
        <v>349</v>
      </c>
    </row>
    <row r="1312" spans="8:19" ht="27.6" x14ac:dyDescent="0.3">
      <c r="H1312" s="32" t="s">
        <v>50</v>
      </c>
      <c r="I1312" s="33" t="s">
        <v>30</v>
      </c>
      <c r="J1312" s="34" t="s">
        <v>455</v>
      </c>
      <c r="K1312" s="35" t="s">
        <v>0</v>
      </c>
      <c r="L1312" s="33"/>
      <c r="M1312" s="33"/>
      <c r="N1312" s="36"/>
      <c r="O1312" s="33">
        <v>3</v>
      </c>
      <c r="P1312" s="33">
        <f>IF(Tabela1[[#This Row],[Status]]="✔️",Tabela1[[#This Row],[Peso]],IF(Tabela1[[#This Row],[Status]]="✔️✔️",Tabela1[[#This Row],[Peso]]/2,0))</f>
        <v>3</v>
      </c>
      <c r="Q131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12" s="33" t="s">
        <v>127</v>
      </c>
      <c r="S1312" s="37" t="s">
        <v>349</v>
      </c>
    </row>
    <row r="1313" spans="8:19" ht="27.6" x14ac:dyDescent="0.3">
      <c r="H1313" s="32" t="s">
        <v>50</v>
      </c>
      <c r="I1313" s="33" t="s">
        <v>25</v>
      </c>
      <c r="J1313" s="34" t="s">
        <v>456</v>
      </c>
      <c r="K1313" s="35" t="s">
        <v>290</v>
      </c>
      <c r="L1313" s="33"/>
      <c r="M1313" s="33">
        <v>6510</v>
      </c>
      <c r="N1313" s="36" t="s">
        <v>391</v>
      </c>
      <c r="O1313" s="33">
        <v>3</v>
      </c>
      <c r="P1313" s="33">
        <f>IF(Tabela1[[#This Row],[Status]]="✔️",Tabela1[[#This Row],[Peso]],IF(Tabela1[[#This Row],[Status]]="✔️✔️",Tabela1[[#This Row],[Peso]]/2,0))</f>
        <v>0</v>
      </c>
      <c r="Q131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13" s="33" t="s">
        <v>127</v>
      </c>
      <c r="S1313" s="37" t="s">
        <v>349</v>
      </c>
    </row>
    <row r="1314" spans="8:19" ht="41.4" x14ac:dyDescent="0.3">
      <c r="H1314" s="32" t="s">
        <v>50</v>
      </c>
      <c r="I1314" s="33" t="s">
        <v>41</v>
      </c>
      <c r="J1314" s="34" t="s">
        <v>457</v>
      </c>
      <c r="K1314" s="35" t="s">
        <v>291</v>
      </c>
      <c r="L1314" s="33"/>
      <c r="M1314" s="33">
        <v>8115</v>
      </c>
      <c r="N1314" s="36"/>
      <c r="O1314" s="33">
        <v>3</v>
      </c>
      <c r="P1314" s="33">
        <f>IF(Tabela1[[#This Row],[Status]]="✔️",Tabela1[[#This Row],[Peso]],IF(Tabela1[[#This Row],[Status]]="✔️✔️",Tabela1[[#This Row],[Peso]]/2,0))</f>
        <v>1.5</v>
      </c>
      <c r="Q1314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14" s="33" t="s">
        <v>127</v>
      </c>
      <c r="S1314" s="37" t="s">
        <v>349</v>
      </c>
    </row>
    <row r="1315" spans="8:19" ht="41.4" x14ac:dyDescent="0.3">
      <c r="H1315" s="32" t="s">
        <v>50</v>
      </c>
      <c r="I1315" s="53" t="s">
        <v>41</v>
      </c>
      <c r="J1315" s="57" t="s">
        <v>458</v>
      </c>
      <c r="K1315" s="54" t="s">
        <v>290</v>
      </c>
      <c r="L1315" s="53" t="s">
        <v>392</v>
      </c>
      <c r="M1315" s="33">
        <v>8115</v>
      </c>
      <c r="N1315" s="55"/>
      <c r="O1315" s="53">
        <v>2</v>
      </c>
      <c r="P1315" s="33">
        <f>IF(Tabela1[[#This Row],[Status]]="✔️",Tabela1[[#This Row],[Peso]],IF(Tabela1[[#This Row],[Status]]="✔️✔️",Tabela1[[#This Row],[Peso]]/2,0))</f>
        <v>0</v>
      </c>
      <c r="Q1315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315" s="33" t="s">
        <v>127</v>
      </c>
      <c r="S1315" s="37" t="s">
        <v>349</v>
      </c>
    </row>
    <row r="1316" spans="8:19" ht="27.6" x14ac:dyDescent="0.3">
      <c r="H1316" s="32" t="s">
        <v>51</v>
      </c>
      <c r="I1316" s="33" t="s">
        <v>14</v>
      </c>
      <c r="J1316" s="34" t="s">
        <v>15</v>
      </c>
      <c r="K1316" s="35" t="s">
        <v>291</v>
      </c>
      <c r="L1316" s="33"/>
      <c r="M1316" s="33">
        <v>8747</v>
      </c>
      <c r="N1316" s="36"/>
      <c r="O1316" s="33">
        <v>3</v>
      </c>
      <c r="P1316" s="33">
        <f>IF(Tabela1[[#This Row],[Status]]="✔️",Tabela1[[#This Row],[Peso]],IF(Tabela1[[#This Row],[Status]]="✔️✔️",Tabela1[[#This Row],[Peso]]/2,0))</f>
        <v>1.5</v>
      </c>
      <c r="Q1316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16" s="33" t="s">
        <v>127</v>
      </c>
      <c r="S1316" s="37" t="s">
        <v>349</v>
      </c>
    </row>
    <row r="1317" spans="8:19" ht="27.6" x14ac:dyDescent="0.3">
      <c r="H1317" s="32" t="s">
        <v>51</v>
      </c>
      <c r="I1317" s="33" t="s">
        <v>14</v>
      </c>
      <c r="J1317" s="34" t="s">
        <v>16</v>
      </c>
      <c r="K1317" s="35" t="s">
        <v>291</v>
      </c>
      <c r="L1317" s="33"/>
      <c r="M1317" s="33">
        <v>8747</v>
      </c>
      <c r="N1317" s="36"/>
      <c r="O1317" s="33">
        <v>1</v>
      </c>
      <c r="P1317" s="33">
        <f>IF(Tabela1[[#This Row],[Status]]="✔️",Tabela1[[#This Row],[Peso]],IF(Tabela1[[#This Row],[Status]]="✔️✔️",Tabela1[[#This Row],[Peso]]/2,0))</f>
        <v>0.5</v>
      </c>
      <c r="Q1317" s="33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1317" s="33" t="s">
        <v>127</v>
      </c>
      <c r="S1317" s="37" t="s">
        <v>349</v>
      </c>
    </row>
    <row r="1318" spans="8:19" ht="27.6" x14ac:dyDescent="0.3">
      <c r="H1318" s="32" t="s">
        <v>51</v>
      </c>
      <c r="I1318" s="33" t="s">
        <v>10</v>
      </c>
      <c r="J1318" s="34" t="s">
        <v>11</v>
      </c>
      <c r="K1318" s="35" t="s">
        <v>0</v>
      </c>
      <c r="L1318" s="33"/>
      <c r="M1318" s="33"/>
      <c r="N1318" s="36"/>
      <c r="O1318" s="33">
        <v>3</v>
      </c>
      <c r="P1318" s="33">
        <f>IF(Tabela1[[#This Row],[Status]]="✔️",Tabela1[[#This Row],[Peso]],IF(Tabela1[[#This Row],[Status]]="✔️✔️",Tabela1[[#This Row],[Peso]]/2,0))</f>
        <v>3</v>
      </c>
      <c r="Q131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18" s="33" t="s">
        <v>127</v>
      </c>
      <c r="S1318" s="37" t="s">
        <v>349</v>
      </c>
    </row>
    <row r="1319" spans="8:19" ht="27.6" x14ac:dyDescent="0.3">
      <c r="H1319" s="32" t="s">
        <v>51</v>
      </c>
      <c r="I1319" s="33" t="s">
        <v>10</v>
      </c>
      <c r="J1319" s="34" t="s">
        <v>316</v>
      </c>
      <c r="K1319" s="35" t="s">
        <v>0</v>
      </c>
      <c r="L1319" s="33"/>
      <c r="M1319" s="33"/>
      <c r="N1319" s="36"/>
      <c r="O1319" s="33">
        <v>3</v>
      </c>
      <c r="P1319" s="33">
        <f>IF(Tabela1[[#This Row],[Status]]="✔️",Tabela1[[#This Row],[Peso]],IF(Tabela1[[#This Row],[Status]]="✔️✔️",Tabela1[[#This Row],[Peso]]/2,0))</f>
        <v>3</v>
      </c>
      <c r="Q131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19" s="33" t="s">
        <v>127</v>
      </c>
      <c r="S1319" s="37" t="s">
        <v>349</v>
      </c>
    </row>
    <row r="1320" spans="8:19" ht="27.6" x14ac:dyDescent="0.3">
      <c r="H1320" s="32" t="s">
        <v>51</v>
      </c>
      <c r="I1320" s="33" t="s">
        <v>10</v>
      </c>
      <c r="J1320" s="34" t="s">
        <v>450</v>
      </c>
      <c r="K1320" s="35" t="s">
        <v>291</v>
      </c>
      <c r="L1320" s="33"/>
      <c r="M1320" s="33">
        <v>5214</v>
      </c>
      <c r="N1320" s="36"/>
      <c r="O1320" s="33">
        <v>3</v>
      </c>
      <c r="P1320" s="33">
        <f>IF(Tabela1[[#This Row],[Status]]="✔️",Tabela1[[#This Row],[Peso]],IF(Tabela1[[#This Row],[Status]]="✔️✔️",Tabela1[[#This Row],[Peso]]/2,0))</f>
        <v>1.5</v>
      </c>
      <c r="Q1320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20" s="33" t="s">
        <v>127</v>
      </c>
      <c r="S1320" s="37" t="s">
        <v>349</v>
      </c>
    </row>
    <row r="1321" spans="8:19" ht="27.6" x14ac:dyDescent="0.3">
      <c r="H1321" s="32" t="s">
        <v>51</v>
      </c>
      <c r="I1321" s="33" t="s">
        <v>10</v>
      </c>
      <c r="J1321" s="34" t="s">
        <v>451</v>
      </c>
      <c r="K1321" s="35" t="s">
        <v>0</v>
      </c>
      <c r="L1321" s="33"/>
      <c r="M1321" s="33"/>
      <c r="N1321" s="36"/>
      <c r="O1321" s="33">
        <v>3</v>
      </c>
      <c r="P1321" s="33">
        <f>IF(Tabela1[[#This Row],[Status]]="✔️",Tabela1[[#This Row],[Peso]],IF(Tabela1[[#This Row],[Status]]="✔️✔️",Tabela1[[#This Row],[Peso]]/2,0))</f>
        <v>3</v>
      </c>
      <c r="Q132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21" s="33" t="s">
        <v>127</v>
      </c>
      <c r="S1321" s="37" t="s">
        <v>349</v>
      </c>
    </row>
    <row r="1322" spans="8:19" ht="27.6" x14ac:dyDescent="0.3">
      <c r="H1322" s="32" t="s">
        <v>51</v>
      </c>
      <c r="I1322" s="33" t="s">
        <v>12</v>
      </c>
      <c r="J1322" s="34" t="s">
        <v>13</v>
      </c>
      <c r="K1322" s="35" t="s">
        <v>291</v>
      </c>
      <c r="L1322" s="33"/>
      <c r="M1322" s="33">
        <v>2955</v>
      </c>
      <c r="N1322" s="36"/>
      <c r="O1322" s="33">
        <v>2</v>
      </c>
      <c r="P1322" s="33">
        <f>IF(Tabela1[[#This Row],[Status]]="✔️",Tabela1[[#This Row],[Peso]],IF(Tabela1[[#This Row],[Status]]="✔️✔️",Tabela1[[#This Row],[Peso]]/2,0))</f>
        <v>1</v>
      </c>
      <c r="Q132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22" s="33" t="s">
        <v>127</v>
      </c>
      <c r="S1322" s="37" t="s">
        <v>349</v>
      </c>
    </row>
    <row r="1323" spans="8:19" ht="27.6" x14ac:dyDescent="0.3">
      <c r="H1323" s="32" t="s">
        <v>51</v>
      </c>
      <c r="I1323" s="33" t="s">
        <v>17</v>
      </c>
      <c r="J1323" s="34" t="s">
        <v>18</v>
      </c>
      <c r="K1323" s="35" t="s">
        <v>0</v>
      </c>
      <c r="L1323" s="33"/>
      <c r="M1323" s="33"/>
      <c r="N1323" s="36"/>
      <c r="O1323" s="33">
        <v>3</v>
      </c>
      <c r="P1323" s="33">
        <f>IF(Tabela1[[#This Row],[Status]]="✔️",Tabela1[[#This Row],[Peso]],IF(Tabela1[[#This Row],[Status]]="✔️✔️",Tabela1[[#This Row],[Peso]]/2,0))</f>
        <v>3</v>
      </c>
      <c r="Q132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23" s="33" t="s">
        <v>127</v>
      </c>
      <c r="S1323" s="37" t="s">
        <v>349</v>
      </c>
    </row>
    <row r="1324" spans="8:19" ht="27.6" x14ac:dyDescent="0.3">
      <c r="H1324" s="32" t="s">
        <v>51</v>
      </c>
      <c r="I1324" s="33" t="s">
        <v>17</v>
      </c>
      <c r="J1324" s="34" t="s">
        <v>19</v>
      </c>
      <c r="K1324" s="35" t="s">
        <v>0</v>
      </c>
      <c r="L1324" s="33"/>
      <c r="M1324" s="33"/>
      <c r="N1324" s="36"/>
      <c r="O1324" s="33">
        <v>1</v>
      </c>
      <c r="P1324" s="33">
        <f>IF(Tabela1[[#This Row],[Status]]="✔️",Tabela1[[#This Row],[Peso]],IF(Tabela1[[#This Row],[Status]]="✔️✔️",Tabela1[[#This Row],[Peso]]/2,0))</f>
        <v>1</v>
      </c>
      <c r="Q132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24" s="33" t="s">
        <v>127</v>
      </c>
      <c r="S1324" s="37" t="s">
        <v>349</v>
      </c>
    </row>
    <row r="1325" spans="8:19" ht="55.2" x14ac:dyDescent="0.3">
      <c r="H1325" s="32" t="s">
        <v>51</v>
      </c>
      <c r="I1325" s="33" t="s">
        <v>20</v>
      </c>
      <c r="J1325" s="34" t="s">
        <v>21</v>
      </c>
      <c r="K1325" s="35" t="s">
        <v>291</v>
      </c>
      <c r="L1325" s="33" t="s">
        <v>363</v>
      </c>
      <c r="M1325" s="33">
        <v>3234</v>
      </c>
      <c r="N1325" s="36"/>
      <c r="O1325" s="33">
        <v>3</v>
      </c>
      <c r="P1325" s="33">
        <f>IF(Tabela1[[#This Row],[Status]]="✔️",Tabela1[[#This Row],[Peso]],IF(Tabela1[[#This Row],[Status]]="✔️✔️",Tabela1[[#This Row],[Peso]]/2,0))</f>
        <v>1.5</v>
      </c>
      <c r="Q1325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25" s="33" t="s">
        <v>127</v>
      </c>
      <c r="S1325" s="37" t="s">
        <v>349</v>
      </c>
    </row>
    <row r="1326" spans="8:19" ht="27.6" x14ac:dyDescent="0.3">
      <c r="H1326" s="32" t="s">
        <v>51</v>
      </c>
      <c r="I1326" s="33" t="s">
        <v>20</v>
      </c>
      <c r="J1326" s="34" t="s">
        <v>21</v>
      </c>
      <c r="K1326" s="35" t="s">
        <v>290</v>
      </c>
      <c r="L1326" s="33" t="s">
        <v>362</v>
      </c>
      <c r="M1326" s="33">
        <v>9621</v>
      </c>
      <c r="N1326" s="36"/>
      <c r="O1326" s="33">
        <v>3</v>
      </c>
      <c r="P1326" s="33">
        <f>IF(Tabela1[[#This Row],[Status]]="✔️",Tabela1[[#This Row],[Peso]],IF(Tabela1[[#This Row],[Status]]="✔️✔️",Tabela1[[#This Row],[Peso]]/2,0))</f>
        <v>0</v>
      </c>
      <c r="Q132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26" s="33" t="s">
        <v>127</v>
      </c>
      <c r="S1326" s="37" t="s">
        <v>349</v>
      </c>
    </row>
    <row r="1327" spans="8:19" ht="27.6" x14ac:dyDescent="0.3">
      <c r="H1327" s="32" t="s">
        <v>51</v>
      </c>
      <c r="I1327" s="33" t="s">
        <v>20</v>
      </c>
      <c r="J1327" s="34" t="s">
        <v>452</v>
      </c>
      <c r="K1327" s="35" t="s">
        <v>290</v>
      </c>
      <c r="L1327" s="33" t="s">
        <v>364</v>
      </c>
      <c r="M1327" s="33">
        <v>9087</v>
      </c>
      <c r="N1327" s="36"/>
      <c r="O1327" s="33">
        <v>1</v>
      </c>
      <c r="P1327" s="33">
        <f>IF(Tabela1[[#This Row],[Status]]="✔️",Tabela1[[#This Row],[Peso]],IF(Tabela1[[#This Row],[Status]]="✔️✔️",Tabela1[[#This Row],[Peso]]/2,0))</f>
        <v>0</v>
      </c>
      <c r="Q132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27" s="33" t="s">
        <v>127</v>
      </c>
      <c r="S1327" s="37" t="s">
        <v>349</v>
      </c>
    </row>
    <row r="1328" spans="8:19" ht="41.4" x14ac:dyDescent="0.3">
      <c r="H1328" s="32" t="s">
        <v>51</v>
      </c>
      <c r="I1328" s="33" t="s">
        <v>20</v>
      </c>
      <c r="J1328" s="34" t="s">
        <v>452</v>
      </c>
      <c r="K1328" s="35" t="s">
        <v>290</v>
      </c>
      <c r="L1328" s="33" t="s">
        <v>361</v>
      </c>
      <c r="M1328" s="33">
        <v>6903</v>
      </c>
      <c r="N1328" s="36"/>
      <c r="O1328" s="33">
        <v>1</v>
      </c>
      <c r="P1328" s="33">
        <f>IF(Tabela1[[#This Row],[Status]]="✔️",Tabela1[[#This Row],[Peso]],IF(Tabela1[[#This Row],[Status]]="✔️✔️",Tabela1[[#This Row],[Peso]]/2,0))</f>
        <v>0</v>
      </c>
      <c r="Q132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28" s="33" t="s">
        <v>127</v>
      </c>
      <c r="S1328" s="37" t="s">
        <v>349</v>
      </c>
    </row>
    <row r="1329" spans="8:19" ht="27.6" x14ac:dyDescent="0.3">
      <c r="H1329" s="32" t="s">
        <v>51</v>
      </c>
      <c r="I1329" s="33" t="s">
        <v>22</v>
      </c>
      <c r="J1329" s="34" t="s">
        <v>23</v>
      </c>
      <c r="K1329" s="35" t="s">
        <v>0</v>
      </c>
      <c r="L1329" s="33"/>
      <c r="M1329" s="33"/>
      <c r="N1329" s="36"/>
      <c r="O1329" s="33">
        <v>1</v>
      </c>
      <c r="P1329" s="33">
        <f>IF(Tabela1[[#This Row],[Status]]="✔️",Tabela1[[#This Row],[Peso]],IF(Tabela1[[#This Row],[Status]]="✔️✔️",Tabela1[[#This Row],[Peso]]/2,0))</f>
        <v>1</v>
      </c>
      <c r="Q132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29" s="33" t="s">
        <v>127</v>
      </c>
      <c r="S1329" s="37" t="s">
        <v>349</v>
      </c>
    </row>
    <row r="1330" spans="8:19" ht="27.6" x14ac:dyDescent="0.3">
      <c r="H1330" s="32" t="s">
        <v>51</v>
      </c>
      <c r="I1330" s="33" t="s">
        <v>22</v>
      </c>
      <c r="J1330" s="34" t="s">
        <v>453</v>
      </c>
      <c r="K1330" s="35" t="s">
        <v>290</v>
      </c>
      <c r="L1330" s="33" t="s">
        <v>360</v>
      </c>
      <c r="M1330" s="33" t="s">
        <v>358</v>
      </c>
      <c r="N1330" s="36"/>
      <c r="O1330" s="33">
        <v>1</v>
      </c>
      <c r="P1330" s="33">
        <f>IF(Tabela1[[#This Row],[Status]]="✔️",Tabela1[[#This Row],[Peso]],IF(Tabela1[[#This Row],[Status]]="✔️✔️",Tabela1[[#This Row],[Peso]]/2,0))</f>
        <v>0</v>
      </c>
      <c r="Q133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30" s="33" t="s">
        <v>127</v>
      </c>
      <c r="S1330" s="37" t="s">
        <v>349</v>
      </c>
    </row>
    <row r="1331" spans="8:19" ht="27.6" x14ac:dyDescent="0.3">
      <c r="H1331" s="32" t="s">
        <v>51</v>
      </c>
      <c r="I1331" s="33" t="s">
        <v>25</v>
      </c>
      <c r="J1331" s="34" t="s">
        <v>454</v>
      </c>
      <c r="K1331" s="35" t="s">
        <v>290</v>
      </c>
      <c r="L1331" s="33" t="s">
        <v>93</v>
      </c>
      <c r="M1331" s="33">
        <v>6076</v>
      </c>
      <c r="N1331" s="36"/>
      <c r="O1331" s="33">
        <v>3</v>
      </c>
      <c r="P1331" s="33">
        <f>IF(Tabela1[[#This Row],[Status]]="✔️",Tabela1[[#This Row],[Peso]],IF(Tabela1[[#This Row],[Status]]="✔️✔️",Tabela1[[#This Row],[Peso]]/2,0))</f>
        <v>0</v>
      </c>
      <c r="Q133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31" s="33" t="s">
        <v>127</v>
      </c>
      <c r="S1331" s="37" t="s">
        <v>349</v>
      </c>
    </row>
    <row r="1332" spans="8:19" ht="27.6" x14ac:dyDescent="0.3">
      <c r="H1332" s="32" t="s">
        <v>51</v>
      </c>
      <c r="I1332" s="33" t="s">
        <v>25</v>
      </c>
      <c r="J1332" s="34" t="s">
        <v>320</v>
      </c>
      <c r="K1332" s="35" t="s">
        <v>0</v>
      </c>
      <c r="L1332" s="33"/>
      <c r="M1332" s="33"/>
      <c r="N1332" s="36"/>
      <c r="O1332" s="33">
        <v>3</v>
      </c>
      <c r="P1332" s="33">
        <f>IF(Tabela1[[#This Row],[Status]]="✔️",Tabela1[[#This Row],[Peso]],IF(Tabela1[[#This Row],[Status]]="✔️✔️",Tabela1[[#This Row],[Peso]]/2,0))</f>
        <v>3</v>
      </c>
      <c r="Q133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32" s="33" t="s">
        <v>127</v>
      </c>
      <c r="S1332" s="37" t="s">
        <v>349</v>
      </c>
    </row>
    <row r="1333" spans="8:19" ht="27.6" x14ac:dyDescent="0.3">
      <c r="H1333" s="32" t="s">
        <v>51</v>
      </c>
      <c r="I1333" s="33" t="s">
        <v>30</v>
      </c>
      <c r="J1333" s="34" t="s">
        <v>455</v>
      </c>
      <c r="K1333" s="35" t="s">
        <v>291</v>
      </c>
      <c r="L1333" s="33"/>
      <c r="M1333" s="33">
        <v>6226</v>
      </c>
      <c r="N1333" s="36"/>
      <c r="O1333" s="33">
        <v>3</v>
      </c>
      <c r="P1333" s="33">
        <f>IF(Tabela1[[#This Row],[Status]]="✔️",Tabela1[[#This Row],[Peso]],IF(Tabela1[[#This Row],[Status]]="✔️✔️",Tabela1[[#This Row],[Peso]]/2,0))</f>
        <v>1.5</v>
      </c>
      <c r="Q1333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33" s="33" t="s">
        <v>127</v>
      </c>
      <c r="S1333" s="37" t="s">
        <v>349</v>
      </c>
    </row>
    <row r="1334" spans="8:19" ht="27.6" x14ac:dyDescent="0.3">
      <c r="H1334" s="32" t="s">
        <v>51</v>
      </c>
      <c r="I1334" s="33" t="s">
        <v>25</v>
      </c>
      <c r="J1334" s="34" t="s">
        <v>456</v>
      </c>
      <c r="K1334" s="35" t="s">
        <v>0</v>
      </c>
      <c r="L1334" s="33"/>
      <c r="M1334" s="33"/>
      <c r="N1334" s="36"/>
      <c r="O1334" s="33">
        <v>3</v>
      </c>
      <c r="P1334" s="33">
        <f>IF(Tabela1[[#This Row],[Status]]="✔️",Tabela1[[#This Row],[Peso]],IF(Tabela1[[#This Row],[Status]]="✔️✔️",Tabela1[[#This Row],[Peso]]/2,0))</f>
        <v>3</v>
      </c>
      <c r="Q133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34" s="33" t="s">
        <v>127</v>
      </c>
      <c r="S1334" s="37" t="s">
        <v>349</v>
      </c>
    </row>
    <row r="1335" spans="8:19" ht="41.4" x14ac:dyDescent="0.3">
      <c r="H1335" s="32" t="s">
        <v>51</v>
      </c>
      <c r="I1335" s="33" t="s">
        <v>41</v>
      </c>
      <c r="J1335" s="34" t="s">
        <v>457</v>
      </c>
      <c r="K1335" s="35" t="s">
        <v>291</v>
      </c>
      <c r="L1335" s="33"/>
      <c r="M1335" s="33">
        <v>8115</v>
      </c>
      <c r="N1335" s="36"/>
      <c r="O1335" s="33">
        <v>3</v>
      </c>
      <c r="P1335" s="33">
        <f>IF(Tabela1[[#This Row],[Status]]="✔️",Tabela1[[#This Row],[Peso]],IF(Tabela1[[#This Row],[Status]]="✔️✔️",Tabela1[[#This Row],[Peso]]/2,0))</f>
        <v>1.5</v>
      </c>
      <c r="Q1335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35" s="33" t="s">
        <v>127</v>
      </c>
      <c r="S1335" s="37" t="s">
        <v>349</v>
      </c>
    </row>
    <row r="1336" spans="8:19" ht="41.4" x14ac:dyDescent="0.3">
      <c r="H1336" s="32" t="s">
        <v>51</v>
      </c>
      <c r="I1336" s="53" t="s">
        <v>41</v>
      </c>
      <c r="J1336" s="57" t="s">
        <v>458</v>
      </c>
      <c r="K1336" s="54" t="s">
        <v>290</v>
      </c>
      <c r="L1336" s="33" t="s">
        <v>95</v>
      </c>
      <c r="M1336" s="33">
        <v>8115</v>
      </c>
      <c r="N1336" s="55"/>
      <c r="O1336" s="53">
        <v>2</v>
      </c>
      <c r="P1336" s="33">
        <f>IF(Tabela1[[#This Row],[Status]]="✔️",Tabela1[[#This Row],[Peso]],IF(Tabela1[[#This Row],[Status]]="✔️✔️",Tabela1[[#This Row],[Peso]]/2,0))</f>
        <v>0</v>
      </c>
      <c r="Q133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336" s="33" t="s">
        <v>127</v>
      </c>
      <c r="S1336" s="37" t="s">
        <v>349</v>
      </c>
    </row>
    <row r="1337" spans="8:19" ht="27.6" x14ac:dyDescent="0.3">
      <c r="H1337" s="32" t="s">
        <v>55</v>
      </c>
      <c r="I1337" s="33" t="s">
        <v>14</v>
      </c>
      <c r="J1337" s="34" t="s">
        <v>15</v>
      </c>
      <c r="K1337" s="35" t="s">
        <v>0</v>
      </c>
      <c r="L1337" s="33"/>
      <c r="M1337" s="33"/>
      <c r="N1337" s="36"/>
      <c r="O1337" s="33">
        <v>3</v>
      </c>
      <c r="P1337" s="33">
        <f>IF(Tabela1[[#This Row],[Status]]="✔️",Tabela1[[#This Row],[Peso]],IF(Tabela1[[#This Row],[Status]]="✔️✔️",Tabela1[[#This Row],[Peso]]/2,0))</f>
        <v>3</v>
      </c>
      <c r="Q133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37" s="33" t="s">
        <v>127</v>
      </c>
      <c r="S1337" s="37" t="s">
        <v>349</v>
      </c>
    </row>
    <row r="1338" spans="8:19" ht="27.6" x14ac:dyDescent="0.3">
      <c r="H1338" s="32" t="s">
        <v>55</v>
      </c>
      <c r="I1338" s="33" t="s">
        <v>14</v>
      </c>
      <c r="J1338" s="34" t="s">
        <v>16</v>
      </c>
      <c r="K1338" s="35" t="s">
        <v>0</v>
      </c>
      <c r="L1338" s="33"/>
      <c r="M1338" s="33"/>
      <c r="N1338" s="36"/>
      <c r="O1338" s="33">
        <v>1</v>
      </c>
      <c r="P1338" s="33">
        <f>IF(Tabela1[[#This Row],[Status]]="✔️",Tabela1[[#This Row],[Peso]],IF(Tabela1[[#This Row],[Status]]="✔️✔️",Tabela1[[#This Row],[Peso]]/2,0))</f>
        <v>1</v>
      </c>
      <c r="Q133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38" s="33" t="s">
        <v>127</v>
      </c>
      <c r="S1338" s="37" t="s">
        <v>349</v>
      </c>
    </row>
    <row r="1339" spans="8:19" ht="27.6" x14ac:dyDescent="0.3">
      <c r="H1339" s="32" t="s">
        <v>55</v>
      </c>
      <c r="I1339" s="33" t="s">
        <v>30</v>
      </c>
      <c r="J1339" s="34" t="s">
        <v>455</v>
      </c>
      <c r="K1339" s="35" t="s">
        <v>0</v>
      </c>
      <c r="L1339" s="33"/>
      <c r="M1339" s="33"/>
      <c r="N1339" s="36"/>
      <c r="O1339" s="33">
        <v>3</v>
      </c>
      <c r="P1339" s="33">
        <f>IF(Tabela1[[#This Row],[Status]]="✔️",Tabela1[[#This Row],[Peso]],IF(Tabela1[[#This Row],[Status]]="✔️✔️",Tabela1[[#This Row],[Peso]]/2,0))</f>
        <v>3</v>
      </c>
      <c r="Q133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39" s="33" t="s">
        <v>127</v>
      </c>
      <c r="S1339" s="37" t="s">
        <v>349</v>
      </c>
    </row>
    <row r="1340" spans="8:19" ht="27.6" x14ac:dyDescent="0.3">
      <c r="H1340" s="32" t="s">
        <v>55</v>
      </c>
      <c r="I1340" s="53" t="s">
        <v>25</v>
      </c>
      <c r="J1340" s="57" t="s">
        <v>456</v>
      </c>
      <c r="K1340" s="54" t="s">
        <v>0</v>
      </c>
      <c r="L1340" s="53"/>
      <c r="M1340" s="53"/>
      <c r="N1340" s="55"/>
      <c r="O1340" s="53">
        <v>3</v>
      </c>
      <c r="P1340" s="33">
        <f>IF(Tabela1[[#This Row],[Status]]="✔️",Tabela1[[#This Row],[Peso]],IF(Tabela1[[#This Row],[Status]]="✔️✔️",Tabela1[[#This Row],[Peso]]/2,0))</f>
        <v>3</v>
      </c>
      <c r="Q134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40" s="33" t="s">
        <v>127</v>
      </c>
      <c r="S1340" s="37" t="s">
        <v>349</v>
      </c>
    </row>
    <row r="1341" spans="8:19" ht="41.4" customHeight="1" x14ac:dyDescent="0.3">
      <c r="H1341" s="32" t="s">
        <v>133</v>
      </c>
      <c r="I1341" s="33" t="s">
        <v>14</v>
      </c>
      <c r="J1341" s="34" t="s">
        <v>15</v>
      </c>
      <c r="K1341" s="35" t="s">
        <v>1</v>
      </c>
      <c r="L1341" s="33"/>
      <c r="M1341" s="33"/>
      <c r="N1341" s="36"/>
      <c r="O1341" s="33">
        <v>3</v>
      </c>
      <c r="P1341" s="33">
        <f>IF(Tabela1[[#This Row],[Status]]="✔️",Tabela1[[#This Row],[Peso]],IF(Tabela1[[#This Row],[Status]]="✔️✔️",Tabela1[[#This Row],[Peso]]/2,0))</f>
        <v>0</v>
      </c>
      <c r="Q134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341" s="33" t="s">
        <v>127</v>
      </c>
      <c r="S1341" s="37" t="s">
        <v>349</v>
      </c>
    </row>
    <row r="1342" spans="8:19" ht="41.4" customHeight="1" x14ac:dyDescent="0.3">
      <c r="H1342" s="32" t="s">
        <v>133</v>
      </c>
      <c r="I1342" s="33" t="s">
        <v>14</v>
      </c>
      <c r="J1342" s="34" t="s">
        <v>16</v>
      </c>
      <c r="K1342" s="35" t="s">
        <v>291</v>
      </c>
      <c r="L1342" s="33" t="s">
        <v>366</v>
      </c>
      <c r="M1342" s="33">
        <v>1757</v>
      </c>
      <c r="N1342" s="36"/>
      <c r="O1342" s="33">
        <v>1</v>
      </c>
      <c r="P1342" s="33">
        <f>IF(Tabela1[[#This Row],[Status]]="✔️",Tabela1[[#This Row],[Peso]],IF(Tabela1[[#This Row],[Status]]="✔️✔️",Tabela1[[#This Row],[Peso]]/2,0))</f>
        <v>0.5</v>
      </c>
      <c r="Q1342" s="33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1342" s="33" t="s">
        <v>127</v>
      </c>
      <c r="S1342" s="37" t="s">
        <v>349</v>
      </c>
    </row>
    <row r="1343" spans="8:19" ht="41.4" customHeight="1" x14ac:dyDescent="0.3">
      <c r="H1343" s="32" t="s">
        <v>133</v>
      </c>
      <c r="I1343" s="33" t="s">
        <v>30</v>
      </c>
      <c r="J1343" s="34" t="s">
        <v>455</v>
      </c>
      <c r="K1343" s="35" t="s">
        <v>0</v>
      </c>
      <c r="L1343" s="33"/>
      <c r="M1343" s="33"/>
      <c r="N1343" s="36"/>
      <c r="O1343" s="33">
        <v>3</v>
      </c>
      <c r="P1343" s="33">
        <f>IF(Tabela1[[#This Row],[Status]]="✔️",Tabela1[[#This Row],[Peso]],IF(Tabela1[[#This Row],[Status]]="✔️✔️",Tabela1[[#This Row],[Peso]]/2,0))</f>
        <v>3</v>
      </c>
      <c r="Q134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43" s="33" t="s">
        <v>127</v>
      </c>
      <c r="S1343" s="37" t="s">
        <v>349</v>
      </c>
    </row>
    <row r="1344" spans="8:19" ht="41.4" customHeight="1" x14ac:dyDescent="0.3">
      <c r="H1344" s="32" t="s">
        <v>133</v>
      </c>
      <c r="I1344" s="53" t="s">
        <v>25</v>
      </c>
      <c r="J1344" s="57" t="s">
        <v>456</v>
      </c>
      <c r="K1344" s="54" t="s">
        <v>291</v>
      </c>
      <c r="L1344" s="53" t="s">
        <v>367</v>
      </c>
      <c r="M1344" s="53">
        <v>8023</v>
      </c>
      <c r="N1344" s="55"/>
      <c r="O1344" s="53">
        <v>3</v>
      </c>
      <c r="P1344" s="33">
        <f>IF(Tabela1[[#This Row],[Status]]="✔️",Tabela1[[#This Row],[Peso]],IF(Tabela1[[#This Row],[Status]]="✔️✔️",Tabela1[[#This Row],[Peso]]/2,0))</f>
        <v>1.5</v>
      </c>
      <c r="Q1344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44" s="33" t="s">
        <v>127</v>
      </c>
      <c r="S1344" s="37" t="s">
        <v>349</v>
      </c>
    </row>
    <row r="1345" spans="8:19" ht="41.4" x14ac:dyDescent="0.3">
      <c r="H1345" s="52" t="s">
        <v>134</v>
      </c>
      <c r="I1345" s="53" t="s">
        <v>25</v>
      </c>
      <c r="J1345" s="57" t="s">
        <v>456</v>
      </c>
      <c r="K1345" s="54" t="s">
        <v>291</v>
      </c>
      <c r="L1345" s="53" t="s">
        <v>93</v>
      </c>
      <c r="M1345" s="53">
        <v>6313</v>
      </c>
      <c r="N1345" s="55"/>
      <c r="O1345" s="53">
        <v>3</v>
      </c>
      <c r="P1345" s="33">
        <f>IF(Tabela1[[#This Row],[Status]]="✔️",Tabela1[[#This Row],[Peso]],IF(Tabela1[[#This Row],[Status]]="✔️✔️",Tabela1[[#This Row],[Peso]]/2,0))</f>
        <v>1.5</v>
      </c>
      <c r="Q1345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45" s="53" t="s">
        <v>187</v>
      </c>
      <c r="S1345" s="56" t="s">
        <v>128</v>
      </c>
    </row>
    <row r="1346" spans="8:19" ht="41.4" x14ac:dyDescent="0.3">
      <c r="H1346" s="32" t="s">
        <v>54</v>
      </c>
      <c r="I1346" s="33" t="s">
        <v>25</v>
      </c>
      <c r="J1346" s="34" t="s">
        <v>357</v>
      </c>
      <c r="K1346" s="59" t="s">
        <v>291</v>
      </c>
      <c r="L1346" s="33" t="s">
        <v>225</v>
      </c>
      <c r="M1346" s="33">
        <v>1094</v>
      </c>
      <c r="N1346" s="36"/>
      <c r="O1346" s="33">
        <v>3</v>
      </c>
      <c r="P1346" s="33">
        <f>IF(Tabela1[[#This Row],[Status]]="✔️",Tabela1[[#This Row],[Peso]],IF(Tabela1[[#This Row],[Status]]="✔️✔️",Tabela1[[#This Row],[Peso]]/2,0))</f>
        <v>1.5</v>
      </c>
      <c r="Q1346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46" s="33" t="s">
        <v>187</v>
      </c>
      <c r="S1346" s="37" t="s">
        <v>128</v>
      </c>
    </row>
    <row r="1347" spans="8:19" ht="38.4" customHeight="1" x14ac:dyDescent="0.3">
      <c r="H1347" s="32" t="s">
        <v>83</v>
      </c>
      <c r="I1347" s="33" t="s">
        <v>14</v>
      </c>
      <c r="J1347" s="34" t="s">
        <v>15</v>
      </c>
      <c r="K1347" s="35" t="s">
        <v>291</v>
      </c>
      <c r="L1347" s="33" t="s">
        <v>239</v>
      </c>
      <c r="M1347" s="33">
        <v>4225</v>
      </c>
      <c r="N1347" s="36"/>
      <c r="O1347" s="33">
        <v>3</v>
      </c>
      <c r="P1347" s="33">
        <f>IF(Tabela1[[#This Row],[Status]]="✔️",Tabela1[[#This Row],[Peso]],IF(Tabela1[[#This Row],[Status]]="✔️✔️",Tabela1[[#This Row],[Peso]]/2,0))</f>
        <v>1.5</v>
      </c>
      <c r="Q1347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47" s="33" t="s">
        <v>187</v>
      </c>
      <c r="S1347" s="37" t="s">
        <v>128</v>
      </c>
    </row>
    <row r="1348" spans="8:19" ht="38.4" customHeight="1" x14ac:dyDescent="0.3">
      <c r="H1348" s="32" t="s">
        <v>83</v>
      </c>
      <c r="I1348" s="33" t="s">
        <v>14</v>
      </c>
      <c r="J1348" s="34" t="s">
        <v>16</v>
      </c>
      <c r="K1348" s="35" t="s">
        <v>0</v>
      </c>
      <c r="L1348" s="33"/>
      <c r="M1348" s="33"/>
      <c r="N1348" s="36"/>
      <c r="O1348" s="33">
        <v>1</v>
      </c>
      <c r="P1348" s="33">
        <f>IF(Tabela1[[#This Row],[Status]]="✔️",Tabela1[[#This Row],[Peso]],IF(Tabela1[[#This Row],[Status]]="✔️✔️",Tabela1[[#This Row],[Peso]]/2,0))</f>
        <v>1</v>
      </c>
      <c r="Q134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48" s="33" t="s">
        <v>187</v>
      </c>
      <c r="S1348" s="37" t="s">
        <v>128</v>
      </c>
    </row>
    <row r="1349" spans="8:19" ht="38.4" customHeight="1" x14ac:dyDescent="0.3">
      <c r="H1349" s="32" t="s">
        <v>83</v>
      </c>
      <c r="I1349" s="33" t="s">
        <v>10</v>
      </c>
      <c r="J1349" s="34" t="s">
        <v>11</v>
      </c>
      <c r="K1349" s="35" t="s">
        <v>0</v>
      </c>
      <c r="L1349" s="33"/>
      <c r="M1349" s="33"/>
      <c r="N1349" s="36"/>
      <c r="O1349" s="33">
        <v>3</v>
      </c>
      <c r="P1349" s="33">
        <f>IF(Tabela1[[#This Row],[Status]]="✔️",Tabela1[[#This Row],[Peso]],IF(Tabela1[[#This Row],[Status]]="✔️✔️",Tabela1[[#This Row],[Peso]]/2,0))</f>
        <v>3</v>
      </c>
      <c r="Q134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49" s="33" t="s">
        <v>187</v>
      </c>
      <c r="S1349" s="37" t="s">
        <v>128</v>
      </c>
    </row>
    <row r="1350" spans="8:19" ht="38.4" customHeight="1" x14ac:dyDescent="0.3">
      <c r="H1350" s="32" t="s">
        <v>83</v>
      </c>
      <c r="I1350" s="33" t="s">
        <v>10</v>
      </c>
      <c r="J1350" s="34" t="s">
        <v>316</v>
      </c>
      <c r="K1350" s="35" t="s">
        <v>0</v>
      </c>
      <c r="L1350" s="33"/>
      <c r="M1350" s="33"/>
      <c r="N1350" s="36"/>
      <c r="O1350" s="33">
        <v>3</v>
      </c>
      <c r="P1350" s="33">
        <f>IF(Tabela1[[#This Row],[Status]]="✔️",Tabela1[[#This Row],[Peso]],IF(Tabela1[[#This Row],[Status]]="✔️✔️",Tabela1[[#This Row],[Peso]]/2,0))</f>
        <v>3</v>
      </c>
      <c r="Q135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50" s="33" t="s">
        <v>187</v>
      </c>
      <c r="S1350" s="37" t="s">
        <v>128</v>
      </c>
    </row>
    <row r="1351" spans="8:19" ht="38.4" customHeight="1" x14ac:dyDescent="0.3">
      <c r="H1351" s="32" t="s">
        <v>83</v>
      </c>
      <c r="I1351" s="33" t="s">
        <v>10</v>
      </c>
      <c r="J1351" s="34" t="s">
        <v>450</v>
      </c>
      <c r="K1351" s="54" t="s">
        <v>291</v>
      </c>
      <c r="L1351" s="53" t="s">
        <v>238</v>
      </c>
      <c r="M1351" s="53">
        <v>8967</v>
      </c>
      <c r="N1351" s="36"/>
      <c r="O1351" s="33">
        <v>3</v>
      </c>
      <c r="P1351" s="33">
        <f>IF(Tabela1[[#This Row],[Status]]="✔️",Tabela1[[#This Row],[Peso]],IF(Tabela1[[#This Row],[Status]]="✔️✔️",Tabela1[[#This Row],[Peso]]/2,0))</f>
        <v>1.5</v>
      </c>
      <c r="Q1351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51" s="33" t="s">
        <v>187</v>
      </c>
      <c r="S1351" s="37" t="s">
        <v>128</v>
      </c>
    </row>
    <row r="1352" spans="8:19" ht="38.4" customHeight="1" x14ac:dyDescent="0.3">
      <c r="H1352" s="32" t="s">
        <v>83</v>
      </c>
      <c r="I1352" s="33" t="s">
        <v>10</v>
      </c>
      <c r="J1352" s="34" t="s">
        <v>451</v>
      </c>
      <c r="K1352" s="35" t="s">
        <v>0</v>
      </c>
      <c r="L1352" s="33"/>
      <c r="M1352" s="33"/>
      <c r="N1352" s="36"/>
      <c r="O1352" s="33">
        <v>3</v>
      </c>
      <c r="P1352" s="33">
        <f>IF(Tabela1[[#This Row],[Status]]="✔️",Tabela1[[#This Row],[Peso]],IF(Tabela1[[#This Row],[Status]]="✔️✔️",Tabela1[[#This Row],[Peso]]/2,0))</f>
        <v>3</v>
      </c>
      <c r="Q135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52" s="33" t="s">
        <v>187</v>
      </c>
      <c r="S1352" s="37" t="s">
        <v>128</v>
      </c>
    </row>
    <row r="1353" spans="8:19" ht="38.4" customHeight="1" x14ac:dyDescent="0.3">
      <c r="H1353" s="32" t="s">
        <v>83</v>
      </c>
      <c r="I1353" s="33" t="s">
        <v>12</v>
      </c>
      <c r="J1353" s="34" t="s">
        <v>13</v>
      </c>
      <c r="K1353" s="35" t="s">
        <v>291</v>
      </c>
      <c r="L1353" s="33" t="s">
        <v>209</v>
      </c>
      <c r="M1353" s="33">
        <v>5178</v>
      </c>
      <c r="N1353" s="36"/>
      <c r="O1353" s="33">
        <v>2</v>
      </c>
      <c r="P1353" s="33">
        <f>IF(Tabela1[[#This Row],[Status]]="✔️",Tabela1[[#This Row],[Peso]],IF(Tabela1[[#This Row],[Status]]="✔️✔️",Tabela1[[#This Row],[Peso]]/2,0))</f>
        <v>1</v>
      </c>
      <c r="Q135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53" s="33" t="s">
        <v>187</v>
      </c>
      <c r="S1353" s="37" t="s">
        <v>128</v>
      </c>
    </row>
    <row r="1354" spans="8:19" ht="38.4" customHeight="1" x14ac:dyDescent="0.3">
      <c r="H1354" s="32" t="s">
        <v>83</v>
      </c>
      <c r="I1354" s="33" t="s">
        <v>17</v>
      </c>
      <c r="J1354" s="34" t="s">
        <v>18</v>
      </c>
      <c r="K1354" s="35" t="s">
        <v>0</v>
      </c>
      <c r="L1354" s="33"/>
      <c r="M1354" s="33"/>
      <c r="N1354" s="36"/>
      <c r="O1354" s="33">
        <v>3</v>
      </c>
      <c r="P1354" s="33">
        <f>IF(Tabela1[[#This Row],[Status]]="✔️",Tabela1[[#This Row],[Peso]],IF(Tabela1[[#This Row],[Status]]="✔️✔️",Tabela1[[#This Row],[Peso]]/2,0))</f>
        <v>3</v>
      </c>
      <c r="Q135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54" s="33" t="s">
        <v>187</v>
      </c>
      <c r="S1354" s="37" t="s">
        <v>128</v>
      </c>
    </row>
    <row r="1355" spans="8:19" ht="38.4" customHeight="1" x14ac:dyDescent="0.3">
      <c r="H1355" s="32" t="s">
        <v>83</v>
      </c>
      <c r="I1355" s="33" t="s">
        <v>17</v>
      </c>
      <c r="J1355" s="34" t="s">
        <v>19</v>
      </c>
      <c r="K1355" s="35" t="s">
        <v>0</v>
      </c>
      <c r="L1355" s="33"/>
      <c r="M1355" s="33"/>
      <c r="N1355" s="36"/>
      <c r="O1355" s="33">
        <v>1</v>
      </c>
      <c r="P1355" s="33">
        <f>IF(Tabela1[[#This Row],[Status]]="✔️",Tabela1[[#This Row],[Peso]],IF(Tabela1[[#This Row],[Status]]="✔️✔️",Tabela1[[#This Row],[Peso]]/2,0))</f>
        <v>1</v>
      </c>
      <c r="Q135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55" s="33" t="s">
        <v>187</v>
      </c>
      <c r="S1355" s="37" t="s">
        <v>128</v>
      </c>
    </row>
    <row r="1356" spans="8:19" ht="38.4" customHeight="1" x14ac:dyDescent="0.3">
      <c r="H1356" s="32" t="s">
        <v>83</v>
      </c>
      <c r="I1356" s="33" t="s">
        <v>20</v>
      </c>
      <c r="J1356" s="34" t="s">
        <v>21</v>
      </c>
      <c r="K1356" s="35" t="s">
        <v>291</v>
      </c>
      <c r="L1356" s="33" t="s">
        <v>240</v>
      </c>
      <c r="M1356" s="33">
        <v>9552</v>
      </c>
      <c r="N1356" s="36"/>
      <c r="O1356" s="33">
        <v>3</v>
      </c>
      <c r="P1356" s="33">
        <f>IF(Tabela1[[#This Row],[Status]]="✔️",Tabela1[[#This Row],[Peso]],IF(Tabela1[[#This Row],[Status]]="✔️✔️",Tabela1[[#This Row],[Peso]]/2,0))</f>
        <v>1.5</v>
      </c>
      <c r="Q1356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56" s="33" t="s">
        <v>187</v>
      </c>
      <c r="S1356" s="37" t="s">
        <v>128</v>
      </c>
    </row>
    <row r="1357" spans="8:19" ht="38.4" customHeight="1" x14ac:dyDescent="0.3">
      <c r="H1357" s="32" t="s">
        <v>83</v>
      </c>
      <c r="I1357" s="33" t="s">
        <v>20</v>
      </c>
      <c r="J1357" s="34" t="s">
        <v>452</v>
      </c>
      <c r="K1357" s="35" t="s">
        <v>291</v>
      </c>
      <c r="L1357" s="33" t="s">
        <v>241</v>
      </c>
      <c r="M1357" s="33">
        <v>9524</v>
      </c>
      <c r="N1357" s="36"/>
      <c r="O1357" s="33">
        <v>1</v>
      </c>
      <c r="P1357" s="33">
        <f>IF(Tabela1[[#This Row],[Status]]="✔️",Tabela1[[#This Row],[Peso]],IF(Tabela1[[#This Row],[Status]]="✔️✔️",Tabela1[[#This Row],[Peso]]/2,0))</f>
        <v>0.5</v>
      </c>
      <c r="Q1357" s="33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1357" s="33" t="s">
        <v>187</v>
      </c>
      <c r="S1357" s="37" t="s">
        <v>128</v>
      </c>
    </row>
    <row r="1358" spans="8:19" ht="38.4" customHeight="1" x14ac:dyDescent="0.3">
      <c r="H1358" s="32" t="s">
        <v>83</v>
      </c>
      <c r="I1358" s="33" t="s">
        <v>22</v>
      </c>
      <c r="J1358" s="34" t="s">
        <v>23</v>
      </c>
      <c r="K1358" s="35" t="s">
        <v>0</v>
      </c>
      <c r="L1358" s="33"/>
      <c r="M1358" s="33"/>
      <c r="N1358" s="36"/>
      <c r="O1358" s="33">
        <v>1</v>
      </c>
      <c r="P1358" s="33">
        <f>IF(Tabela1[[#This Row],[Status]]="✔️",Tabela1[[#This Row],[Peso]],IF(Tabela1[[#This Row],[Status]]="✔️✔️",Tabela1[[#This Row],[Peso]]/2,0))</f>
        <v>1</v>
      </c>
      <c r="Q135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58" s="33" t="s">
        <v>187</v>
      </c>
      <c r="S1358" s="37" t="s">
        <v>128</v>
      </c>
    </row>
    <row r="1359" spans="8:19" ht="38.4" customHeight="1" x14ac:dyDescent="0.3">
      <c r="H1359" s="32" t="s">
        <v>83</v>
      </c>
      <c r="I1359" s="33" t="s">
        <v>22</v>
      </c>
      <c r="J1359" s="34" t="s">
        <v>453</v>
      </c>
      <c r="K1359" s="35" t="s">
        <v>1</v>
      </c>
      <c r="L1359" s="33"/>
      <c r="M1359" s="33"/>
      <c r="N1359" s="36"/>
      <c r="O1359" s="33">
        <v>1</v>
      </c>
      <c r="P1359" s="33">
        <f>IF(Tabela1[[#This Row],[Status]]="✔️",Tabela1[[#This Row],[Peso]],IF(Tabela1[[#This Row],[Status]]="✔️✔️",Tabela1[[#This Row],[Peso]]/2,0))</f>
        <v>0</v>
      </c>
      <c r="Q135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359" s="33" t="s">
        <v>187</v>
      </c>
      <c r="S1359" s="37" t="s">
        <v>128</v>
      </c>
    </row>
    <row r="1360" spans="8:19" ht="38.4" customHeight="1" x14ac:dyDescent="0.3">
      <c r="H1360" s="32" t="s">
        <v>83</v>
      </c>
      <c r="I1360" s="33" t="s">
        <v>25</v>
      </c>
      <c r="J1360" s="34" t="s">
        <v>454</v>
      </c>
      <c r="K1360" s="35" t="s">
        <v>290</v>
      </c>
      <c r="L1360" s="33" t="s">
        <v>242</v>
      </c>
      <c r="M1360" s="33">
        <v>3445</v>
      </c>
      <c r="N1360" s="36"/>
      <c r="O1360" s="33">
        <v>3</v>
      </c>
      <c r="P1360" s="33">
        <f>IF(Tabela1[[#This Row],[Status]]="✔️",Tabela1[[#This Row],[Peso]],IF(Tabela1[[#This Row],[Status]]="✔️✔️",Tabela1[[#This Row],[Peso]]/2,0))</f>
        <v>0</v>
      </c>
      <c r="Q136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60" s="33" t="s">
        <v>187</v>
      </c>
      <c r="S1360" s="37" t="s">
        <v>128</v>
      </c>
    </row>
    <row r="1361" spans="8:19" ht="38.4" customHeight="1" x14ac:dyDescent="0.3">
      <c r="H1361" s="32" t="s">
        <v>83</v>
      </c>
      <c r="I1361" s="33" t="s">
        <v>25</v>
      </c>
      <c r="J1361" s="34" t="s">
        <v>320</v>
      </c>
      <c r="K1361" s="35" t="s">
        <v>0</v>
      </c>
      <c r="L1361" s="33"/>
      <c r="M1361" s="33"/>
      <c r="N1361" s="36"/>
      <c r="O1361" s="33">
        <v>3</v>
      </c>
      <c r="P1361" s="33">
        <f>IF(Tabela1[[#This Row],[Status]]="✔️",Tabela1[[#This Row],[Peso]],IF(Tabela1[[#This Row],[Status]]="✔️✔️",Tabela1[[#This Row],[Peso]]/2,0))</f>
        <v>3</v>
      </c>
      <c r="Q136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61" s="33" t="s">
        <v>187</v>
      </c>
      <c r="S1361" s="37" t="s">
        <v>128</v>
      </c>
    </row>
    <row r="1362" spans="8:19" ht="38.4" customHeight="1" x14ac:dyDescent="0.3">
      <c r="H1362" s="32" t="s">
        <v>83</v>
      </c>
      <c r="I1362" s="33" t="s">
        <v>30</v>
      </c>
      <c r="J1362" s="34" t="s">
        <v>455</v>
      </c>
      <c r="K1362" s="35" t="s">
        <v>0</v>
      </c>
      <c r="L1362" s="33"/>
      <c r="M1362" s="33"/>
      <c r="N1362" s="36"/>
      <c r="O1362" s="33">
        <v>3</v>
      </c>
      <c r="P1362" s="33">
        <f>IF(Tabela1[[#This Row],[Status]]="✔️",Tabela1[[#This Row],[Peso]],IF(Tabela1[[#This Row],[Status]]="✔️✔️",Tabela1[[#This Row],[Peso]]/2,0))</f>
        <v>3</v>
      </c>
      <c r="Q136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62" s="33" t="s">
        <v>187</v>
      </c>
      <c r="S1362" s="37" t="s">
        <v>128</v>
      </c>
    </row>
    <row r="1363" spans="8:19" ht="38.4" customHeight="1" x14ac:dyDescent="0.3">
      <c r="H1363" s="32" t="s">
        <v>83</v>
      </c>
      <c r="I1363" s="33" t="s">
        <v>25</v>
      </c>
      <c r="J1363" s="34" t="s">
        <v>456</v>
      </c>
      <c r="K1363" s="35" t="s">
        <v>0</v>
      </c>
      <c r="L1363" s="33"/>
      <c r="M1363" s="33"/>
      <c r="N1363" s="36"/>
      <c r="O1363" s="33">
        <v>3</v>
      </c>
      <c r="P1363" s="33">
        <f>IF(Tabela1[[#This Row],[Status]]="✔️",Tabela1[[#This Row],[Peso]],IF(Tabela1[[#This Row],[Status]]="✔️✔️",Tabela1[[#This Row],[Peso]]/2,0))</f>
        <v>3</v>
      </c>
      <c r="Q136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63" s="33" t="s">
        <v>187</v>
      </c>
      <c r="S1363" s="37" t="s">
        <v>128</v>
      </c>
    </row>
    <row r="1364" spans="8:19" ht="38.4" customHeight="1" x14ac:dyDescent="0.3">
      <c r="H1364" s="32" t="s">
        <v>83</v>
      </c>
      <c r="I1364" s="33" t="s">
        <v>41</v>
      </c>
      <c r="J1364" s="34" t="s">
        <v>457</v>
      </c>
      <c r="K1364" s="35" t="s">
        <v>290</v>
      </c>
      <c r="L1364" s="33" t="s">
        <v>236</v>
      </c>
      <c r="M1364" s="33">
        <v>9106</v>
      </c>
      <c r="N1364" s="36"/>
      <c r="O1364" s="33">
        <v>3</v>
      </c>
      <c r="P1364" s="33">
        <f>IF(Tabela1[[#This Row],[Status]]="✔️",Tabela1[[#This Row],[Peso]],IF(Tabela1[[#This Row],[Status]]="✔️✔️",Tabela1[[#This Row],[Peso]]/2,0))</f>
        <v>0</v>
      </c>
      <c r="Q136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64" s="33" t="s">
        <v>187</v>
      </c>
      <c r="S1364" s="37" t="s">
        <v>128</v>
      </c>
    </row>
    <row r="1365" spans="8:19" ht="38.4" customHeight="1" x14ac:dyDescent="0.3">
      <c r="H1365" s="32" t="s">
        <v>83</v>
      </c>
      <c r="I1365" s="53" t="s">
        <v>41</v>
      </c>
      <c r="J1365" s="57" t="s">
        <v>458</v>
      </c>
      <c r="K1365" s="35" t="s">
        <v>290</v>
      </c>
      <c r="L1365" s="33" t="s">
        <v>236</v>
      </c>
      <c r="M1365" s="33">
        <v>9106</v>
      </c>
      <c r="N1365" s="55"/>
      <c r="O1365" s="53">
        <v>2</v>
      </c>
      <c r="P1365" s="33">
        <f>IF(Tabela1[[#This Row],[Status]]="✔️",Tabela1[[#This Row],[Peso]],IF(Tabela1[[#This Row],[Status]]="✔️✔️",Tabela1[[#This Row],[Peso]]/2,0))</f>
        <v>0</v>
      </c>
      <c r="Q1365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365" s="33" t="s">
        <v>187</v>
      </c>
      <c r="S1365" s="37" t="s">
        <v>128</v>
      </c>
    </row>
    <row r="1366" spans="8:19" ht="39" customHeight="1" x14ac:dyDescent="0.3">
      <c r="H1366" s="32" t="s">
        <v>76</v>
      </c>
      <c r="I1366" s="33" t="s">
        <v>14</v>
      </c>
      <c r="J1366" s="34" t="s">
        <v>15</v>
      </c>
      <c r="K1366" s="35" t="s">
        <v>0</v>
      </c>
      <c r="L1366" s="33"/>
      <c r="M1366" s="33"/>
      <c r="N1366" s="36"/>
      <c r="O1366" s="33">
        <v>3</v>
      </c>
      <c r="P1366" s="33">
        <f>IF(Tabela1[[#This Row],[Status]]="✔️",Tabela1[[#This Row],[Peso]],IF(Tabela1[[#This Row],[Status]]="✔️✔️",Tabela1[[#This Row],[Peso]]/2,0))</f>
        <v>3</v>
      </c>
      <c r="Q136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66" s="33" t="s">
        <v>187</v>
      </c>
      <c r="S1366" s="37" t="s">
        <v>128</v>
      </c>
    </row>
    <row r="1367" spans="8:19" ht="39" customHeight="1" x14ac:dyDescent="0.3">
      <c r="H1367" s="32" t="s">
        <v>76</v>
      </c>
      <c r="I1367" s="33" t="s">
        <v>14</v>
      </c>
      <c r="J1367" s="34" t="s">
        <v>16</v>
      </c>
      <c r="K1367" s="35" t="s">
        <v>0</v>
      </c>
      <c r="L1367" s="33"/>
      <c r="M1367" s="33"/>
      <c r="N1367" s="36"/>
      <c r="O1367" s="33">
        <v>1</v>
      </c>
      <c r="P1367" s="33">
        <f>IF(Tabela1[[#This Row],[Status]]="✔️",Tabela1[[#This Row],[Peso]],IF(Tabela1[[#This Row],[Status]]="✔️✔️",Tabela1[[#This Row],[Peso]]/2,0))</f>
        <v>1</v>
      </c>
      <c r="Q136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67" s="33" t="s">
        <v>187</v>
      </c>
      <c r="S1367" s="37" t="s">
        <v>128</v>
      </c>
    </row>
    <row r="1368" spans="8:19" ht="39" customHeight="1" x14ac:dyDescent="0.3">
      <c r="H1368" s="32" t="s">
        <v>76</v>
      </c>
      <c r="I1368" s="33" t="s">
        <v>10</v>
      </c>
      <c r="J1368" s="34" t="s">
        <v>11</v>
      </c>
      <c r="K1368" s="35" t="s">
        <v>0</v>
      </c>
      <c r="L1368" s="33"/>
      <c r="M1368" s="33"/>
      <c r="N1368" s="36"/>
      <c r="O1368" s="33">
        <v>3</v>
      </c>
      <c r="P1368" s="33">
        <f>IF(Tabela1[[#This Row],[Status]]="✔️",Tabela1[[#This Row],[Peso]],IF(Tabela1[[#This Row],[Status]]="✔️✔️",Tabela1[[#This Row],[Peso]]/2,0))</f>
        <v>3</v>
      </c>
      <c r="Q136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68" s="33" t="s">
        <v>187</v>
      </c>
      <c r="S1368" s="37" t="s">
        <v>128</v>
      </c>
    </row>
    <row r="1369" spans="8:19" ht="39" customHeight="1" x14ac:dyDescent="0.3">
      <c r="H1369" s="32" t="s">
        <v>76</v>
      </c>
      <c r="I1369" s="33" t="s">
        <v>10</v>
      </c>
      <c r="J1369" s="34" t="s">
        <v>316</v>
      </c>
      <c r="K1369" s="35" t="s">
        <v>0</v>
      </c>
      <c r="L1369" s="33"/>
      <c r="M1369" s="33"/>
      <c r="N1369" s="36"/>
      <c r="O1369" s="33">
        <v>3</v>
      </c>
      <c r="P1369" s="33">
        <f>IF(Tabela1[[#This Row],[Status]]="✔️",Tabela1[[#This Row],[Peso]],IF(Tabela1[[#This Row],[Status]]="✔️✔️",Tabela1[[#This Row],[Peso]]/2,0))</f>
        <v>3</v>
      </c>
      <c r="Q136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69" s="33" t="s">
        <v>187</v>
      </c>
      <c r="S1369" s="37" t="s">
        <v>128</v>
      </c>
    </row>
    <row r="1370" spans="8:19" ht="39" customHeight="1" x14ac:dyDescent="0.3">
      <c r="H1370" s="32" t="s">
        <v>76</v>
      </c>
      <c r="I1370" s="33" t="s">
        <v>10</v>
      </c>
      <c r="J1370" s="34" t="s">
        <v>450</v>
      </c>
      <c r="K1370" s="35" t="s">
        <v>291</v>
      </c>
      <c r="L1370" s="33" t="s">
        <v>238</v>
      </c>
      <c r="M1370" s="33">
        <v>8967</v>
      </c>
      <c r="N1370" s="36"/>
      <c r="O1370" s="33">
        <v>3</v>
      </c>
      <c r="P1370" s="33">
        <f>IF(Tabela1[[#This Row],[Status]]="✔️",Tabela1[[#This Row],[Peso]],IF(Tabela1[[#This Row],[Status]]="✔️✔️",Tabela1[[#This Row],[Peso]]/2,0))</f>
        <v>1.5</v>
      </c>
      <c r="Q1370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70" s="33" t="s">
        <v>187</v>
      </c>
      <c r="S1370" s="37" t="s">
        <v>128</v>
      </c>
    </row>
    <row r="1371" spans="8:19" ht="39" customHeight="1" x14ac:dyDescent="0.3">
      <c r="H1371" s="32" t="s">
        <v>76</v>
      </c>
      <c r="I1371" s="33" t="s">
        <v>10</v>
      </c>
      <c r="J1371" s="34" t="s">
        <v>451</v>
      </c>
      <c r="K1371" s="35" t="s">
        <v>0</v>
      </c>
      <c r="L1371" s="33"/>
      <c r="M1371" s="33"/>
      <c r="N1371" s="36"/>
      <c r="O1371" s="33">
        <v>3</v>
      </c>
      <c r="P1371" s="33">
        <f>IF(Tabela1[[#This Row],[Status]]="✔️",Tabela1[[#This Row],[Peso]],IF(Tabela1[[#This Row],[Status]]="✔️✔️",Tabela1[[#This Row],[Peso]]/2,0))</f>
        <v>3</v>
      </c>
      <c r="Q137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71" s="33" t="s">
        <v>187</v>
      </c>
      <c r="S1371" s="37" t="s">
        <v>128</v>
      </c>
    </row>
    <row r="1372" spans="8:19" ht="39" customHeight="1" x14ac:dyDescent="0.3">
      <c r="H1372" s="32" t="s">
        <v>76</v>
      </c>
      <c r="I1372" s="33" t="s">
        <v>12</v>
      </c>
      <c r="J1372" s="34" t="s">
        <v>13</v>
      </c>
      <c r="K1372" s="35" t="s">
        <v>291</v>
      </c>
      <c r="L1372" s="33" t="s">
        <v>243</v>
      </c>
      <c r="M1372" s="33">
        <v>5178</v>
      </c>
      <c r="N1372" s="36"/>
      <c r="O1372" s="33">
        <v>2</v>
      </c>
      <c r="P1372" s="33">
        <f>IF(Tabela1[[#This Row],[Status]]="✔️",Tabela1[[#This Row],[Peso]],IF(Tabela1[[#This Row],[Status]]="✔️✔️",Tabela1[[#This Row],[Peso]]/2,0))</f>
        <v>1</v>
      </c>
      <c r="Q137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72" s="33" t="s">
        <v>187</v>
      </c>
      <c r="S1372" s="37" t="s">
        <v>128</v>
      </c>
    </row>
    <row r="1373" spans="8:19" ht="39" customHeight="1" x14ac:dyDescent="0.3">
      <c r="H1373" s="32" t="s">
        <v>76</v>
      </c>
      <c r="I1373" s="33" t="s">
        <v>17</v>
      </c>
      <c r="J1373" s="34" t="s">
        <v>18</v>
      </c>
      <c r="K1373" s="35" t="s">
        <v>0</v>
      </c>
      <c r="L1373" s="33"/>
      <c r="M1373" s="33"/>
      <c r="N1373" s="36"/>
      <c r="O1373" s="33">
        <v>3</v>
      </c>
      <c r="P1373" s="33">
        <f>IF(Tabela1[[#This Row],[Status]]="✔️",Tabela1[[#This Row],[Peso]],IF(Tabela1[[#This Row],[Status]]="✔️✔️",Tabela1[[#This Row],[Peso]]/2,0))</f>
        <v>3</v>
      </c>
      <c r="Q137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73" s="33" t="s">
        <v>187</v>
      </c>
      <c r="S1373" s="37" t="s">
        <v>128</v>
      </c>
    </row>
    <row r="1374" spans="8:19" ht="39" customHeight="1" x14ac:dyDescent="0.3">
      <c r="H1374" s="32" t="s">
        <v>76</v>
      </c>
      <c r="I1374" s="33" t="s">
        <v>17</v>
      </c>
      <c r="J1374" s="34" t="s">
        <v>19</v>
      </c>
      <c r="K1374" s="35" t="s">
        <v>0</v>
      </c>
      <c r="L1374" s="33"/>
      <c r="M1374" s="33"/>
      <c r="N1374" s="36"/>
      <c r="O1374" s="33">
        <v>1</v>
      </c>
      <c r="P1374" s="33">
        <f>IF(Tabela1[[#This Row],[Status]]="✔️",Tabela1[[#This Row],[Peso]],IF(Tabela1[[#This Row],[Status]]="✔️✔️",Tabela1[[#This Row],[Peso]]/2,0))</f>
        <v>1</v>
      </c>
      <c r="Q137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74" s="33" t="s">
        <v>187</v>
      </c>
      <c r="S1374" s="37" t="s">
        <v>128</v>
      </c>
    </row>
    <row r="1375" spans="8:19" ht="39" customHeight="1" x14ac:dyDescent="0.3">
      <c r="H1375" s="32" t="s">
        <v>76</v>
      </c>
      <c r="I1375" s="33" t="s">
        <v>20</v>
      </c>
      <c r="J1375" s="34" t="s">
        <v>21</v>
      </c>
      <c r="K1375" s="35" t="s">
        <v>0</v>
      </c>
      <c r="L1375" s="33"/>
      <c r="M1375" s="33"/>
      <c r="N1375" s="36"/>
      <c r="O1375" s="33">
        <v>3</v>
      </c>
      <c r="P1375" s="33">
        <f>IF(Tabela1[[#This Row],[Status]]="✔️",Tabela1[[#This Row],[Peso]],IF(Tabela1[[#This Row],[Status]]="✔️✔️",Tabela1[[#This Row],[Peso]]/2,0))</f>
        <v>3</v>
      </c>
      <c r="Q137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75" s="33" t="s">
        <v>187</v>
      </c>
      <c r="S1375" s="37" t="s">
        <v>128</v>
      </c>
    </row>
    <row r="1376" spans="8:19" ht="39" customHeight="1" x14ac:dyDescent="0.3">
      <c r="H1376" s="32" t="s">
        <v>76</v>
      </c>
      <c r="I1376" s="33" t="s">
        <v>20</v>
      </c>
      <c r="J1376" s="34" t="s">
        <v>452</v>
      </c>
      <c r="K1376" s="35" t="s">
        <v>291</v>
      </c>
      <c r="L1376" s="33" t="s">
        <v>244</v>
      </c>
      <c r="M1376" s="33">
        <v>9524</v>
      </c>
      <c r="N1376" s="36"/>
      <c r="O1376" s="33">
        <v>1</v>
      </c>
      <c r="P1376" s="33">
        <f>IF(Tabela1[[#This Row],[Status]]="✔️",Tabela1[[#This Row],[Peso]],IF(Tabela1[[#This Row],[Status]]="✔️✔️",Tabela1[[#This Row],[Peso]]/2,0))</f>
        <v>0.5</v>
      </c>
      <c r="Q1376" s="33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1376" s="33" t="s">
        <v>187</v>
      </c>
      <c r="S1376" s="37" t="s">
        <v>128</v>
      </c>
    </row>
    <row r="1377" spans="8:19" ht="39" customHeight="1" x14ac:dyDescent="0.3">
      <c r="H1377" s="32" t="s">
        <v>76</v>
      </c>
      <c r="I1377" s="33" t="s">
        <v>22</v>
      </c>
      <c r="J1377" s="34" t="s">
        <v>23</v>
      </c>
      <c r="K1377" s="35" t="s">
        <v>0</v>
      </c>
      <c r="L1377" s="33"/>
      <c r="M1377" s="33"/>
      <c r="N1377" s="36"/>
      <c r="O1377" s="33">
        <v>1</v>
      </c>
      <c r="P1377" s="33">
        <f>IF(Tabela1[[#This Row],[Status]]="✔️",Tabela1[[#This Row],[Peso]],IF(Tabela1[[#This Row],[Status]]="✔️✔️",Tabela1[[#This Row],[Peso]]/2,0))</f>
        <v>1</v>
      </c>
      <c r="Q137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77" s="33" t="s">
        <v>187</v>
      </c>
      <c r="S1377" s="37" t="s">
        <v>128</v>
      </c>
    </row>
    <row r="1378" spans="8:19" ht="39" customHeight="1" x14ac:dyDescent="0.3">
      <c r="H1378" s="32" t="s">
        <v>76</v>
      </c>
      <c r="I1378" s="33" t="s">
        <v>22</v>
      </c>
      <c r="J1378" s="34" t="s">
        <v>453</v>
      </c>
      <c r="K1378" s="35" t="s">
        <v>290</v>
      </c>
      <c r="L1378" s="33" t="s">
        <v>375</v>
      </c>
      <c r="M1378" s="33">
        <v>5314</v>
      </c>
      <c r="N1378" s="36"/>
      <c r="O1378" s="33">
        <v>1</v>
      </c>
      <c r="P1378" s="33">
        <f>IF(Tabela1[[#This Row],[Status]]="✔️",Tabela1[[#This Row],[Peso]],IF(Tabela1[[#This Row],[Status]]="✔️✔️",Tabela1[[#This Row],[Peso]]/2,0))</f>
        <v>0</v>
      </c>
      <c r="Q137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78" s="33" t="s">
        <v>187</v>
      </c>
      <c r="S1378" s="37" t="s">
        <v>128</v>
      </c>
    </row>
    <row r="1379" spans="8:19" ht="39" customHeight="1" x14ac:dyDescent="0.3">
      <c r="H1379" s="32" t="s">
        <v>76</v>
      </c>
      <c r="I1379" s="33" t="s">
        <v>25</v>
      </c>
      <c r="J1379" s="34" t="s">
        <v>454</v>
      </c>
      <c r="K1379" s="35" t="s">
        <v>290</v>
      </c>
      <c r="L1379" s="33" t="s">
        <v>242</v>
      </c>
      <c r="M1379" s="33">
        <v>3445</v>
      </c>
      <c r="N1379" s="36"/>
      <c r="O1379" s="33">
        <v>3</v>
      </c>
      <c r="P1379" s="33">
        <f>IF(Tabela1[[#This Row],[Status]]="✔️",Tabela1[[#This Row],[Peso]],IF(Tabela1[[#This Row],[Status]]="✔️✔️",Tabela1[[#This Row],[Peso]]/2,0))</f>
        <v>0</v>
      </c>
      <c r="Q137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79" s="33" t="s">
        <v>187</v>
      </c>
      <c r="S1379" s="37" t="s">
        <v>128</v>
      </c>
    </row>
    <row r="1380" spans="8:19" ht="39" customHeight="1" x14ac:dyDescent="0.3">
      <c r="H1380" s="32" t="s">
        <v>76</v>
      </c>
      <c r="I1380" s="33" t="s">
        <v>25</v>
      </c>
      <c r="J1380" s="34" t="s">
        <v>320</v>
      </c>
      <c r="K1380" s="35" t="s">
        <v>0</v>
      </c>
      <c r="L1380" s="33"/>
      <c r="M1380" s="33"/>
      <c r="N1380" s="36"/>
      <c r="O1380" s="33">
        <v>3</v>
      </c>
      <c r="P1380" s="33">
        <f>IF(Tabela1[[#This Row],[Status]]="✔️",Tabela1[[#This Row],[Peso]],IF(Tabela1[[#This Row],[Status]]="✔️✔️",Tabela1[[#This Row],[Peso]]/2,0))</f>
        <v>3</v>
      </c>
      <c r="Q138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80" s="33" t="s">
        <v>187</v>
      </c>
      <c r="S1380" s="37" t="s">
        <v>128</v>
      </c>
    </row>
    <row r="1381" spans="8:19" ht="39" customHeight="1" x14ac:dyDescent="0.3">
      <c r="H1381" s="32" t="s">
        <v>76</v>
      </c>
      <c r="I1381" s="33" t="s">
        <v>30</v>
      </c>
      <c r="J1381" s="34" t="s">
        <v>455</v>
      </c>
      <c r="K1381" s="35" t="s">
        <v>0</v>
      </c>
      <c r="L1381" s="33"/>
      <c r="M1381" s="33"/>
      <c r="N1381" s="36"/>
      <c r="O1381" s="33">
        <v>3</v>
      </c>
      <c r="P1381" s="33">
        <f>IF(Tabela1[[#This Row],[Status]]="✔️",Tabela1[[#This Row],[Peso]],IF(Tabela1[[#This Row],[Status]]="✔️✔️",Tabela1[[#This Row],[Peso]]/2,0))</f>
        <v>3</v>
      </c>
      <c r="Q138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81" s="33" t="s">
        <v>187</v>
      </c>
      <c r="S1381" s="37" t="s">
        <v>128</v>
      </c>
    </row>
    <row r="1382" spans="8:19" ht="39" customHeight="1" x14ac:dyDescent="0.3">
      <c r="H1382" s="32" t="s">
        <v>76</v>
      </c>
      <c r="I1382" s="33" t="s">
        <v>25</v>
      </c>
      <c r="J1382" s="34" t="s">
        <v>456</v>
      </c>
      <c r="K1382" s="35" t="s">
        <v>290</v>
      </c>
      <c r="L1382" s="33" t="s">
        <v>374</v>
      </c>
      <c r="M1382" s="33">
        <v>5723</v>
      </c>
      <c r="N1382" s="36"/>
      <c r="O1382" s="33">
        <v>3</v>
      </c>
      <c r="P1382" s="33">
        <f>IF(Tabela1[[#This Row],[Status]]="✔️",Tabela1[[#This Row],[Peso]],IF(Tabela1[[#This Row],[Status]]="✔️✔️",Tabela1[[#This Row],[Peso]]/2,0))</f>
        <v>0</v>
      </c>
      <c r="Q138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82" s="33" t="s">
        <v>187</v>
      </c>
      <c r="S1382" s="37" t="s">
        <v>128</v>
      </c>
    </row>
    <row r="1383" spans="8:19" ht="39" customHeight="1" x14ac:dyDescent="0.3">
      <c r="H1383" s="32" t="s">
        <v>76</v>
      </c>
      <c r="I1383" s="33" t="s">
        <v>41</v>
      </c>
      <c r="J1383" s="34" t="s">
        <v>457</v>
      </c>
      <c r="K1383" s="35" t="s">
        <v>290</v>
      </c>
      <c r="L1383" s="33" t="s">
        <v>236</v>
      </c>
      <c r="M1383" s="33">
        <v>9106</v>
      </c>
      <c r="N1383" s="36"/>
      <c r="O1383" s="33">
        <v>3</v>
      </c>
      <c r="P1383" s="33">
        <f>IF(Tabela1[[#This Row],[Status]]="✔️",Tabela1[[#This Row],[Peso]],IF(Tabela1[[#This Row],[Status]]="✔️✔️",Tabela1[[#This Row],[Peso]]/2,0))</f>
        <v>0</v>
      </c>
      <c r="Q138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83" s="33" t="s">
        <v>187</v>
      </c>
      <c r="S1383" s="37" t="s">
        <v>128</v>
      </c>
    </row>
    <row r="1384" spans="8:19" ht="39" customHeight="1" x14ac:dyDescent="0.3">
      <c r="H1384" s="32" t="s">
        <v>76</v>
      </c>
      <c r="I1384" s="53" t="s">
        <v>41</v>
      </c>
      <c r="J1384" s="57" t="s">
        <v>458</v>
      </c>
      <c r="K1384" s="54" t="s">
        <v>290</v>
      </c>
      <c r="L1384" s="33" t="s">
        <v>236</v>
      </c>
      <c r="M1384" s="33">
        <v>9106</v>
      </c>
      <c r="N1384" s="55"/>
      <c r="O1384" s="53">
        <v>2</v>
      </c>
      <c r="P1384" s="33">
        <f>IF(Tabela1[[#This Row],[Status]]="✔️",Tabela1[[#This Row],[Peso]],IF(Tabela1[[#This Row],[Status]]="✔️✔️",Tabela1[[#This Row],[Peso]]/2,0))</f>
        <v>0</v>
      </c>
      <c r="Q138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384" s="33" t="s">
        <v>187</v>
      </c>
      <c r="S1384" s="37" t="s">
        <v>128</v>
      </c>
    </row>
    <row r="1385" spans="8:19" ht="36.6" customHeight="1" x14ac:dyDescent="0.3">
      <c r="H1385" s="32" t="s">
        <v>133</v>
      </c>
      <c r="I1385" s="33" t="s">
        <v>14</v>
      </c>
      <c r="J1385" s="34" t="s">
        <v>15</v>
      </c>
      <c r="K1385" s="35" t="s">
        <v>290</v>
      </c>
      <c r="L1385" s="33" t="s">
        <v>376</v>
      </c>
      <c r="M1385" s="33">
        <v>1880</v>
      </c>
      <c r="N1385" s="36"/>
      <c r="O1385" s="33">
        <v>3</v>
      </c>
      <c r="P1385" s="33">
        <f>IF(Tabela1[[#This Row],[Status]]="✔️",Tabela1[[#This Row],[Peso]],IF(Tabela1[[#This Row],[Status]]="✔️✔️",Tabela1[[#This Row],[Peso]]/2,0))</f>
        <v>0</v>
      </c>
      <c r="Q138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85" s="33" t="s">
        <v>187</v>
      </c>
      <c r="S1385" s="37" t="s">
        <v>128</v>
      </c>
    </row>
    <row r="1386" spans="8:19" ht="36.6" customHeight="1" x14ac:dyDescent="0.3">
      <c r="H1386" s="32" t="s">
        <v>133</v>
      </c>
      <c r="I1386" s="33" t="s">
        <v>14</v>
      </c>
      <c r="J1386" s="34" t="s">
        <v>16</v>
      </c>
      <c r="K1386" s="35" t="s">
        <v>290</v>
      </c>
      <c r="L1386" s="33" t="s">
        <v>376</v>
      </c>
      <c r="M1386" s="33">
        <v>1880</v>
      </c>
      <c r="N1386" s="36"/>
      <c r="O1386" s="33">
        <v>1</v>
      </c>
      <c r="P1386" s="33">
        <f>IF(Tabela1[[#This Row],[Status]]="✔️",Tabela1[[#This Row],[Peso]],IF(Tabela1[[#This Row],[Status]]="✔️✔️",Tabela1[[#This Row],[Peso]]/2,0))</f>
        <v>0</v>
      </c>
      <c r="Q138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86" s="33" t="s">
        <v>187</v>
      </c>
      <c r="S1386" s="37" t="s">
        <v>128</v>
      </c>
    </row>
    <row r="1387" spans="8:19" ht="36.6" customHeight="1" x14ac:dyDescent="0.3">
      <c r="H1387" s="32" t="s">
        <v>133</v>
      </c>
      <c r="I1387" s="33" t="s">
        <v>30</v>
      </c>
      <c r="J1387" s="34" t="s">
        <v>455</v>
      </c>
      <c r="K1387" s="35" t="s">
        <v>0</v>
      </c>
      <c r="L1387" s="33"/>
      <c r="M1387" s="33"/>
      <c r="N1387" s="36"/>
      <c r="O1387" s="33">
        <v>3</v>
      </c>
      <c r="P1387" s="33">
        <f>IF(Tabela1[[#This Row],[Status]]="✔️",Tabela1[[#This Row],[Peso]],IF(Tabela1[[#This Row],[Status]]="✔️✔️",Tabela1[[#This Row],[Peso]]/2,0))</f>
        <v>3</v>
      </c>
      <c r="Q138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87" s="33" t="s">
        <v>187</v>
      </c>
      <c r="S1387" s="37" t="s">
        <v>128</v>
      </c>
    </row>
    <row r="1388" spans="8:19" ht="36.6" customHeight="1" x14ac:dyDescent="0.3">
      <c r="H1388" s="32" t="s">
        <v>133</v>
      </c>
      <c r="I1388" s="53" t="s">
        <v>25</v>
      </c>
      <c r="J1388" s="57" t="s">
        <v>456</v>
      </c>
      <c r="K1388" s="54" t="s">
        <v>290</v>
      </c>
      <c r="L1388" s="53" t="s">
        <v>377</v>
      </c>
      <c r="M1388" s="53">
        <v>1853</v>
      </c>
      <c r="N1388" s="55"/>
      <c r="O1388" s="53">
        <v>3</v>
      </c>
      <c r="P1388" s="33">
        <f>IF(Tabela1[[#This Row],[Status]]="✔️",Tabela1[[#This Row],[Peso]],IF(Tabela1[[#This Row],[Status]]="✔️✔️",Tabela1[[#This Row],[Peso]]/2,0))</f>
        <v>0</v>
      </c>
      <c r="Q138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88" s="33" t="s">
        <v>187</v>
      </c>
      <c r="S1388" s="37" t="s">
        <v>128</v>
      </c>
    </row>
    <row r="1389" spans="8:19" ht="41.4" x14ac:dyDescent="0.3">
      <c r="H1389" s="52" t="s">
        <v>133</v>
      </c>
      <c r="I1389" s="53" t="s">
        <v>10</v>
      </c>
      <c r="J1389" s="57" t="s">
        <v>11</v>
      </c>
      <c r="K1389" s="54" t="s">
        <v>291</v>
      </c>
      <c r="L1389" s="53" t="s">
        <v>227</v>
      </c>
      <c r="M1389" s="53">
        <v>8191</v>
      </c>
      <c r="N1389" s="55"/>
      <c r="O1389" s="53">
        <v>3</v>
      </c>
      <c r="P1389" s="33">
        <f>IF(Tabela1[[#This Row],[Status]]="✔️",Tabela1[[#This Row],[Peso]],IF(Tabela1[[#This Row],[Status]]="✔️✔️",Tabela1[[#This Row],[Peso]]/2,0))</f>
        <v>1.5</v>
      </c>
      <c r="Q1389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89" s="53" t="s">
        <v>187</v>
      </c>
      <c r="S1389" s="56" t="s">
        <v>128</v>
      </c>
    </row>
    <row r="1390" spans="8:19" ht="41.4" x14ac:dyDescent="0.3">
      <c r="H1390" s="52" t="s">
        <v>133</v>
      </c>
      <c r="I1390" s="53" t="s">
        <v>10</v>
      </c>
      <c r="J1390" s="57" t="s">
        <v>450</v>
      </c>
      <c r="K1390" s="54" t="s">
        <v>291</v>
      </c>
      <c r="L1390" s="53" t="s">
        <v>227</v>
      </c>
      <c r="M1390" s="53">
        <v>8191</v>
      </c>
      <c r="N1390" s="55"/>
      <c r="O1390" s="53">
        <v>3</v>
      </c>
      <c r="P1390" s="33">
        <f>IF(Tabela1[[#This Row],[Status]]="✔️",Tabela1[[#This Row],[Peso]],IF(Tabela1[[#This Row],[Status]]="✔️✔️",Tabela1[[#This Row],[Peso]]/2,0))</f>
        <v>1.5</v>
      </c>
      <c r="Q1390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90" s="53" t="s">
        <v>187</v>
      </c>
      <c r="S1390" s="56" t="s">
        <v>128</v>
      </c>
    </row>
    <row r="1391" spans="8:19" ht="45.6" customHeight="1" x14ac:dyDescent="0.3">
      <c r="H1391" s="32" t="s">
        <v>49</v>
      </c>
      <c r="I1391" s="33" t="s">
        <v>14</v>
      </c>
      <c r="J1391" s="34" t="s">
        <v>15</v>
      </c>
      <c r="K1391" s="35" t="s">
        <v>291</v>
      </c>
      <c r="L1391" s="33" t="s">
        <v>213</v>
      </c>
      <c r="M1391" s="33">
        <v>2886</v>
      </c>
      <c r="N1391" s="36"/>
      <c r="O1391" s="33">
        <v>3</v>
      </c>
      <c r="P1391" s="33">
        <f>IF(Tabela1[[#This Row],[Status]]="✔️",Tabela1[[#This Row],[Peso]],IF(Tabela1[[#This Row],[Status]]="✔️✔️",Tabela1[[#This Row],[Peso]]/2,0))</f>
        <v>1.5</v>
      </c>
      <c r="Q1391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91" s="53" t="s">
        <v>187</v>
      </c>
      <c r="S1391" s="56" t="s">
        <v>128</v>
      </c>
    </row>
    <row r="1392" spans="8:19" ht="45.6" customHeight="1" x14ac:dyDescent="0.3">
      <c r="H1392" s="32" t="s">
        <v>49</v>
      </c>
      <c r="I1392" s="33" t="s">
        <v>14</v>
      </c>
      <c r="J1392" s="34" t="s">
        <v>16</v>
      </c>
      <c r="K1392" s="35" t="s">
        <v>0</v>
      </c>
      <c r="L1392" s="33"/>
      <c r="M1392" s="33"/>
      <c r="N1392" s="36"/>
      <c r="O1392" s="33">
        <v>1</v>
      </c>
      <c r="P1392" s="33">
        <f>IF(Tabela1[[#This Row],[Status]]="✔️",Tabela1[[#This Row],[Peso]],IF(Tabela1[[#This Row],[Status]]="✔️✔️",Tabela1[[#This Row],[Peso]]/2,0))</f>
        <v>1</v>
      </c>
      <c r="Q139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92" s="53" t="s">
        <v>187</v>
      </c>
      <c r="S1392" s="56" t="s">
        <v>128</v>
      </c>
    </row>
    <row r="1393" spans="8:19" ht="45.6" customHeight="1" x14ac:dyDescent="0.3">
      <c r="H1393" s="32" t="s">
        <v>49</v>
      </c>
      <c r="I1393" s="33" t="s">
        <v>10</v>
      </c>
      <c r="J1393" s="34" t="s">
        <v>11</v>
      </c>
      <c r="K1393" s="35" t="s">
        <v>0</v>
      </c>
      <c r="L1393" s="33"/>
      <c r="M1393" s="33"/>
      <c r="N1393" s="36"/>
      <c r="O1393" s="33">
        <v>3</v>
      </c>
      <c r="P1393" s="33">
        <f>IF(Tabela1[[#This Row],[Status]]="✔️",Tabela1[[#This Row],[Peso]],IF(Tabela1[[#This Row],[Status]]="✔️✔️",Tabela1[[#This Row],[Peso]]/2,0))</f>
        <v>3</v>
      </c>
      <c r="Q139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93" s="53" t="s">
        <v>187</v>
      </c>
      <c r="S1393" s="56" t="s">
        <v>128</v>
      </c>
    </row>
    <row r="1394" spans="8:19" ht="45.6" customHeight="1" x14ac:dyDescent="0.3">
      <c r="H1394" s="32" t="s">
        <v>49</v>
      </c>
      <c r="I1394" s="33" t="s">
        <v>10</v>
      </c>
      <c r="J1394" s="34" t="s">
        <v>316</v>
      </c>
      <c r="K1394" s="35" t="s">
        <v>0</v>
      </c>
      <c r="L1394" s="33"/>
      <c r="M1394" s="33"/>
      <c r="N1394" s="36"/>
      <c r="O1394" s="33">
        <v>3</v>
      </c>
      <c r="P1394" s="33">
        <f>IF(Tabela1[[#This Row],[Status]]="✔️",Tabela1[[#This Row],[Peso]],IF(Tabela1[[#This Row],[Status]]="✔️✔️",Tabela1[[#This Row],[Peso]]/2,0))</f>
        <v>3</v>
      </c>
      <c r="Q139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94" s="53" t="s">
        <v>187</v>
      </c>
      <c r="S1394" s="56" t="s">
        <v>128</v>
      </c>
    </row>
    <row r="1395" spans="8:19" ht="45.6" customHeight="1" x14ac:dyDescent="0.3">
      <c r="H1395" s="32" t="s">
        <v>49</v>
      </c>
      <c r="I1395" s="33" t="s">
        <v>10</v>
      </c>
      <c r="J1395" s="34" t="s">
        <v>450</v>
      </c>
      <c r="K1395" s="35" t="s">
        <v>291</v>
      </c>
      <c r="L1395" s="33" t="s">
        <v>215</v>
      </c>
      <c r="M1395" s="33">
        <v>8967</v>
      </c>
      <c r="N1395" s="36"/>
      <c r="O1395" s="33">
        <v>3</v>
      </c>
      <c r="P1395" s="33">
        <f>IF(Tabela1[[#This Row],[Status]]="✔️",Tabela1[[#This Row],[Peso]],IF(Tabela1[[#This Row],[Status]]="✔️✔️",Tabela1[[#This Row],[Peso]]/2,0))</f>
        <v>1.5</v>
      </c>
      <c r="Q1395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95" s="53" t="s">
        <v>187</v>
      </c>
      <c r="S1395" s="56" t="s">
        <v>128</v>
      </c>
    </row>
    <row r="1396" spans="8:19" ht="45.6" customHeight="1" x14ac:dyDescent="0.3">
      <c r="H1396" s="32" t="s">
        <v>49</v>
      </c>
      <c r="I1396" s="33" t="s">
        <v>10</v>
      </c>
      <c r="J1396" s="34" t="s">
        <v>451</v>
      </c>
      <c r="K1396" s="35" t="s">
        <v>0</v>
      </c>
      <c r="L1396" s="33"/>
      <c r="M1396" s="33"/>
      <c r="N1396" s="36"/>
      <c r="O1396" s="33">
        <v>3</v>
      </c>
      <c r="P1396" s="33">
        <f>IF(Tabela1[[#This Row],[Status]]="✔️",Tabela1[[#This Row],[Peso]],IF(Tabela1[[#This Row],[Status]]="✔️✔️",Tabela1[[#This Row],[Peso]]/2,0))</f>
        <v>3</v>
      </c>
      <c r="Q139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96" s="53" t="s">
        <v>187</v>
      </c>
      <c r="S1396" s="56" t="s">
        <v>128</v>
      </c>
    </row>
    <row r="1397" spans="8:19" ht="45.6" customHeight="1" x14ac:dyDescent="0.3">
      <c r="H1397" s="32" t="s">
        <v>49</v>
      </c>
      <c r="I1397" s="33" t="s">
        <v>12</v>
      </c>
      <c r="J1397" s="34" t="s">
        <v>13</v>
      </c>
      <c r="K1397" s="35" t="s">
        <v>291</v>
      </c>
      <c r="L1397" s="33" t="s">
        <v>52</v>
      </c>
      <c r="M1397" s="33">
        <v>5178</v>
      </c>
      <c r="N1397" s="36"/>
      <c r="O1397" s="33">
        <v>2</v>
      </c>
      <c r="P1397" s="33">
        <f>IF(Tabela1[[#This Row],[Status]]="✔️",Tabela1[[#This Row],[Peso]],IF(Tabela1[[#This Row],[Status]]="✔️✔️",Tabela1[[#This Row],[Peso]]/2,0))</f>
        <v>1</v>
      </c>
      <c r="Q139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97" s="53" t="s">
        <v>187</v>
      </c>
      <c r="S1397" s="56" t="s">
        <v>128</v>
      </c>
    </row>
    <row r="1398" spans="8:19" ht="45.6" customHeight="1" x14ac:dyDescent="0.3">
      <c r="H1398" s="32" t="s">
        <v>49</v>
      </c>
      <c r="I1398" s="33" t="s">
        <v>17</v>
      </c>
      <c r="J1398" s="34" t="s">
        <v>18</v>
      </c>
      <c r="K1398" s="35" t="s">
        <v>0</v>
      </c>
      <c r="L1398" s="33"/>
      <c r="M1398" s="33"/>
      <c r="N1398" s="36"/>
      <c r="O1398" s="33">
        <v>3</v>
      </c>
      <c r="P1398" s="33">
        <f>IF(Tabela1[[#This Row],[Status]]="✔️",Tabela1[[#This Row],[Peso]],IF(Tabela1[[#This Row],[Status]]="✔️✔️",Tabela1[[#This Row],[Peso]]/2,0))</f>
        <v>3</v>
      </c>
      <c r="Q139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98" s="53" t="s">
        <v>187</v>
      </c>
      <c r="S1398" s="56" t="s">
        <v>128</v>
      </c>
    </row>
    <row r="1399" spans="8:19" ht="45.6" customHeight="1" x14ac:dyDescent="0.3">
      <c r="H1399" s="32" t="s">
        <v>49</v>
      </c>
      <c r="I1399" s="33" t="s">
        <v>17</v>
      </c>
      <c r="J1399" s="34" t="s">
        <v>19</v>
      </c>
      <c r="K1399" s="35" t="s">
        <v>291</v>
      </c>
      <c r="L1399" s="33" t="s">
        <v>214</v>
      </c>
      <c r="M1399" s="33">
        <v>8008</v>
      </c>
      <c r="N1399" s="36"/>
      <c r="O1399" s="33">
        <v>1</v>
      </c>
      <c r="P1399" s="33">
        <f>IF(Tabela1[[#This Row],[Status]]="✔️",Tabela1[[#This Row],[Peso]],IF(Tabela1[[#This Row],[Status]]="✔️✔️",Tabela1[[#This Row],[Peso]]/2,0))</f>
        <v>0.5</v>
      </c>
      <c r="Q1399" s="33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1399" s="53" t="s">
        <v>187</v>
      </c>
      <c r="S1399" s="56" t="s">
        <v>128</v>
      </c>
    </row>
    <row r="1400" spans="8:19" ht="45.6" customHeight="1" x14ac:dyDescent="0.3">
      <c r="H1400" s="32" t="s">
        <v>49</v>
      </c>
      <c r="I1400" s="33" t="s">
        <v>17</v>
      </c>
      <c r="J1400" s="34" t="s">
        <v>19</v>
      </c>
      <c r="K1400" s="35" t="s">
        <v>0</v>
      </c>
      <c r="L1400" s="33"/>
      <c r="M1400" s="33"/>
      <c r="N1400" s="36"/>
      <c r="O1400" s="33">
        <v>1</v>
      </c>
      <c r="P1400" s="33">
        <f>IF(Tabela1[[#This Row],[Status]]="✔️",Tabela1[[#This Row],[Peso]],IF(Tabela1[[#This Row],[Status]]="✔️✔️",Tabela1[[#This Row],[Peso]]/2,0))</f>
        <v>1</v>
      </c>
      <c r="Q140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400" s="53" t="s">
        <v>187</v>
      </c>
      <c r="S1400" s="56" t="s">
        <v>128</v>
      </c>
    </row>
    <row r="1401" spans="8:19" ht="45.6" customHeight="1" x14ac:dyDescent="0.3">
      <c r="H1401" s="32" t="s">
        <v>49</v>
      </c>
      <c r="I1401" s="33" t="s">
        <v>20</v>
      </c>
      <c r="J1401" s="34" t="s">
        <v>21</v>
      </c>
      <c r="K1401" s="35" t="s">
        <v>0</v>
      </c>
      <c r="L1401" s="33"/>
      <c r="M1401" s="33"/>
      <c r="N1401" s="36"/>
      <c r="O1401" s="33">
        <v>3</v>
      </c>
      <c r="P1401" s="33">
        <f>IF(Tabela1[[#This Row],[Status]]="✔️",Tabela1[[#This Row],[Peso]],IF(Tabela1[[#This Row],[Status]]="✔️✔️",Tabela1[[#This Row],[Peso]]/2,0))</f>
        <v>3</v>
      </c>
      <c r="Q140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01" s="53" t="s">
        <v>187</v>
      </c>
      <c r="S1401" s="56" t="s">
        <v>128</v>
      </c>
    </row>
    <row r="1402" spans="8:19" ht="45.6" customHeight="1" x14ac:dyDescent="0.3">
      <c r="H1402" s="32" t="s">
        <v>49</v>
      </c>
      <c r="I1402" s="33" t="s">
        <v>20</v>
      </c>
      <c r="J1402" s="34" t="s">
        <v>452</v>
      </c>
      <c r="K1402" s="35" t="s">
        <v>0</v>
      </c>
      <c r="L1402" s="33"/>
      <c r="M1402" s="33"/>
      <c r="N1402" s="36"/>
      <c r="O1402" s="33">
        <v>1</v>
      </c>
      <c r="P1402" s="33">
        <f>IF(Tabela1[[#This Row],[Status]]="✔️",Tabela1[[#This Row],[Peso]],IF(Tabela1[[#This Row],[Status]]="✔️✔️",Tabela1[[#This Row],[Peso]]/2,0))</f>
        <v>1</v>
      </c>
      <c r="Q140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402" s="53" t="s">
        <v>187</v>
      </c>
      <c r="S1402" s="56" t="s">
        <v>128</v>
      </c>
    </row>
    <row r="1403" spans="8:19" ht="45.6" customHeight="1" x14ac:dyDescent="0.3">
      <c r="H1403" s="32" t="s">
        <v>49</v>
      </c>
      <c r="I1403" s="33" t="s">
        <v>22</v>
      </c>
      <c r="J1403" s="34" t="s">
        <v>23</v>
      </c>
      <c r="K1403" s="35" t="s">
        <v>0</v>
      </c>
      <c r="L1403" s="33"/>
      <c r="M1403" s="33"/>
      <c r="N1403" s="36"/>
      <c r="O1403" s="33">
        <v>1</v>
      </c>
      <c r="P1403" s="33">
        <f>IF(Tabela1[[#This Row],[Status]]="✔️",Tabela1[[#This Row],[Peso]],IF(Tabela1[[#This Row],[Status]]="✔️✔️",Tabela1[[#This Row],[Peso]]/2,0))</f>
        <v>1</v>
      </c>
      <c r="Q140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403" s="53" t="s">
        <v>187</v>
      </c>
      <c r="S1403" s="56" t="s">
        <v>128</v>
      </c>
    </row>
    <row r="1404" spans="8:19" ht="45.6" customHeight="1" x14ac:dyDescent="0.3">
      <c r="H1404" s="32" t="s">
        <v>49</v>
      </c>
      <c r="I1404" s="33" t="s">
        <v>22</v>
      </c>
      <c r="J1404" s="34" t="s">
        <v>453</v>
      </c>
      <c r="K1404" s="35" t="s">
        <v>290</v>
      </c>
      <c r="L1404" s="33" t="s">
        <v>380</v>
      </c>
      <c r="M1404" s="33">
        <v>6471</v>
      </c>
      <c r="N1404" s="36"/>
      <c r="O1404" s="33">
        <v>1</v>
      </c>
      <c r="P1404" s="33">
        <f>IF(Tabela1[[#This Row],[Status]]="✔️",Tabela1[[#This Row],[Peso]],IF(Tabela1[[#This Row],[Status]]="✔️✔️",Tabela1[[#This Row],[Peso]]/2,0))</f>
        <v>0</v>
      </c>
      <c r="Q140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404" s="53" t="s">
        <v>187</v>
      </c>
      <c r="S1404" s="56" t="s">
        <v>128</v>
      </c>
    </row>
    <row r="1405" spans="8:19" ht="45.6" customHeight="1" x14ac:dyDescent="0.3">
      <c r="H1405" s="32" t="s">
        <v>49</v>
      </c>
      <c r="I1405" s="33" t="s">
        <v>25</v>
      </c>
      <c r="J1405" s="34" t="s">
        <v>454</v>
      </c>
      <c r="K1405" s="35" t="s">
        <v>290</v>
      </c>
      <c r="L1405" s="33" t="s">
        <v>378</v>
      </c>
      <c r="M1405" s="33">
        <v>7183</v>
      </c>
      <c r="N1405" s="36"/>
      <c r="O1405" s="33">
        <v>3</v>
      </c>
      <c r="P1405" s="33">
        <f>IF(Tabela1[[#This Row],[Status]]="✔️",Tabela1[[#This Row],[Peso]],IF(Tabela1[[#This Row],[Status]]="✔️✔️",Tabela1[[#This Row],[Peso]]/2,0))</f>
        <v>0</v>
      </c>
      <c r="Q140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05" s="53" t="s">
        <v>187</v>
      </c>
      <c r="S1405" s="56" t="s">
        <v>128</v>
      </c>
    </row>
    <row r="1406" spans="8:19" ht="45.6" customHeight="1" x14ac:dyDescent="0.3">
      <c r="H1406" s="32" t="s">
        <v>49</v>
      </c>
      <c r="I1406" s="33" t="s">
        <v>25</v>
      </c>
      <c r="J1406" s="34" t="s">
        <v>320</v>
      </c>
      <c r="K1406" s="35" t="s">
        <v>0</v>
      </c>
      <c r="L1406" s="33"/>
      <c r="M1406" s="33"/>
      <c r="N1406" s="36"/>
      <c r="O1406" s="33">
        <v>3</v>
      </c>
      <c r="P1406" s="33">
        <f>IF(Tabela1[[#This Row],[Status]]="✔️",Tabela1[[#This Row],[Peso]],IF(Tabela1[[#This Row],[Status]]="✔️✔️",Tabela1[[#This Row],[Peso]]/2,0))</f>
        <v>3</v>
      </c>
      <c r="Q140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06" s="53" t="s">
        <v>187</v>
      </c>
      <c r="S1406" s="56" t="s">
        <v>128</v>
      </c>
    </row>
    <row r="1407" spans="8:19" ht="45.6" customHeight="1" x14ac:dyDescent="0.3">
      <c r="H1407" s="32" t="s">
        <v>49</v>
      </c>
      <c r="I1407" s="33" t="s">
        <v>30</v>
      </c>
      <c r="J1407" s="34" t="s">
        <v>455</v>
      </c>
      <c r="K1407" s="35" t="s">
        <v>290</v>
      </c>
      <c r="L1407" s="33" t="s">
        <v>379</v>
      </c>
      <c r="M1407" s="33">
        <v>8948</v>
      </c>
      <c r="N1407" s="36"/>
      <c r="O1407" s="33">
        <v>3</v>
      </c>
      <c r="P1407" s="33">
        <f>IF(Tabela1[[#This Row],[Status]]="✔️",Tabela1[[#This Row],[Peso]],IF(Tabela1[[#This Row],[Status]]="✔️✔️",Tabela1[[#This Row],[Peso]]/2,0))</f>
        <v>0</v>
      </c>
      <c r="Q140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07" s="53" t="s">
        <v>187</v>
      </c>
      <c r="S1407" s="56" t="s">
        <v>128</v>
      </c>
    </row>
    <row r="1408" spans="8:19" ht="45.6" customHeight="1" x14ac:dyDescent="0.3">
      <c r="H1408" s="32" t="s">
        <v>49</v>
      </c>
      <c r="I1408" s="33" t="s">
        <v>25</v>
      </c>
      <c r="J1408" s="34" t="s">
        <v>456</v>
      </c>
      <c r="K1408" s="35" t="s">
        <v>0</v>
      </c>
      <c r="L1408" s="33"/>
      <c r="M1408" s="33"/>
      <c r="N1408" s="36"/>
      <c r="O1408" s="33">
        <v>3</v>
      </c>
      <c r="P1408" s="33">
        <f>IF(Tabela1[[#This Row],[Status]]="✔️",Tabela1[[#This Row],[Peso]],IF(Tabela1[[#This Row],[Status]]="✔️✔️",Tabela1[[#This Row],[Peso]]/2,0))</f>
        <v>3</v>
      </c>
      <c r="Q140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08" s="53" t="s">
        <v>187</v>
      </c>
      <c r="S1408" s="56" t="s">
        <v>128</v>
      </c>
    </row>
    <row r="1409" spans="8:19" ht="45.6" customHeight="1" x14ac:dyDescent="0.3">
      <c r="H1409" s="32" t="s">
        <v>49</v>
      </c>
      <c r="I1409" s="33" t="s">
        <v>41</v>
      </c>
      <c r="J1409" s="34" t="s">
        <v>457</v>
      </c>
      <c r="K1409" s="35" t="s">
        <v>290</v>
      </c>
      <c r="L1409" s="33" t="s">
        <v>47</v>
      </c>
      <c r="M1409" s="33">
        <v>9106</v>
      </c>
      <c r="N1409" s="36"/>
      <c r="O1409" s="33">
        <v>3</v>
      </c>
      <c r="P1409" s="33">
        <f>IF(Tabela1[[#This Row],[Status]]="✔️",Tabela1[[#This Row],[Peso]],IF(Tabela1[[#This Row],[Status]]="✔️✔️",Tabela1[[#This Row],[Peso]]/2,0))</f>
        <v>0</v>
      </c>
      <c r="Q140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09" s="53" t="s">
        <v>187</v>
      </c>
      <c r="S1409" s="56" t="s">
        <v>128</v>
      </c>
    </row>
    <row r="1410" spans="8:19" ht="45.6" customHeight="1" x14ac:dyDescent="0.3">
      <c r="H1410" s="32" t="s">
        <v>49</v>
      </c>
      <c r="I1410" s="53" t="s">
        <v>41</v>
      </c>
      <c r="J1410" s="57" t="s">
        <v>458</v>
      </c>
      <c r="K1410" s="54" t="s">
        <v>290</v>
      </c>
      <c r="L1410" s="33" t="s">
        <v>47</v>
      </c>
      <c r="M1410" s="33">
        <v>9106</v>
      </c>
      <c r="N1410" s="55"/>
      <c r="O1410" s="53">
        <v>2</v>
      </c>
      <c r="P1410" s="33">
        <f>IF(Tabela1[[#This Row],[Status]]="✔️",Tabela1[[#This Row],[Peso]],IF(Tabela1[[#This Row],[Status]]="✔️✔️",Tabela1[[#This Row],[Peso]]/2,0))</f>
        <v>0</v>
      </c>
      <c r="Q1410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410" s="53" t="s">
        <v>187</v>
      </c>
      <c r="S1410" s="56" t="s">
        <v>128</v>
      </c>
    </row>
    <row r="1411" spans="8:19" ht="37.799999999999997" customHeight="1" x14ac:dyDescent="0.3">
      <c r="H1411" s="32" t="s">
        <v>69</v>
      </c>
      <c r="I1411" s="33" t="s">
        <v>14</v>
      </c>
      <c r="J1411" s="34" t="s">
        <v>15</v>
      </c>
      <c r="K1411" s="35" t="s">
        <v>0</v>
      </c>
      <c r="L1411" s="33"/>
      <c r="M1411" s="33"/>
      <c r="N1411" s="36"/>
      <c r="O1411" s="33">
        <v>3</v>
      </c>
      <c r="P1411" s="33">
        <f>IF(Tabela1[[#This Row],[Status]]="✔️",Tabela1[[#This Row],[Peso]],IF(Tabela1[[#This Row],[Status]]="✔️✔️",Tabela1[[#This Row],[Peso]]/2,0))</f>
        <v>3</v>
      </c>
      <c r="Q141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11" s="53" t="s">
        <v>187</v>
      </c>
      <c r="S1411" s="56" t="s">
        <v>128</v>
      </c>
    </row>
    <row r="1412" spans="8:19" ht="37.799999999999997" customHeight="1" x14ac:dyDescent="0.3">
      <c r="H1412" s="32" t="s">
        <v>69</v>
      </c>
      <c r="I1412" s="33" t="s">
        <v>14</v>
      </c>
      <c r="J1412" s="34" t="s">
        <v>16</v>
      </c>
      <c r="K1412" s="35" t="s">
        <v>0</v>
      </c>
      <c r="L1412" s="33"/>
      <c r="M1412" s="33"/>
      <c r="N1412" s="36"/>
      <c r="O1412" s="33">
        <v>1</v>
      </c>
      <c r="P1412" s="33">
        <f>IF(Tabela1[[#This Row],[Status]]="✔️",Tabela1[[#This Row],[Peso]],IF(Tabela1[[#This Row],[Status]]="✔️✔️",Tabela1[[#This Row],[Peso]]/2,0))</f>
        <v>1</v>
      </c>
      <c r="Q141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412" s="53" t="s">
        <v>187</v>
      </c>
      <c r="S1412" s="56" t="s">
        <v>128</v>
      </c>
    </row>
    <row r="1413" spans="8:19" ht="37.799999999999997" customHeight="1" x14ac:dyDescent="0.3">
      <c r="H1413" s="32" t="s">
        <v>69</v>
      </c>
      <c r="I1413" s="33" t="s">
        <v>10</v>
      </c>
      <c r="J1413" s="34" t="s">
        <v>11</v>
      </c>
      <c r="K1413" s="35" t="s">
        <v>0</v>
      </c>
      <c r="L1413" s="33"/>
      <c r="M1413" s="33"/>
      <c r="N1413" s="36"/>
      <c r="O1413" s="33">
        <v>3</v>
      </c>
      <c r="P1413" s="33">
        <f>IF(Tabela1[[#This Row],[Status]]="✔️",Tabela1[[#This Row],[Peso]],IF(Tabela1[[#This Row],[Status]]="✔️✔️",Tabela1[[#This Row],[Peso]]/2,0))</f>
        <v>3</v>
      </c>
      <c r="Q141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13" s="53" t="s">
        <v>187</v>
      </c>
      <c r="S1413" s="56" t="s">
        <v>128</v>
      </c>
    </row>
    <row r="1414" spans="8:19" ht="37.799999999999997" customHeight="1" x14ac:dyDescent="0.3">
      <c r="H1414" s="32" t="s">
        <v>69</v>
      </c>
      <c r="I1414" s="33" t="s">
        <v>10</v>
      </c>
      <c r="J1414" s="34" t="s">
        <v>316</v>
      </c>
      <c r="K1414" s="35" t="s">
        <v>0</v>
      </c>
      <c r="L1414" s="33"/>
      <c r="M1414" s="33"/>
      <c r="N1414" s="36"/>
      <c r="O1414" s="33">
        <v>3</v>
      </c>
      <c r="P1414" s="33">
        <f>IF(Tabela1[[#This Row],[Status]]="✔️",Tabela1[[#This Row],[Peso]],IF(Tabela1[[#This Row],[Status]]="✔️✔️",Tabela1[[#This Row],[Peso]]/2,0))</f>
        <v>3</v>
      </c>
      <c r="Q141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14" s="53" t="s">
        <v>187</v>
      </c>
      <c r="S1414" s="56" t="s">
        <v>128</v>
      </c>
    </row>
    <row r="1415" spans="8:19" ht="37.799999999999997" customHeight="1" x14ac:dyDescent="0.3">
      <c r="H1415" s="32" t="s">
        <v>69</v>
      </c>
      <c r="I1415" s="33" t="s">
        <v>10</v>
      </c>
      <c r="J1415" s="34" t="s">
        <v>450</v>
      </c>
      <c r="K1415" s="35" t="s">
        <v>291</v>
      </c>
      <c r="L1415" s="33" t="s">
        <v>238</v>
      </c>
      <c r="M1415" s="33">
        <v>8967</v>
      </c>
      <c r="N1415" s="36"/>
      <c r="O1415" s="33">
        <v>3</v>
      </c>
      <c r="P1415" s="33">
        <f>IF(Tabela1[[#This Row],[Status]]="✔️",Tabela1[[#This Row],[Peso]],IF(Tabela1[[#This Row],[Status]]="✔️✔️",Tabela1[[#This Row],[Peso]]/2,0))</f>
        <v>1.5</v>
      </c>
      <c r="Q1415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415" s="53" t="s">
        <v>187</v>
      </c>
      <c r="S1415" s="56" t="s">
        <v>128</v>
      </c>
    </row>
    <row r="1416" spans="8:19" ht="37.799999999999997" customHeight="1" x14ac:dyDescent="0.3">
      <c r="H1416" s="32" t="s">
        <v>69</v>
      </c>
      <c r="I1416" s="33" t="s">
        <v>10</v>
      </c>
      <c r="J1416" s="34" t="s">
        <v>451</v>
      </c>
      <c r="K1416" s="35" t="s">
        <v>0</v>
      </c>
      <c r="L1416" s="33"/>
      <c r="M1416" s="33"/>
      <c r="N1416" s="36"/>
      <c r="O1416" s="33">
        <v>3</v>
      </c>
      <c r="P1416" s="33">
        <f>IF(Tabela1[[#This Row],[Status]]="✔️",Tabela1[[#This Row],[Peso]],IF(Tabela1[[#This Row],[Status]]="✔️✔️",Tabela1[[#This Row],[Peso]]/2,0))</f>
        <v>3</v>
      </c>
      <c r="Q141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16" s="53" t="s">
        <v>187</v>
      </c>
      <c r="S1416" s="56" t="s">
        <v>128</v>
      </c>
    </row>
    <row r="1417" spans="8:19" ht="37.799999999999997" customHeight="1" x14ac:dyDescent="0.3">
      <c r="H1417" s="32" t="s">
        <v>69</v>
      </c>
      <c r="I1417" s="33" t="s">
        <v>12</v>
      </c>
      <c r="J1417" s="34" t="s">
        <v>13</v>
      </c>
      <c r="K1417" s="35" t="s">
        <v>0</v>
      </c>
      <c r="L1417" s="33"/>
      <c r="M1417" s="33"/>
      <c r="N1417" s="36"/>
      <c r="O1417" s="33">
        <v>2</v>
      </c>
      <c r="P1417" s="33">
        <f>IF(Tabela1[[#This Row],[Status]]="✔️",Tabela1[[#This Row],[Peso]],IF(Tabela1[[#This Row],[Status]]="✔️✔️",Tabela1[[#This Row],[Peso]]/2,0))</f>
        <v>2</v>
      </c>
      <c r="Q141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417" s="53" t="s">
        <v>187</v>
      </c>
      <c r="S1417" s="56" t="s">
        <v>128</v>
      </c>
    </row>
    <row r="1418" spans="8:19" ht="37.799999999999997" customHeight="1" x14ac:dyDescent="0.3">
      <c r="H1418" s="32" t="s">
        <v>69</v>
      </c>
      <c r="I1418" s="33" t="s">
        <v>17</v>
      </c>
      <c r="J1418" s="34" t="s">
        <v>18</v>
      </c>
      <c r="K1418" s="35" t="s">
        <v>0</v>
      </c>
      <c r="L1418" s="33"/>
      <c r="M1418" s="33"/>
      <c r="N1418" s="36"/>
      <c r="O1418" s="33">
        <v>3</v>
      </c>
      <c r="P1418" s="33">
        <f>IF(Tabela1[[#This Row],[Status]]="✔️",Tabela1[[#This Row],[Peso]],IF(Tabela1[[#This Row],[Status]]="✔️✔️",Tabela1[[#This Row],[Peso]]/2,0))</f>
        <v>3</v>
      </c>
      <c r="Q141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18" s="53" t="s">
        <v>187</v>
      </c>
      <c r="S1418" s="56" t="s">
        <v>128</v>
      </c>
    </row>
    <row r="1419" spans="8:19" ht="37.799999999999997" customHeight="1" x14ac:dyDescent="0.3">
      <c r="H1419" s="32" t="s">
        <v>69</v>
      </c>
      <c r="I1419" s="33" t="s">
        <v>17</v>
      </c>
      <c r="J1419" s="34" t="s">
        <v>19</v>
      </c>
      <c r="K1419" s="35" t="s">
        <v>290</v>
      </c>
      <c r="L1419" s="33" t="s">
        <v>381</v>
      </c>
      <c r="M1419" s="33">
        <v>4817</v>
      </c>
      <c r="N1419" s="36"/>
      <c r="O1419" s="33">
        <v>1</v>
      </c>
      <c r="P1419" s="33">
        <f>IF(Tabela1[[#This Row],[Status]]="✔️",Tabela1[[#This Row],[Peso]],IF(Tabela1[[#This Row],[Status]]="✔️✔️",Tabela1[[#This Row],[Peso]]/2,0))</f>
        <v>0</v>
      </c>
      <c r="Q141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419" s="53" t="s">
        <v>187</v>
      </c>
      <c r="S1419" s="56" t="s">
        <v>128</v>
      </c>
    </row>
    <row r="1420" spans="8:19" ht="37.799999999999997" customHeight="1" x14ac:dyDescent="0.3">
      <c r="H1420" s="32" t="s">
        <v>69</v>
      </c>
      <c r="I1420" s="33" t="s">
        <v>20</v>
      </c>
      <c r="J1420" s="34" t="s">
        <v>21</v>
      </c>
      <c r="K1420" s="35" t="s">
        <v>0</v>
      </c>
      <c r="L1420" s="33"/>
      <c r="M1420" s="33"/>
      <c r="N1420" s="36"/>
      <c r="O1420" s="33">
        <v>3</v>
      </c>
      <c r="P1420" s="33">
        <f>IF(Tabela1[[#This Row],[Status]]="✔️",Tabela1[[#This Row],[Peso]],IF(Tabela1[[#This Row],[Status]]="✔️✔️",Tabela1[[#This Row],[Peso]]/2,0))</f>
        <v>3</v>
      </c>
      <c r="Q142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20" s="53" t="s">
        <v>187</v>
      </c>
      <c r="S1420" s="56" t="s">
        <v>128</v>
      </c>
    </row>
    <row r="1421" spans="8:19" ht="37.799999999999997" customHeight="1" x14ac:dyDescent="0.3">
      <c r="H1421" s="32" t="s">
        <v>69</v>
      </c>
      <c r="I1421" s="33" t="s">
        <v>20</v>
      </c>
      <c r="J1421" s="34" t="s">
        <v>452</v>
      </c>
      <c r="K1421" s="35" t="s">
        <v>291</v>
      </c>
      <c r="L1421" s="33" t="s">
        <v>174</v>
      </c>
      <c r="M1421" s="33">
        <v>9524</v>
      </c>
      <c r="N1421" s="36"/>
      <c r="O1421" s="33">
        <v>1</v>
      </c>
      <c r="P1421" s="33">
        <f>IF(Tabela1[[#This Row],[Status]]="✔️",Tabela1[[#This Row],[Peso]],IF(Tabela1[[#This Row],[Status]]="✔️✔️",Tabela1[[#This Row],[Peso]]/2,0))</f>
        <v>0.5</v>
      </c>
      <c r="Q1421" s="33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1421" s="53" t="s">
        <v>187</v>
      </c>
      <c r="S1421" s="56" t="s">
        <v>128</v>
      </c>
    </row>
    <row r="1422" spans="8:19" ht="37.799999999999997" customHeight="1" x14ac:dyDescent="0.3">
      <c r="H1422" s="32" t="s">
        <v>69</v>
      </c>
      <c r="I1422" s="33" t="s">
        <v>22</v>
      </c>
      <c r="J1422" s="34" t="s">
        <v>23</v>
      </c>
      <c r="K1422" s="35" t="s">
        <v>0</v>
      </c>
      <c r="L1422" s="33"/>
      <c r="M1422" s="33"/>
      <c r="N1422" s="36"/>
      <c r="O1422" s="33">
        <v>1</v>
      </c>
      <c r="P1422" s="33">
        <f>IF(Tabela1[[#This Row],[Status]]="✔️",Tabela1[[#This Row],[Peso]],IF(Tabela1[[#This Row],[Status]]="✔️✔️",Tabela1[[#This Row],[Peso]]/2,0))</f>
        <v>1</v>
      </c>
      <c r="Q142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422" s="53" t="s">
        <v>187</v>
      </c>
      <c r="S1422" s="56" t="s">
        <v>128</v>
      </c>
    </row>
    <row r="1423" spans="8:19" ht="37.799999999999997" customHeight="1" x14ac:dyDescent="0.3">
      <c r="H1423" s="32" t="s">
        <v>69</v>
      </c>
      <c r="I1423" s="33" t="s">
        <v>22</v>
      </c>
      <c r="J1423" s="34" t="s">
        <v>453</v>
      </c>
      <c r="K1423" s="35" t="s">
        <v>0</v>
      </c>
      <c r="L1423" s="33"/>
      <c r="M1423" s="33"/>
      <c r="N1423" s="36"/>
      <c r="O1423" s="33">
        <v>1</v>
      </c>
      <c r="P1423" s="33">
        <f>IF(Tabela1[[#This Row],[Status]]="✔️",Tabela1[[#This Row],[Peso]],IF(Tabela1[[#This Row],[Status]]="✔️✔️",Tabela1[[#This Row],[Peso]]/2,0))</f>
        <v>1</v>
      </c>
      <c r="Q142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423" s="53" t="s">
        <v>187</v>
      </c>
      <c r="S1423" s="56" t="s">
        <v>128</v>
      </c>
    </row>
    <row r="1424" spans="8:19" ht="37.799999999999997" customHeight="1" x14ac:dyDescent="0.3">
      <c r="H1424" s="32" t="s">
        <v>69</v>
      </c>
      <c r="I1424" s="33" t="s">
        <v>25</v>
      </c>
      <c r="J1424" s="34" t="s">
        <v>454</v>
      </c>
      <c r="K1424" s="35" t="s">
        <v>0</v>
      </c>
      <c r="L1424" s="33"/>
      <c r="M1424" s="33"/>
      <c r="N1424" s="36"/>
      <c r="O1424" s="33">
        <v>3</v>
      </c>
      <c r="P1424" s="33">
        <f>IF(Tabela1[[#This Row],[Status]]="✔️",Tabela1[[#This Row],[Peso]],IF(Tabela1[[#This Row],[Status]]="✔️✔️",Tabela1[[#This Row],[Peso]]/2,0))</f>
        <v>3</v>
      </c>
      <c r="Q142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24" s="53" t="s">
        <v>187</v>
      </c>
      <c r="S1424" s="56" t="s">
        <v>128</v>
      </c>
    </row>
    <row r="1425" spans="8:19" ht="37.799999999999997" customHeight="1" x14ac:dyDescent="0.3">
      <c r="H1425" s="32" t="s">
        <v>69</v>
      </c>
      <c r="I1425" s="33" t="s">
        <v>25</v>
      </c>
      <c r="J1425" s="34" t="s">
        <v>320</v>
      </c>
      <c r="K1425" s="35" t="s">
        <v>0</v>
      </c>
      <c r="L1425" s="33"/>
      <c r="M1425" s="33"/>
      <c r="N1425" s="36"/>
      <c r="O1425" s="33">
        <v>3</v>
      </c>
      <c r="P1425" s="33">
        <f>IF(Tabela1[[#This Row],[Status]]="✔️",Tabela1[[#This Row],[Peso]],IF(Tabela1[[#This Row],[Status]]="✔️✔️",Tabela1[[#This Row],[Peso]]/2,0))</f>
        <v>3</v>
      </c>
      <c r="Q142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25" s="53" t="s">
        <v>187</v>
      </c>
      <c r="S1425" s="56" t="s">
        <v>128</v>
      </c>
    </row>
    <row r="1426" spans="8:19" ht="37.799999999999997" customHeight="1" x14ac:dyDescent="0.3">
      <c r="H1426" s="32" t="s">
        <v>69</v>
      </c>
      <c r="I1426" s="33" t="s">
        <v>30</v>
      </c>
      <c r="J1426" s="34" t="s">
        <v>455</v>
      </c>
      <c r="K1426" s="35" t="s">
        <v>0</v>
      </c>
      <c r="L1426" s="33"/>
      <c r="M1426" s="33"/>
      <c r="N1426" s="36"/>
      <c r="O1426" s="33">
        <v>3</v>
      </c>
      <c r="P1426" s="33">
        <f>IF(Tabela1[[#This Row],[Status]]="✔️",Tabela1[[#This Row],[Peso]],IF(Tabela1[[#This Row],[Status]]="✔️✔️",Tabela1[[#This Row],[Peso]]/2,0))</f>
        <v>3</v>
      </c>
      <c r="Q142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26" s="53" t="s">
        <v>187</v>
      </c>
      <c r="S1426" s="56" t="s">
        <v>128</v>
      </c>
    </row>
    <row r="1427" spans="8:19" ht="37.799999999999997" customHeight="1" x14ac:dyDescent="0.3">
      <c r="H1427" s="32" t="s">
        <v>69</v>
      </c>
      <c r="I1427" s="33" t="s">
        <v>25</v>
      </c>
      <c r="J1427" s="34" t="s">
        <v>456</v>
      </c>
      <c r="K1427" s="35" t="s">
        <v>0</v>
      </c>
      <c r="L1427" s="33"/>
      <c r="M1427" s="33"/>
      <c r="N1427" s="36"/>
      <c r="O1427" s="33">
        <v>3</v>
      </c>
      <c r="P1427" s="33">
        <f>IF(Tabela1[[#This Row],[Status]]="✔️",Tabela1[[#This Row],[Peso]],IF(Tabela1[[#This Row],[Status]]="✔️✔️",Tabela1[[#This Row],[Peso]]/2,0))</f>
        <v>3</v>
      </c>
      <c r="Q142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27" s="53" t="s">
        <v>187</v>
      </c>
      <c r="S1427" s="56" t="s">
        <v>128</v>
      </c>
    </row>
    <row r="1428" spans="8:19" ht="37.799999999999997" customHeight="1" x14ac:dyDescent="0.3">
      <c r="H1428" s="32" t="s">
        <v>69</v>
      </c>
      <c r="I1428" s="33" t="s">
        <v>41</v>
      </c>
      <c r="J1428" s="34" t="s">
        <v>457</v>
      </c>
      <c r="K1428" s="35" t="s">
        <v>290</v>
      </c>
      <c r="L1428" s="33" t="s">
        <v>236</v>
      </c>
      <c r="M1428" s="33">
        <v>9106</v>
      </c>
      <c r="N1428" s="36"/>
      <c r="O1428" s="33">
        <v>3</v>
      </c>
      <c r="P1428" s="33">
        <f>IF(Tabela1[[#This Row],[Status]]="✔️",Tabela1[[#This Row],[Peso]],IF(Tabela1[[#This Row],[Status]]="✔️✔️",Tabela1[[#This Row],[Peso]]/2,0))</f>
        <v>0</v>
      </c>
      <c r="Q142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28" s="53" t="s">
        <v>187</v>
      </c>
      <c r="S1428" s="56" t="s">
        <v>128</v>
      </c>
    </row>
    <row r="1429" spans="8:19" ht="37.799999999999997" customHeight="1" x14ac:dyDescent="0.3">
      <c r="H1429" s="32" t="s">
        <v>69</v>
      </c>
      <c r="I1429" s="53" t="s">
        <v>41</v>
      </c>
      <c r="J1429" s="57" t="s">
        <v>458</v>
      </c>
      <c r="K1429" s="54" t="s">
        <v>290</v>
      </c>
      <c r="L1429" s="53" t="s">
        <v>236</v>
      </c>
      <c r="M1429" s="53">
        <v>9106</v>
      </c>
      <c r="N1429" s="55"/>
      <c r="O1429" s="53">
        <v>2</v>
      </c>
      <c r="P1429" s="33">
        <f>IF(Tabela1[[#This Row],[Status]]="✔️",Tabela1[[#This Row],[Peso]],IF(Tabela1[[#This Row],[Status]]="✔️✔️",Tabela1[[#This Row],[Peso]]/2,0))</f>
        <v>0</v>
      </c>
      <c r="Q142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429" s="53" t="s">
        <v>187</v>
      </c>
      <c r="S1429" s="56" t="s">
        <v>128</v>
      </c>
    </row>
    <row r="1430" spans="8:19" ht="40.200000000000003" customHeight="1" x14ac:dyDescent="0.3">
      <c r="H1430" s="32" t="s">
        <v>55</v>
      </c>
      <c r="I1430" s="33" t="s">
        <v>14</v>
      </c>
      <c r="J1430" s="34" t="s">
        <v>15</v>
      </c>
      <c r="K1430" s="35" t="s">
        <v>0</v>
      </c>
      <c r="L1430" s="33"/>
      <c r="M1430" s="33"/>
      <c r="N1430" s="36"/>
      <c r="O1430" s="33">
        <v>3</v>
      </c>
      <c r="P1430" s="33">
        <f>IF(Tabela1[[#This Row],[Status]]="✔️",Tabela1[[#This Row],[Peso]],IF(Tabela1[[#This Row],[Status]]="✔️✔️",Tabela1[[#This Row],[Peso]]/2,0))</f>
        <v>3</v>
      </c>
      <c r="Q143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30" s="53" t="s">
        <v>187</v>
      </c>
      <c r="S1430" s="56" t="s">
        <v>128</v>
      </c>
    </row>
    <row r="1431" spans="8:19" ht="40.200000000000003" customHeight="1" x14ac:dyDescent="0.3">
      <c r="H1431" s="32" t="s">
        <v>55</v>
      </c>
      <c r="I1431" s="33" t="s">
        <v>14</v>
      </c>
      <c r="J1431" s="34" t="s">
        <v>16</v>
      </c>
      <c r="K1431" s="35" t="s">
        <v>0</v>
      </c>
      <c r="L1431" s="33"/>
      <c r="M1431" s="33"/>
      <c r="N1431" s="36"/>
      <c r="O1431" s="33">
        <v>1</v>
      </c>
      <c r="P1431" s="33">
        <f>IF(Tabela1[[#This Row],[Status]]="✔️",Tabela1[[#This Row],[Peso]],IF(Tabela1[[#This Row],[Status]]="✔️✔️",Tabela1[[#This Row],[Peso]]/2,0))</f>
        <v>1</v>
      </c>
      <c r="Q143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431" s="53" t="s">
        <v>187</v>
      </c>
      <c r="S1431" s="56" t="s">
        <v>128</v>
      </c>
    </row>
    <row r="1432" spans="8:19" ht="40.200000000000003" customHeight="1" x14ac:dyDescent="0.3">
      <c r="H1432" s="32" t="s">
        <v>55</v>
      </c>
      <c r="I1432" s="33" t="s">
        <v>10</v>
      </c>
      <c r="J1432" s="34" t="s">
        <v>11</v>
      </c>
      <c r="K1432" s="35" t="s">
        <v>0</v>
      </c>
      <c r="L1432" s="33"/>
      <c r="M1432" s="33"/>
      <c r="N1432" s="36"/>
      <c r="O1432" s="33">
        <v>3</v>
      </c>
      <c r="P1432" s="33">
        <f>IF(Tabela1[[#This Row],[Status]]="✔️",Tabela1[[#This Row],[Peso]],IF(Tabela1[[#This Row],[Status]]="✔️✔️",Tabela1[[#This Row],[Peso]]/2,0))</f>
        <v>3</v>
      </c>
      <c r="Q143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32" s="53" t="s">
        <v>187</v>
      </c>
      <c r="S1432" s="56" t="s">
        <v>128</v>
      </c>
    </row>
    <row r="1433" spans="8:19" ht="40.200000000000003" customHeight="1" x14ac:dyDescent="0.3">
      <c r="H1433" s="32" t="s">
        <v>55</v>
      </c>
      <c r="I1433" s="33" t="s">
        <v>10</v>
      </c>
      <c r="J1433" s="34" t="s">
        <v>316</v>
      </c>
      <c r="K1433" s="35" t="s">
        <v>0</v>
      </c>
      <c r="L1433" s="33"/>
      <c r="M1433" s="33"/>
      <c r="N1433" s="36"/>
      <c r="O1433" s="33">
        <v>3</v>
      </c>
      <c r="P1433" s="33">
        <f>IF(Tabela1[[#This Row],[Status]]="✔️",Tabela1[[#This Row],[Peso]],IF(Tabela1[[#This Row],[Status]]="✔️✔️",Tabela1[[#This Row],[Peso]]/2,0))</f>
        <v>3</v>
      </c>
      <c r="Q143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33" s="53" t="s">
        <v>187</v>
      </c>
      <c r="S1433" s="56" t="s">
        <v>128</v>
      </c>
    </row>
    <row r="1434" spans="8:19" ht="40.200000000000003" customHeight="1" x14ac:dyDescent="0.3">
      <c r="H1434" s="32" t="s">
        <v>55</v>
      </c>
      <c r="I1434" s="33" t="s">
        <v>10</v>
      </c>
      <c r="J1434" s="34" t="s">
        <v>450</v>
      </c>
      <c r="K1434" s="35" t="s">
        <v>291</v>
      </c>
      <c r="L1434" s="33" t="s">
        <v>157</v>
      </c>
      <c r="M1434" s="33">
        <v>8967</v>
      </c>
      <c r="N1434" s="36"/>
      <c r="O1434" s="33">
        <v>3</v>
      </c>
      <c r="P1434" s="33">
        <f>IF(Tabela1[[#This Row],[Status]]="✔️",Tabela1[[#This Row],[Peso]],IF(Tabela1[[#This Row],[Status]]="✔️✔️",Tabela1[[#This Row],[Peso]]/2,0))</f>
        <v>1.5</v>
      </c>
      <c r="Q1434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434" s="53" t="s">
        <v>187</v>
      </c>
      <c r="S1434" s="56" t="s">
        <v>128</v>
      </c>
    </row>
    <row r="1435" spans="8:19" ht="40.200000000000003" customHeight="1" x14ac:dyDescent="0.3">
      <c r="H1435" s="32" t="s">
        <v>55</v>
      </c>
      <c r="I1435" s="33" t="s">
        <v>10</v>
      </c>
      <c r="J1435" s="34" t="s">
        <v>451</v>
      </c>
      <c r="K1435" s="35" t="s">
        <v>1</v>
      </c>
      <c r="L1435" s="33"/>
      <c r="M1435" s="33"/>
      <c r="N1435" s="36"/>
      <c r="O1435" s="33">
        <v>3</v>
      </c>
      <c r="P1435" s="33">
        <f>IF(Tabela1[[#This Row],[Status]]="✔️",Tabela1[[#This Row],[Peso]],IF(Tabela1[[#This Row],[Status]]="✔️✔️",Tabela1[[#This Row],[Peso]]/2,0))</f>
        <v>0</v>
      </c>
      <c r="Q143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35" s="53" t="s">
        <v>187</v>
      </c>
      <c r="S1435" s="56" t="s">
        <v>128</v>
      </c>
    </row>
    <row r="1436" spans="8:19" ht="40.200000000000003" customHeight="1" x14ac:dyDescent="0.3">
      <c r="H1436" s="32" t="s">
        <v>55</v>
      </c>
      <c r="I1436" s="33" t="s">
        <v>12</v>
      </c>
      <c r="J1436" s="34" t="s">
        <v>13</v>
      </c>
      <c r="K1436" s="35" t="s">
        <v>1</v>
      </c>
      <c r="L1436" s="33"/>
      <c r="M1436" s="33"/>
      <c r="N1436" s="36"/>
      <c r="O1436" s="33">
        <v>2</v>
      </c>
      <c r="P1436" s="33">
        <f>IF(Tabela1[[#This Row],[Status]]="✔️",Tabela1[[#This Row],[Peso]],IF(Tabela1[[#This Row],[Status]]="✔️✔️",Tabela1[[#This Row],[Peso]]/2,0))</f>
        <v>0</v>
      </c>
      <c r="Q143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36" s="53" t="s">
        <v>187</v>
      </c>
      <c r="S1436" s="56" t="s">
        <v>128</v>
      </c>
    </row>
    <row r="1437" spans="8:19" ht="40.200000000000003" customHeight="1" x14ac:dyDescent="0.3">
      <c r="H1437" s="32" t="s">
        <v>55</v>
      </c>
      <c r="I1437" s="33" t="s">
        <v>17</v>
      </c>
      <c r="J1437" s="34" t="s">
        <v>18</v>
      </c>
      <c r="K1437" s="35" t="s">
        <v>0</v>
      </c>
      <c r="L1437" s="33"/>
      <c r="M1437" s="33"/>
      <c r="N1437" s="36"/>
      <c r="O1437" s="33">
        <v>3</v>
      </c>
      <c r="P1437" s="33">
        <f>IF(Tabela1[[#This Row],[Status]]="✔️",Tabela1[[#This Row],[Peso]],IF(Tabela1[[#This Row],[Status]]="✔️✔️",Tabela1[[#This Row],[Peso]]/2,0))</f>
        <v>3</v>
      </c>
      <c r="Q143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37" s="53" t="s">
        <v>187</v>
      </c>
      <c r="S1437" s="56" t="s">
        <v>128</v>
      </c>
    </row>
    <row r="1438" spans="8:19" ht="40.200000000000003" customHeight="1" x14ac:dyDescent="0.3">
      <c r="H1438" s="32" t="s">
        <v>55</v>
      </c>
      <c r="I1438" s="33" t="s">
        <v>17</v>
      </c>
      <c r="J1438" s="34" t="s">
        <v>19</v>
      </c>
      <c r="K1438" s="35" t="s">
        <v>291</v>
      </c>
      <c r="L1438" s="33" t="s">
        <v>166</v>
      </c>
      <c r="M1438" s="33">
        <v>3930</v>
      </c>
      <c r="N1438" s="36"/>
      <c r="O1438" s="33">
        <v>1</v>
      </c>
      <c r="P1438" s="33">
        <f>IF(Tabela1[[#This Row],[Status]]="✔️",Tabela1[[#This Row],[Peso]],IF(Tabela1[[#This Row],[Status]]="✔️✔️",Tabela1[[#This Row],[Peso]]/2,0))</f>
        <v>0.5</v>
      </c>
      <c r="Q1438" s="33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1438" s="53" t="s">
        <v>187</v>
      </c>
      <c r="S1438" s="56" t="s">
        <v>128</v>
      </c>
    </row>
    <row r="1439" spans="8:19" ht="40.200000000000003" customHeight="1" x14ac:dyDescent="0.3">
      <c r="H1439" s="32" t="s">
        <v>55</v>
      </c>
      <c r="I1439" s="33" t="s">
        <v>20</v>
      </c>
      <c r="J1439" s="34" t="s">
        <v>21</v>
      </c>
      <c r="K1439" s="35" t="s">
        <v>1</v>
      </c>
      <c r="L1439" s="33"/>
      <c r="M1439" s="33"/>
      <c r="N1439" s="36"/>
      <c r="O1439" s="33">
        <v>3</v>
      </c>
      <c r="P1439" s="33">
        <f>IF(Tabela1[[#This Row],[Status]]="✔️",Tabela1[[#This Row],[Peso]],IF(Tabela1[[#This Row],[Status]]="✔️✔️",Tabela1[[#This Row],[Peso]]/2,0))</f>
        <v>0</v>
      </c>
      <c r="Q143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39" s="53" t="s">
        <v>187</v>
      </c>
      <c r="S1439" s="56" t="s">
        <v>128</v>
      </c>
    </row>
    <row r="1440" spans="8:19" ht="40.200000000000003" customHeight="1" x14ac:dyDescent="0.3">
      <c r="H1440" s="32" t="s">
        <v>55</v>
      </c>
      <c r="I1440" s="33" t="s">
        <v>20</v>
      </c>
      <c r="J1440" s="34" t="s">
        <v>452</v>
      </c>
      <c r="K1440" s="35" t="s">
        <v>0</v>
      </c>
      <c r="L1440" s="33"/>
      <c r="M1440" s="33"/>
      <c r="N1440" s="36"/>
      <c r="O1440" s="33">
        <v>1</v>
      </c>
      <c r="P1440" s="33">
        <f>IF(Tabela1[[#This Row],[Status]]="✔️",Tabela1[[#This Row],[Peso]],IF(Tabela1[[#This Row],[Status]]="✔️✔️",Tabela1[[#This Row],[Peso]]/2,0))</f>
        <v>1</v>
      </c>
      <c r="Q144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440" s="53" t="s">
        <v>187</v>
      </c>
      <c r="S1440" s="56" t="s">
        <v>128</v>
      </c>
    </row>
    <row r="1441" spans="8:19" ht="40.200000000000003" customHeight="1" x14ac:dyDescent="0.3">
      <c r="H1441" s="32" t="s">
        <v>55</v>
      </c>
      <c r="I1441" s="33" t="s">
        <v>22</v>
      </c>
      <c r="J1441" s="34" t="s">
        <v>23</v>
      </c>
      <c r="K1441" s="35" t="s">
        <v>1</v>
      </c>
      <c r="L1441" s="33"/>
      <c r="M1441" s="33"/>
      <c r="N1441" s="36"/>
      <c r="O1441" s="33">
        <v>1</v>
      </c>
      <c r="P1441" s="33">
        <f>IF(Tabela1[[#This Row],[Status]]="✔️",Tabela1[[#This Row],[Peso]],IF(Tabela1[[#This Row],[Status]]="✔️✔️",Tabela1[[#This Row],[Peso]]/2,0))</f>
        <v>0</v>
      </c>
      <c r="Q144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41" s="53" t="s">
        <v>187</v>
      </c>
      <c r="S1441" s="56" t="s">
        <v>128</v>
      </c>
    </row>
    <row r="1442" spans="8:19" ht="40.200000000000003" customHeight="1" x14ac:dyDescent="0.3">
      <c r="H1442" s="33" t="s">
        <v>55</v>
      </c>
      <c r="I1442" s="33" t="s">
        <v>22</v>
      </c>
      <c r="J1442" s="34" t="s">
        <v>453</v>
      </c>
      <c r="K1442" s="35" t="s">
        <v>1</v>
      </c>
      <c r="L1442" s="33"/>
      <c r="M1442" s="33"/>
      <c r="N1442" s="36"/>
      <c r="O1442" s="33">
        <v>1</v>
      </c>
      <c r="P1442" s="33">
        <f>IF(Tabela1[[#This Row],[Status]]="✔️",Tabela1[[#This Row],[Peso]],IF(Tabela1[[#This Row],[Status]]="✔️✔️",Tabela1[[#This Row],[Peso]]/2,0))</f>
        <v>0</v>
      </c>
      <c r="Q144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42" s="33" t="s">
        <v>187</v>
      </c>
      <c r="S1442" s="33" t="s">
        <v>128</v>
      </c>
    </row>
    <row r="1443" spans="8:19" ht="40.200000000000003" customHeight="1" x14ac:dyDescent="0.3">
      <c r="H1443" s="33" t="s">
        <v>55</v>
      </c>
      <c r="I1443" s="33" t="s">
        <v>25</v>
      </c>
      <c r="J1443" s="34" t="s">
        <v>454</v>
      </c>
      <c r="K1443" s="35" t="s">
        <v>290</v>
      </c>
      <c r="L1443" s="33" t="s">
        <v>226</v>
      </c>
      <c r="M1443" s="33">
        <v>3445</v>
      </c>
      <c r="N1443" s="36"/>
      <c r="O1443" s="33">
        <v>3</v>
      </c>
      <c r="P1443" s="33">
        <f>IF(Tabela1[[#This Row],[Status]]="✔️",Tabela1[[#This Row],[Peso]],IF(Tabela1[[#This Row],[Status]]="✔️✔️",Tabela1[[#This Row],[Peso]]/2,0))</f>
        <v>0</v>
      </c>
      <c r="Q144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43" s="33" t="s">
        <v>187</v>
      </c>
      <c r="S1443" s="33" t="s">
        <v>128</v>
      </c>
    </row>
    <row r="1444" spans="8:19" ht="40.200000000000003" customHeight="1" x14ac:dyDescent="0.3">
      <c r="H1444" s="33" t="s">
        <v>55</v>
      </c>
      <c r="I1444" s="33" t="s">
        <v>25</v>
      </c>
      <c r="J1444" s="34" t="s">
        <v>320</v>
      </c>
      <c r="K1444" s="35" t="s">
        <v>1</v>
      </c>
      <c r="L1444" s="33"/>
      <c r="M1444" s="33"/>
      <c r="N1444" s="36"/>
      <c r="O1444" s="33">
        <v>3</v>
      </c>
      <c r="P1444" s="33">
        <f>IF(Tabela1[[#This Row],[Status]]="✔️",Tabela1[[#This Row],[Peso]],IF(Tabela1[[#This Row],[Status]]="✔️✔️",Tabela1[[#This Row],[Peso]]/2,0))</f>
        <v>0</v>
      </c>
      <c r="Q144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44" s="33" t="s">
        <v>187</v>
      </c>
      <c r="S1444" s="33" t="s">
        <v>128</v>
      </c>
    </row>
    <row r="1445" spans="8:19" ht="40.200000000000003" customHeight="1" x14ac:dyDescent="0.3">
      <c r="H1445" s="33" t="s">
        <v>55</v>
      </c>
      <c r="I1445" s="33" t="s">
        <v>30</v>
      </c>
      <c r="J1445" s="34" t="s">
        <v>455</v>
      </c>
      <c r="K1445" s="35" t="s">
        <v>0</v>
      </c>
      <c r="L1445" s="33"/>
      <c r="M1445" s="33"/>
      <c r="N1445" s="36"/>
      <c r="O1445" s="33">
        <v>3</v>
      </c>
      <c r="P1445" s="33">
        <f>IF(Tabela1[[#This Row],[Status]]="✔️",Tabela1[[#This Row],[Peso]],IF(Tabela1[[#This Row],[Status]]="✔️✔️",Tabela1[[#This Row],[Peso]]/2,0))</f>
        <v>3</v>
      </c>
      <c r="Q144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45" s="33" t="s">
        <v>187</v>
      </c>
      <c r="S1445" s="33" t="s">
        <v>128</v>
      </c>
    </row>
    <row r="1446" spans="8:19" ht="40.200000000000003" customHeight="1" x14ac:dyDescent="0.3">
      <c r="H1446" s="33" t="s">
        <v>55</v>
      </c>
      <c r="I1446" s="33" t="s">
        <v>25</v>
      </c>
      <c r="J1446" s="34" t="s">
        <v>456</v>
      </c>
      <c r="K1446" s="35" t="s">
        <v>290</v>
      </c>
      <c r="L1446" s="33" t="s">
        <v>430</v>
      </c>
      <c r="M1446" s="33">
        <v>1753</v>
      </c>
      <c r="N1446" s="36"/>
      <c r="O1446" s="33">
        <v>3</v>
      </c>
      <c r="P1446" s="33">
        <f>IF(Tabela1[[#This Row],[Status]]="✔️",Tabela1[[#This Row],[Peso]],IF(Tabela1[[#This Row],[Status]]="✔️✔️",Tabela1[[#This Row],[Peso]]/2,0))</f>
        <v>0</v>
      </c>
      <c r="Q144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46" s="33" t="s">
        <v>187</v>
      </c>
      <c r="S1446" s="33" t="s">
        <v>128</v>
      </c>
    </row>
    <row r="1447" spans="8:19" ht="40.200000000000003" customHeight="1" x14ac:dyDescent="0.3">
      <c r="H1447" s="33" t="s">
        <v>55</v>
      </c>
      <c r="I1447" s="33" t="s">
        <v>41</v>
      </c>
      <c r="J1447" s="34" t="s">
        <v>457</v>
      </c>
      <c r="K1447" s="35" t="s">
        <v>1</v>
      </c>
      <c r="L1447" s="33"/>
      <c r="M1447" s="33"/>
      <c r="N1447" s="36"/>
      <c r="O1447" s="33">
        <v>3</v>
      </c>
      <c r="P1447" s="33">
        <f>IF(Tabela1[[#This Row],[Status]]="✔️",Tabela1[[#This Row],[Peso]],IF(Tabela1[[#This Row],[Status]]="✔️✔️",Tabela1[[#This Row],[Peso]]/2,0))</f>
        <v>0</v>
      </c>
      <c r="Q144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47" s="33" t="s">
        <v>187</v>
      </c>
      <c r="S1447" s="33" t="s">
        <v>128</v>
      </c>
    </row>
    <row r="1448" spans="8:19" ht="40.200000000000003" customHeight="1" x14ac:dyDescent="0.3">
      <c r="H1448" s="33" t="s">
        <v>55</v>
      </c>
      <c r="I1448" s="33" t="s">
        <v>41</v>
      </c>
      <c r="J1448" s="34" t="s">
        <v>458</v>
      </c>
      <c r="K1448" s="35" t="s">
        <v>1</v>
      </c>
      <c r="L1448" s="33"/>
      <c r="M1448" s="33"/>
      <c r="N1448" s="36"/>
      <c r="O1448" s="33">
        <v>2</v>
      </c>
      <c r="P1448" s="33">
        <f>IF(Tabela1[[#This Row],[Status]]="✔️",Tabela1[[#This Row],[Peso]],IF(Tabela1[[#This Row],[Status]]="✔️✔️",Tabela1[[#This Row],[Peso]]/2,0))</f>
        <v>0</v>
      </c>
      <c r="Q144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48" s="33" t="s">
        <v>187</v>
      </c>
      <c r="S1448" s="33" t="s">
        <v>128</v>
      </c>
    </row>
    <row r="1449" spans="8:19" ht="43.8" customHeight="1" x14ac:dyDescent="0.3">
      <c r="H1449" s="32" t="s">
        <v>56</v>
      </c>
      <c r="I1449" s="33" t="s">
        <v>14</v>
      </c>
      <c r="J1449" s="34" t="s">
        <v>15</v>
      </c>
      <c r="K1449" s="35" t="s">
        <v>291</v>
      </c>
      <c r="L1449" s="33" t="s">
        <v>231</v>
      </c>
      <c r="M1449" s="33">
        <v>4225</v>
      </c>
      <c r="N1449" s="36"/>
      <c r="O1449" s="33">
        <v>3</v>
      </c>
      <c r="P1449" s="33">
        <f>IF(Tabela1[[#This Row],[Status]]="✔️",Tabela1[[#This Row],[Peso]],IF(Tabela1[[#This Row],[Status]]="✔️✔️",Tabela1[[#This Row],[Peso]]/2,0))</f>
        <v>1.5</v>
      </c>
      <c r="Q1449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449" s="33" t="s">
        <v>187</v>
      </c>
      <c r="S1449" s="37" t="s">
        <v>128</v>
      </c>
    </row>
    <row r="1450" spans="8:19" ht="43.8" customHeight="1" x14ac:dyDescent="0.3">
      <c r="H1450" s="32" t="s">
        <v>56</v>
      </c>
      <c r="I1450" s="33" t="s">
        <v>14</v>
      </c>
      <c r="J1450" s="34" t="s">
        <v>16</v>
      </c>
      <c r="K1450" s="35" t="s">
        <v>0</v>
      </c>
      <c r="L1450" s="33"/>
      <c r="M1450" s="33"/>
      <c r="N1450" s="36"/>
      <c r="O1450" s="33">
        <v>1</v>
      </c>
      <c r="P1450" s="33">
        <f>IF(Tabela1[[#This Row],[Status]]="✔️",Tabela1[[#This Row],[Peso]],IF(Tabela1[[#This Row],[Status]]="✔️✔️",Tabela1[[#This Row],[Peso]]/2,0))</f>
        <v>1</v>
      </c>
      <c r="Q145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450" s="33" t="s">
        <v>187</v>
      </c>
      <c r="S1450" s="37" t="s">
        <v>128</v>
      </c>
    </row>
    <row r="1451" spans="8:19" ht="43.8" customHeight="1" x14ac:dyDescent="0.3">
      <c r="H1451" s="32" t="s">
        <v>56</v>
      </c>
      <c r="I1451" s="33" t="s">
        <v>10</v>
      </c>
      <c r="J1451" s="34" t="s">
        <v>11</v>
      </c>
      <c r="K1451" s="35" t="s">
        <v>0</v>
      </c>
      <c r="L1451" s="33"/>
      <c r="M1451" s="33"/>
      <c r="N1451" s="36"/>
      <c r="O1451" s="33">
        <v>3</v>
      </c>
      <c r="P1451" s="33">
        <f>IF(Tabela1[[#This Row],[Status]]="✔️",Tabela1[[#This Row],[Peso]],IF(Tabela1[[#This Row],[Status]]="✔️✔️",Tabela1[[#This Row],[Peso]]/2,0))</f>
        <v>3</v>
      </c>
      <c r="Q145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51" s="33" t="s">
        <v>187</v>
      </c>
      <c r="S1451" s="37" t="s">
        <v>128</v>
      </c>
    </row>
    <row r="1452" spans="8:19" ht="43.8" customHeight="1" x14ac:dyDescent="0.3">
      <c r="H1452" s="32" t="s">
        <v>56</v>
      </c>
      <c r="I1452" s="33" t="s">
        <v>10</v>
      </c>
      <c r="J1452" s="34" t="s">
        <v>316</v>
      </c>
      <c r="K1452" s="35" t="s">
        <v>0</v>
      </c>
      <c r="L1452" s="33"/>
      <c r="M1452" s="33"/>
      <c r="N1452" s="36"/>
      <c r="O1452" s="33">
        <v>3</v>
      </c>
      <c r="P1452" s="33">
        <f>IF(Tabela1[[#This Row],[Status]]="✔️",Tabela1[[#This Row],[Peso]],IF(Tabela1[[#This Row],[Status]]="✔️✔️",Tabela1[[#This Row],[Peso]]/2,0))</f>
        <v>3</v>
      </c>
      <c r="Q145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52" s="33" t="s">
        <v>187</v>
      </c>
      <c r="S1452" s="37" t="s">
        <v>128</v>
      </c>
    </row>
    <row r="1453" spans="8:19" ht="43.8" customHeight="1" x14ac:dyDescent="0.3">
      <c r="H1453" s="32" t="s">
        <v>56</v>
      </c>
      <c r="I1453" s="33" t="s">
        <v>10</v>
      </c>
      <c r="J1453" s="34" t="s">
        <v>450</v>
      </c>
      <c r="K1453" s="35" t="s">
        <v>290</v>
      </c>
      <c r="L1453" s="33" t="s">
        <v>157</v>
      </c>
      <c r="M1453" s="33">
        <v>8967</v>
      </c>
      <c r="N1453" s="36"/>
      <c r="O1453" s="33">
        <v>3</v>
      </c>
      <c r="P1453" s="33">
        <f>IF(Tabela1[[#This Row],[Status]]="✔️",Tabela1[[#This Row],[Peso]],IF(Tabela1[[#This Row],[Status]]="✔️✔️",Tabela1[[#This Row],[Peso]]/2,0))</f>
        <v>0</v>
      </c>
      <c r="Q145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53" s="33" t="s">
        <v>187</v>
      </c>
      <c r="S1453" s="37" t="s">
        <v>128</v>
      </c>
    </row>
    <row r="1454" spans="8:19" ht="43.8" customHeight="1" x14ac:dyDescent="0.3">
      <c r="H1454" s="32" t="s">
        <v>56</v>
      </c>
      <c r="I1454" s="33" t="s">
        <v>10</v>
      </c>
      <c r="J1454" s="34" t="s">
        <v>451</v>
      </c>
      <c r="K1454" s="35" t="s">
        <v>0</v>
      </c>
      <c r="L1454" s="33"/>
      <c r="M1454" s="33"/>
      <c r="N1454" s="36"/>
      <c r="O1454" s="33">
        <v>3</v>
      </c>
      <c r="P1454" s="33">
        <f>IF(Tabela1[[#This Row],[Status]]="✔️",Tabela1[[#This Row],[Peso]],IF(Tabela1[[#This Row],[Status]]="✔️✔️",Tabela1[[#This Row],[Peso]]/2,0))</f>
        <v>3</v>
      </c>
      <c r="Q145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54" s="33" t="s">
        <v>187</v>
      </c>
      <c r="S1454" s="37" t="s">
        <v>128</v>
      </c>
    </row>
    <row r="1455" spans="8:19" ht="43.8" customHeight="1" x14ac:dyDescent="0.3">
      <c r="H1455" s="32" t="s">
        <v>56</v>
      </c>
      <c r="I1455" s="33" t="s">
        <v>12</v>
      </c>
      <c r="J1455" s="34" t="s">
        <v>13</v>
      </c>
      <c r="K1455" s="35" t="s">
        <v>291</v>
      </c>
      <c r="L1455" s="33" t="s">
        <v>221</v>
      </c>
      <c r="M1455" s="33">
        <v>5178</v>
      </c>
      <c r="N1455" s="36"/>
      <c r="O1455" s="33">
        <v>2</v>
      </c>
      <c r="P1455" s="33">
        <f>IF(Tabela1[[#This Row],[Status]]="✔️",Tabela1[[#This Row],[Peso]],IF(Tabela1[[#This Row],[Status]]="✔️✔️",Tabela1[[#This Row],[Peso]]/2,0))</f>
        <v>1</v>
      </c>
      <c r="Q145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455" s="33" t="s">
        <v>187</v>
      </c>
      <c r="S1455" s="37" t="s">
        <v>128</v>
      </c>
    </row>
    <row r="1456" spans="8:19" ht="43.8" customHeight="1" x14ac:dyDescent="0.3">
      <c r="H1456" s="32" t="s">
        <v>56</v>
      </c>
      <c r="I1456" s="33" t="s">
        <v>17</v>
      </c>
      <c r="J1456" s="34" t="s">
        <v>18</v>
      </c>
      <c r="K1456" s="35" t="s">
        <v>0</v>
      </c>
      <c r="L1456" s="33"/>
      <c r="M1456" s="33"/>
      <c r="N1456" s="36"/>
      <c r="O1456" s="33">
        <v>3</v>
      </c>
      <c r="P1456" s="33">
        <f>IF(Tabela1[[#This Row],[Status]]="✔️",Tabela1[[#This Row],[Peso]],IF(Tabela1[[#This Row],[Status]]="✔️✔️",Tabela1[[#This Row],[Peso]]/2,0))</f>
        <v>3</v>
      </c>
      <c r="Q145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56" s="33" t="s">
        <v>187</v>
      </c>
      <c r="S1456" s="37" t="s">
        <v>128</v>
      </c>
    </row>
    <row r="1457" spans="8:19" ht="43.8" customHeight="1" x14ac:dyDescent="0.3">
      <c r="H1457" s="32" t="s">
        <v>56</v>
      </c>
      <c r="I1457" s="33" t="s">
        <v>17</v>
      </c>
      <c r="J1457" s="34" t="s">
        <v>384</v>
      </c>
      <c r="K1457" s="35" t="s">
        <v>291</v>
      </c>
      <c r="L1457" s="33" t="s">
        <v>232</v>
      </c>
      <c r="M1457" s="33">
        <v>2480</v>
      </c>
      <c r="N1457" s="36"/>
      <c r="O1457" s="33">
        <v>1</v>
      </c>
      <c r="P1457" s="33">
        <f>IF(Tabela1[[#This Row],[Status]]="✔️",Tabela1[[#This Row],[Peso]],IF(Tabela1[[#This Row],[Status]]="✔️✔️",Tabela1[[#This Row],[Peso]]/2,0))</f>
        <v>0.5</v>
      </c>
      <c r="Q1457" s="33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1457" s="33" t="s">
        <v>187</v>
      </c>
      <c r="S1457" s="37" t="s">
        <v>128</v>
      </c>
    </row>
    <row r="1458" spans="8:19" ht="43.8" customHeight="1" x14ac:dyDescent="0.3">
      <c r="H1458" s="32" t="s">
        <v>56</v>
      </c>
      <c r="I1458" s="33" t="s">
        <v>20</v>
      </c>
      <c r="J1458" s="34" t="s">
        <v>21</v>
      </c>
      <c r="K1458" s="35" t="s">
        <v>290</v>
      </c>
      <c r="L1458" s="33" t="s">
        <v>233</v>
      </c>
      <c r="M1458" s="33">
        <v>9552</v>
      </c>
      <c r="N1458" s="36"/>
      <c r="O1458" s="33">
        <v>3</v>
      </c>
      <c r="P1458" s="33">
        <f>IF(Tabela1[[#This Row],[Status]]="✔️",Tabela1[[#This Row],[Peso]],IF(Tabela1[[#This Row],[Status]]="✔️✔️",Tabela1[[#This Row],[Peso]]/2,0))</f>
        <v>0</v>
      </c>
      <c r="Q145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58" s="33" t="s">
        <v>187</v>
      </c>
      <c r="S1458" s="37" t="s">
        <v>128</v>
      </c>
    </row>
    <row r="1459" spans="8:19" ht="43.8" customHeight="1" x14ac:dyDescent="0.3">
      <c r="H1459" s="32" t="s">
        <v>56</v>
      </c>
      <c r="I1459" s="33" t="s">
        <v>20</v>
      </c>
      <c r="J1459" s="34" t="s">
        <v>452</v>
      </c>
      <c r="K1459" s="35" t="s">
        <v>291</v>
      </c>
      <c r="L1459" s="33" t="s">
        <v>234</v>
      </c>
      <c r="M1459" s="33">
        <v>7447</v>
      </c>
      <c r="N1459" s="36"/>
      <c r="O1459" s="33">
        <v>1</v>
      </c>
      <c r="P1459" s="33">
        <f>IF(Tabela1[[#This Row],[Status]]="✔️",Tabela1[[#This Row],[Peso]],IF(Tabela1[[#This Row],[Status]]="✔️✔️",Tabela1[[#This Row],[Peso]]/2,0))</f>
        <v>0.5</v>
      </c>
      <c r="Q1459" s="33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1459" s="33" t="s">
        <v>187</v>
      </c>
      <c r="S1459" s="37" t="s">
        <v>128</v>
      </c>
    </row>
    <row r="1460" spans="8:19" ht="43.8" customHeight="1" x14ac:dyDescent="0.3">
      <c r="H1460" s="32" t="s">
        <v>56</v>
      </c>
      <c r="I1460" s="33" t="s">
        <v>22</v>
      </c>
      <c r="J1460" s="34" t="s">
        <v>23</v>
      </c>
      <c r="K1460" s="35" t="s">
        <v>0</v>
      </c>
      <c r="L1460" s="33"/>
      <c r="M1460" s="33"/>
      <c r="N1460" s="36"/>
      <c r="O1460" s="33">
        <v>1</v>
      </c>
      <c r="P1460" s="33">
        <f>IF(Tabela1[[#This Row],[Status]]="✔️",Tabela1[[#This Row],[Peso]],IF(Tabela1[[#This Row],[Status]]="✔️✔️",Tabela1[[#This Row],[Peso]]/2,0))</f>
        <v>1</v>
      </c>
      <c r="Q146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460" s="33" t="s">
        <v>187</v>
      </c>
      <c r="S1460" s="37" t="s">
        <v>128</v>
      </c>
    </row>
    <row r="1461" spans="8:19" ht="43.8" customHeight="1" x14ac:dyDescent="0.3">
      <c r="H1461" s="32" t="s">
        <v>56</v>
      </c>
      <c r="I1461" s="33" t="s">
        <v>22</v>
      </c>
      <c r="J1461" s="34" t="s">
        <v>453</v>
      </c>
      <c r="K1461" s="35" t="s">
        <v>0</v>
      </c>
      <c r="L1461" s="33"/>
      <c r="M1461" s="33"/>
      <c r="N1461" s="36"/>
      <c r="O1461" s="33">
        <v>1</v>
      </c>
      <c r="P1461" s="33">
        <f>IF(Tabela1[[#This Row],[Status]]="✔️",Tabela1[[#This Row],[Peso]],IF(Tabela1[[#This Row],[Status]]="✔️✔️",Tabela1[[#This Row],[Peso]]/2,0))</f>
        <v>1</v>
      </c>
      <c r="Q146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461" s="33" t="s">
        <v>187</v>
      </c>
      <c r="S1461" s="37" t="s">
        <v>128</v>
      </c>
    </row>
    <row r="1462" spans="8:19" ht="43.8" customHeight="1" x14ac:dyDescent="0.3">
      <c r="H1462" s="32" t="s">
        <v>56</v>
      </c>
      <c r="I1462" s="33" t="s">
        <v>25</v>
      </c>
      <c r="J1462" s="34" t="s">
        <v>454</v>
      </c>
      <c r="K1462" s="35" t="s">
        <v>290</v>
      </c>
      <c r="L1462" s="33" t="s">
        <v>394</v>
      </c>
      <c r="M1462" s="33">
        <v>3445</v>
      </c>
      <c r="N1462" s="36"/>
      <c r="O1462" s="33">
        <v>3</v>
      </c>
      <c r="P1462" s="33">
        <f>IF(Tabela1[[#This Row],[Status]]="✔️",Tabela1[[#This Row],[Peso]],IF(Tabela1[[#This Row],[Status]]="✔️✔️",Tabela1[[#This Row],[Peso]]/2,0))</f>
        <v>0</v>
      </c>
      <c r="Q146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62" s="33" t="s">
        <v>187</v>
      </c>
      <c r="S1462" s="37" t="s">
        <v>128</v>
      </c>
    </row>
    <row r="1463" spans="8:19" ht="43.8" customHeight="1" x14ac:dyDescent="0.3">
      <c r="H1463" s="32" t="s">
        <v>56</v>
      </c>
      <c r="I1463" s="33" t="s">
        <v>25</v>
      </c>
      <c r="J1463" s="34" t="s">
        <v>320</v>
      </c>
      <c r="K1463" s="35" t="s">
        <v>0</v>
      </c>
      <c r="L1463" s="33"/>
      <c r="M1463" s="33"/>
      <c r="N1463" s="36"/>
      <c r="O1463" s="33">
        <v>3</v>
      </c>
      <c r="P1463" s="33">
        <f>IF(Tabela1[[#This Row],[Status]]="✔️",Tabela1[[#This Row],[Peso]],IF(Tabela1[[#This Row],[Status]]="✔️✔️",Tabela1[[#This Row],[Peso]]/2,0))</f>
        <v>3</v>
      </c>
      <c r="Q146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63" s="33" t="s">
        <v>187</v>
      </c>
      <c r="S1463" s="37" t="s">
        <v>128</v>
      </c>
    </row>
    <row r="1464" spans="8:19" ht="43.8" customHeight="1" x14ac:dyDescent="0.3">
      <c r="H1464" s="32" t="s">
        <v>56</v>
      </c>
      <c r="I1464" s="33" t="s">
        <v>30</v>
      </c>
      <c r="J1464" s="34" t="s">
        <v>455</v>
      </c>
      <c r="K1464" s="35" t="s">
        <v>0</v>
      </c>
      <c r="L1464" s="33"/>
      <c r="M1464" s="33"/>
      <c r="N1464" s="36"/>
      <c r="O1464" s="33">
        <v>3</v>
      </c>
      <c r="P1464" s="33">
        <f>IF(Tabela1[[#This Row],[Status]]="✔️",Tabela1[[#This Row],[Peso]],IF(Tabela1[[#This Row],[Status]]="✔️✔️",Tabela1[[#This Row],[Peso]]/2,0))</f>
        <v>3</v>
      </c>
      <c r="Q146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64" s="33" t="s">
        <v>187</v>
      </c>
      <c r="S1464" s="37" t="s">
        <v>128</v>
      </c>
    </row>
    <row r="1465" spans="8:19" ht="43.8" customHeight="1" x14ac:dyDescent="0.3">
      <c r="H1465" s="32" t="s">
        <v>56</v>
      </c>
      <c r="I1465" s="33" t="s">
        <v>25</v>
      </c>
      <c r="J1465" s="34" t="s">
        <v>456</v>
      </c>
      <c r="K1465" s="35" t="s">
        <v>0</v>
      </c>
      <c r="L1465" s="33"/>
      <c r="M1465" s="33"/>
      <c r="N1465" s="36"/>
      <c r="O1465" s="33">
        <v>3</v>
      </c>
      <c r="P1465" s="33">
        <f>IF(Tabela1[[#This Row],[Status]]="✔️",Tabela1[[#This Row],[Peso]],IF(Tabela1[[#This Row],[Status]]="✔️✔️",Tabela1[[#This Row],[Peso]]/2,0))</f>
        <v>3</v>
      </c>
      <c r="Q146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65" s="33" t="s">
        <v>187</v>
      </c>
      <c r="S1465" s="37" t="s">
        <v>128</v>
      </c>
    </row>
    <row r="1466" spans="8:19" ht="43.8" customHeight="1" x14ac:dyDescent="0.3">
      <c r="H1466" s="32" t="s">
        <v>56</v>
      </c>
      <c r="I1466" s="33" t="s">
        <v>41</v>
      </c>
      <c r="J1466" s="34" t="s">
        <v>457</v>
      </c>
      <c r="K1466" s="35" t="s">
        <v>290</v>
      </c>
      <c r="L1466" s="33" t="s">
        <v>236</v>
      </c>
      <c r="M1466" s="33">
        <v>9106</v>
      </c>
      <c r="N1466" s="36"/>
      <c r="O1466" s="33">
        <v>3</v>
      </c>
      <c r="P1466" s="33">
        <f>IF(Tabela1[[#This Row],[Status]]="✔️",Tabela1[[#This Row],[Peso]],IF(Tabela1[[#This Row],[Status]]="✔️✔️",Tabela1[[#This Row],[Peso]]/2,0))</f>
        <v>0</v>
      </c>
      <c r="Q146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66" s="33" t="s">
        <v>187</v>
      </c>
      <c r="S1466" s="37" t="s">
        <v>128</v>
      </c>
    </row>
    <row r="1467" spans="8:19" ht="43.8" customHeight="1" x14ac:dyDescent="0.3">
      <c r="H1467" s="32" t="s">
        <v>56</v>
      </c>
      <c r="I1467" s="33" t="s">
        <v>41</v>
      </c>
      <c r="J1467" s="34" t="s">
        <v>458</v>
      </c>
      <c r="K1467" s="35" t="s">
        <v>290</v>
      </c>
      <c r="L1467" s="33" t="s">
        <v>236</v>
      </c>
      <c r="M1467" s="33">
        <v>9106</v>
      </c>
      <c r="N1467" s="36"/>
      <c r="O1467" s="33">
        <v>2</v>
      </c>
      <c r="P1467" s="33">
        <f>IF(Tabela1[[#This Row],[Status]]="✔️",Tabela1[[#This Row],[Peso]],IF(Tabela1[[#This Row],[Status]]="✔️✔️",Tabela1[[#This Row],[Peso]]/2,0))</f>
        <v>0</v>
      </c>
      <c r="Q146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467" s="33" t="s">
        <v>187</v>
      </c>
      <c r="S1467" s="37" t="s">
        <v>128</v>
      </c>
    </row>
    <row r="1468" spans="8:19" ht="46.2" customHeight="1" x14ac:dyDescent="0.3">
      <c r="H1468" s="33" t="s">
        <v>9</v>
      </c>
      <c r="I1468" s="33" t="s">
        <v>14</v>
      </c>
      <c r="J1468" s="34" t="s">
        <v>15</v>
      </c>
      <c r="K1468" s="60" t="s">
        <v>0</v>
      </c>
      <c r="L1468" s="33"/>
      <c r="M1468" s="33"/>
      <c r="N1468" s="36"/>
      <c r="O1468" s="33">
        <v>3</v>
      </c>
      <c r="P1468" s="33">
        <f>IF(Tabela1[[#This Row],[Status]]="✔️",Tabela1[[#This Row],[Peso]],IF(Tabela1[[#This Row],[Status]]="✔️✔️",Tabela1[[#This Row],[Peso]]/2,0))</f>
        <v>3</v>
      </c>
      <c r="Q146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68" s="33" t="s">
        <v>396</v>
      </c>
      <c r="S1468" s="33" t="s">
        <v>395</v>
      </c>
    </row>
    <row r="1469" spans="8:19" ht="46.2" customHeight="1" x14ac:dyDescent="0.3">
      <c r="H1469" s="33" t="s">
        <v>9</v>
      </c>
      <c r="I1469" s="33" t="s">
        <v>14</v>
      </c>
      <c r="J1469" s="34" t="s">
        <v>16</v>
      </c>
      <c r="K1469" s="60" t="s">
        <v>1</v>
      </c>
      <c r="L1469" s="33"/>
      <c r="M1469" s="33"/>
      <c r="N1469" s="36"/>
      <c r="O1469" s="33">
        <v>1</v>
      </c>
      <c r="P1469" s="33">
        <f>IF(Tabela1[[#This Row],[Status]]="✔️",Tabela1[[#This Row],[Peso]],IF(Tabela1[[#This Row],[Status]]="✔️✔️",Tabela1[[#This Row],[Peso]]/2,0))</f>
        <v>0</v>
      </c>
      <c r="Q146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69" s="33" t="s">
        <v>396</v>
      </c>
      <c r="S1469" s="33" t="s">
        <v>395</v>
      </c>
    </row>
    <row r="1470" spans="8:19" ht="46.2" customHeight="1" x14ac:dyDescent="0.3">
      <c r="H1470" s="33" t="s">
        <v>9</v>
      </c>
      <c r="I1470" s="33" t="s">
        <v>10</v>
      </c>
      <c r="J1470" s="34" t="s">
        <v>11</v>
      </c>
      <c r="K1470" s="60" t="s">
        <v>290</v>
      </c>
      <c r="L1470" s="33" t="s">
        <v>401</v>
      </c>
      <c r="M1470" s="33">
        <v>7334</v>
      </c>
      <c r="N1470" s="36"/>
      <c r="O1470" s="33">
        <v>3</v>
      </c>
      <c r="P1470" s="33">
        <f>IF(Tabela1[[#This Row],[Status]]="✔️",Tabela1[[#This Row],[Peso]],IF(Tabela1[[#This Row],[Status]]="✔️✔️",Tabela1[[#This Row],[Peso]]/2,0))</f>
        <v>0</v>
      </c>
      <c r="Q147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70" s="33" t="s">
        <v>396</v>
      </c>
      <c r="S1470" s="33" t="s">
        <v>395</v>
      </c>
    </row>
    <row r="1471" spans="8:19" ht="46.2" customHeight="1" x14ac:dyDescent="0.3">
      <c r="H1471" s="33" t="s">
        <v>9</v>
      </c>
      <c r="I1471" s="33" t="s">
        <v>10</v>
      </c>
      <c r="J1471" s="34" t="s">
        <v>316</v>
      </c>
      <c r="K1471" s="60" t="s">
        <v>1</v>
      </c>
      <c r="L1471" s="33"/>
      <c r="M1471" s="33"/>
      <c r="N1471" s="36"/>
      <c r="O1471" s="33">
        <v>3</v>
      </c>
      <c r="P1471" s="33">
        <f>IF(Tabela1[[#This Row],[Status]]="✔️",Tabela1[[#This Row],[Peso]],IF(Tabela1[[#This Row],[Status]]="✔️✔️",Tabela1[[#This Row],[Peso]]/2,0))</f>
        <v>0</v>
      </c>
      <c r="Q147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71" s="33" t="s">
        <v>396</v>
      </c>
      <c r="S1471" s="33" t="s">
        <v>395</v>
      </c>
    </row>
    <row r="1472" spans="8:19" ht="46.2" customHeight="1" x14ac:dyDescent="0.3">
      <c r="H1472" s="33" t="s">
        <v>9</v>
      </c>
      <c r="I1472" s="33" t="s">
        <v>10</v>
      </c>
      <c r="J1472" s="34" t="s">
        <v>466</v>
      </c>
      <c r="K1472" s="60" t="s">
        <v>290</v>
      </c>
      <c r="L1472" s="33" t="s">
        <v>397</v>
      </c>
      <c r="M1472" s="33">
        <v>7334</v>
      </c>
      <c r="N1472" s="36"/>
      <c r="O1472" s="33">
        <v>3</v>
      </c>
      <c r="P1472" s="33">
        <f>IF(Tabela1[[#This Row],[Status]]="✔️",Tabela1[[#This Row],[Peso]],IF(Tabela1[[#This Row],[Status]]="✔️✔️",Tabela1[[#This Row],[Peso]]/2,0))</f>
        <v>0</v>
      </c>
      <c r="Q147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72" s="33" t="s">
        <v>396</v>
      </c>
      <c r="S1472" s="33" t="s">
        <v>395</v>
      </c>
    </row>
    <row r="1473" spans="8:19" ht="46.2" customHeight="1" x14ac:dyDescent="0.3">
      <c r="H1473" s="33" t="s">
        <v>9</v>
      </c>
      <c r="I1473" s="33" t="s">
        <v>10</v>
      </c>
      <c r="J1473" s="34" t="s">
        <v>440</v>
      </c>
      <c r="K1473" s="60" t="s">
        <v>1</v>
      </c>
      <c r="L1473" s="33"/>
      <c r="M1473" s="33"/>
      <c r="N1473" s="36"/>
      <c r="O1473" s="33">
        <v>3</v>
      </c>
      <c r="P1473" s="33">
        <f>IF(Tabela1[[#This Row],[Status]]="✔️",Tabela1[[#This Row],[Peso]],IF(Tabela1[[#This Row],[Status]]="✔️✔️",Tabela1[[#This Row],[Peso]]/2,0))</f>
        <v>0</v>
      </c>
      <c r="Q147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73" s="33" t="s">
        <v>396</v>
      </c>
      <c r="S1473" s="33" t="s">
        <v>395</v>
      </c>
    </row>
    <row r="1474" spans="8:19" ht="46.2" customHeight="1" x14ac:dyDescent="0.3">
      <c r="H1474" s="33" t="s">
        <v>9</v>
      </c>
      <c r="I1474" s="61" t="s">
        <v>10</v>
      </c>
      <c r="J1474" s="62" t="s">
        <v>393</v>
      </c>
      <c r="K1474" s="63" t="s">
        <v>0</v>
      </c>
      <c r="L1474" s="61"/>
      <c r="M1474" s="61"/>
      <c r="N1474" s="64"/>
      <c r="O1474" s="61">
        <v>2</v>
      </c>
      <c r="P1474" s="33">
        <f>IF(Tabela1[[#This Row],[Status]]="✔️",Tabela1[[#This Row],[Peso]],IF(Tabela1[[#This Row],[Status]]="✔️✔️",Tabela1[[#This Row],[Peso]]/2,0))</f>
        <v>2</v>
      </c>
      <c r="Q147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474" s="33" t="s">
        <v>396</v>
      </c>
      <c r="S1474" s="33" t="s">
        <v>395</v>
      </c>
    </row>
    <row r="1475" spans="8:19" ht="46.2" customHeight="1" x14ac:dyDescent="0.3">
      <c r="H1475" s="33" t="s">
        <v>9</v>
      </c>
      <c r="I1475" s="33" t="s">
        <v>12</v>
      </c>
      <c r="J1475" s="34" t="s">
        <v>467</v>
      </c>
      <c r="K1475" s="60" t="s">
        <v>290</v>
      </c>
      <c r="L1475" s="33" t="s">
        <v>400</v>
      </c>
      <c r="M1475" s="33">
        <v>3484</v>
      </c>
      <c r="N1475" s="36"/>
      <c r="O1475" s="33">
        <v>2</v>
      </c>
      <c r="P1475" s="33">
        <f>IF(Tabela1[[#This Row],[Status]]="✔️",Tabela1[[#This Row],[Peso]],IF(Tabela1[[#This Row],[Status]]="✔️✔️",Tabela1[[#This Row],[Peso]]/2,0))</f>
        <v>0</v>
      </c>
      <c r="Q1475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475" s="33" t="s">
        <v>396</v>
      </c>
      <c r="S1475" s="33" t="s">
        <v>395</v>
      </c>
    </row>
    <row r="1476" spans="8:19" ht="46.2" customHeight="1" x14ac:dyDescent="0.3">
      <c r="H1476" s="33" t="s">
        <v>9</v>
      </c>
      <c r="I1476" s="33" t="s">
        <v>17</v>
      </c>
      <c r="J1476" s="34" t="s">
        <v>325</v>
      </c>
      <c r="K1476" s="60" t="s">
        <v>0</v>
      </c>
      <c r="L1476" s="33"/>
      <c r="M1476" s="33"/>
      <c r="N1476" s="36"/>
      <c r="O1476" s="33">
        <v>3</v>
      </c>
      <c r="P1476" s="33">
        <f>IF(Tabela1[[#This Row],[Status]]="✔️",Tabela1[[#This Row],[Peso]],IF(Tabela1[[#This Row],[Status]]="✔️✔️",Tabela1[[#This Row],[Peso]]/2,0))</f>
        <v>3</v>
      </c>
      <c r="Q147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76" s="33" t="s">
        <v>396</v>
      </c>
      <c r="S1476" s="33" t="s">
        <v>395</v>
      </c>
    </row>
    <row r="1477" spans="8:19" ht="46.2" customHeight="1" x14ac:dyDescent="0.3">
      <c r="H1477" s="33" t="s">
        <v>9</v>
      </c>
      <c r="I1477" s="33" t="s">
        <v>17</v>
      </c>
      <c r="J1477" s="34" t="s">
        <v>19</v>
      </c>
      <c r="K1477" s="60" t="s">
        <v>0</v>
      </c>
      <c r="L1477" s="33"/>
      <c r="M1477" s="33"/>
      <c r="N1477" s="36"/>
      <c r="O1477" s="33">
        <v>3</v>
      </c>
      <c r="P1477" s="33">
        <f>IF(Tabela1[[#This Row],[Status]]="✔️",Tabela1[[#This Row],[Peso]],IF(Tabela1[[#This Row],[Status]]="✔️✔️",Tabela1[[#This Row],[Peso]]/2,0))</f>
        <v>3</v>
      </c>
      <c r="Q147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77" s="33" t="s">
        <v>396</v>
      </c>
      <c r="S1477" s="33" t="s">
        <v>395</v>
      </c>
    </row>
    <row r="1478" spans="8:19" ht="46.2" customHeight="1" x14ac:dyDescent="0.3">
      <c r="H1478" s="33" t="s">
        <v>9</v>
      </c>
      <c r="I1478" s="33" t="s">
        <v>20</v>
      </c>
      <c r="J1478" s="34" t="s">
        <v>21</v>
      </c>
      <c r="K1478" s="60" t="s">
        <v>1</v>
      </c>
      <c r="L1478" s="33"/>
      <c r="M1478" s="33"/>
      <c r="N1478" s="36"/>
      <c r="O1478" s="33">
        <v>3</v>
      </c>
      <c r="P1478" s="33">
        <f>IF(Tabela1[[#This Row],[Status]]="✔️",Tabela1[[#This Row],[Peso]],IF(Tabela1[[#This Row],[Status]]="✔️✔️",Tabela1[[#This Row],[Peso]]/2,0))</f>
        <v>0</v>
      </c>
      <c r="Q147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78" s="33" t="s">
        <v>396</v>
      </c>
      <c r="S1478" s="33" t="s">
        <v>395</v>
      </c>
    </row>
    <row r="1479" spans="8:19" ht="46.2" customHeight="1" x14ac:dyDescent="0.3">
      <c r="H1479" s="33" t="s">
        <v>9</v>
      </c>
      <c r="I1479" s="33" t="s">
        <v>20</v>
      </c>
      <c r="J1479" s="34" t="s">
        <v>441</v>
      </c>
      <c r="K1479" s="60" t="s">
        <v>1</v>
      </c>
      <c r="L1479" s="33"/>
      <c r="M1479" s="33"/>
      <c r="N1479" s="36"/>
      <c r="O1479" s="33">
        <v>1</v>
      </c>
      <c r="P1479" s="33">
        <f>IF(Tabela1[[#This Row],[Status]]="✔️",Tabela1[[#This Row],[Peso]],IF(Tabela1[[#This Row],[Status]]="✔️✔️",Tabela1[[#This Row],[Peso]]/2,0))</f>
        <v>0</v>
      </c>
      <c r="Q147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79" s="33" t="s">
        <v>396</v>
      </c>
      <c r="S1479" s="33" t="s">
        <v>395</v>
      </c>
    </row>
    <row r="1480" spans="8:19" ht="46.2" customHeight="1" x14ac:dyDescent="0.3">
      <c r="H1480" s="33" t="s">
        <v>9</v>
      </c>
      <c r="I1480" s="33" t="s">
        <v>22</v>
      </c>
      <c r="J1480" s="34" t="s">
        <v>23</v>
      </c>
      <c r="K1480" s="60" t="s">
        <v>1</v>
      </c>
      <c r="L1480" s="33"/>
      <c r="M1480" s="33"/>
      <c r="N1480" s="36"/>
      <c r="O1480" s="33">
        <v>1</v>
      </c>
      <c r="P1480" s="33">
        <f>IF(Tabela1[[#This Row],[Status]]="✔️",Tabela1[[#This Row],[Peso]],IF(Tabela1[[#This Row],[Status]]="✔️✔️",Tabela1[[#This Row],[Peso]]/2,0))</f>
        <v>0</v>
      </c>
      <c r="Q148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80" s="33" t="s">
        <v>396</v>
      </c>
      <c r="S1480" s="33" t="s">
        <v>395</v>
      </c>
    </row>
    <row r="1481" spans="8:19" ht="46.2" customHeight="1" x14ac:dyDescent="0.3">
      <c r="H1481" s="33" t="s">
        <v>9</v>
      </c>
      <c r="I1481" s="33" t="s">
        <v>22</v>
      </c>
      <c r="J1481" s="34" t="s">
        <v>468</v>
      </c>
      <c r="K1481" s="60" t="s">
        <v>1</v>
      </c>
      <c r="L1481" s="33"/>
      <c r="M1481" s="33"/>
      <c r="N1481" s="36"/>
      <c r="O1481" s="33">
        <v>1</v>
      </c>
      <c r="P1481" s="33">
        <f>IF(Tabela1[[#This Row],[Status]]="✔️",Tabela1[[#This Row],[Peso]],IF(Tabela1[[#This Row],[Status]]="✔️✔️",Tabela1[[#This Row],[Peso]]/2,0))</f>
        <v>0</v>
      </c>
      <c r="Q148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81" s="33" t="s">
        <v>396</v>
      </c>
      <c r="S1481" s="33" t="s">
        <v>395</v>
      </c>
    </row>
    <row r="1482" spans="8:19" ht="46.2" customHeight="1" x14ac:dyDescent="0.3">
      <c r="H1482" s="33" t="s">
        <v>9</v>
      </c>
      <c r="I1482" s="33" t="s">
        <v>25</v>
      </c>
      <c r="J1482" s="34" t="s">
        <v>469</v>
      </c>
      <c r="K1482" s="60" t="s">
        <v>0</v>
      </c>
      <c r="L1482" s="33"/>
      <c r="M1482" s="33"/>
      <c r="N1482" s="36"/>
      <c r="O1482" s="33">
        <v>3</v>
      </c>
      <c r="P1482" s="33">
        <f>IF(Tabela1[[#This Row],[Status]]="✔️",Tabela1[[#This Row],[Peso]],IF(Tabela1[[#This Row],[Status]]="✔️✔️",Tabela1[[#This Row],[Peso]]/2,0))</f>
        <v>3</v>
      </c>
      <c r="Q148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82" s="33" t="s">
        <v>396</v>
      </c>
      <c r="S1482" s="33" t="s">
        <v>395</v>
      </c>
    </row>
    <row r="1483" spans="8:19" ht="46.2" customHeight="1" x14ac:dyDescent="0.3">
      <c r="H1483" s="33" t="s">
        <v>9</v>
      </c>
      <c r="I1483" s="33" t="s">
        <v>25</v>
      </c>
      <c r="J1483" s="34" t="s">
        <v>29</v>
      </c>
      <c r="K1483" s="60" t="s">
        <v>1</v>
      </c>
      <c r="L1483" s="33"/>
      <c r="M1483" s="33"/>
      <c r="N1483" s="36"/>
      <c r="O1483" s="33">
        <v>3</v>
      </c>
      <c r="P1483" s="33">
        <f>IF(Tabela1[[#This Row],[Status]]="✔️",Tabela1[[#This Row],[Peso]],IF(Tabela1[[#This Row],[Status]]="✔️✔️",Tabela1[[#This Row],[Peso]]/2,0))</f>
        <v>0</v>
      </c>
      <c r="Q148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83" s="33" t="s">
        <v>396</v>
      </c>
      <c r="S1483" s="33" t="s">
        <v>395</v>
      </c>
    </row>
    <row r="1484" spans="8:19" ht="46.2" customHeight="1" x14ac:dyDescent="0.3">
      <c r="H1484" s="33" t="s">
        <v>9</v>
      </c>
      <c r="I1484" s="33" t="s">
        <v>31</v>
      </c>
      <c r="J1484" s="34" t="s">
        <v>32</v>
      </c>
      <c r="K1484" s="60" t="s">
        <v>0</v>
      </c>
      <c r="L1484" s="33"/>
      <c r="M1484" s="33"/>
      <c r="N1484" s="36"/>
      <c r="O1484" s="33">
        <v>3</v>
      </c>
      <c r="P1484" s="33">
        <f>IF(Tabela1[[#This Row],[Status]]="✔️",Tabela1[[#This Row],[Peso]],IF(Tabela1[[#This Row],[Status]]="✔️✔️",Tabela1[[#This Row],[Peso]]/2,0))</f>
        <v>3</v>
      </c>
      <c r="Q148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84" s="33" t="s">
        <v>396</v>
      </c>
      <c r="S1484" s="33" t="s">
        <v>395</v>
      </c>
    </row>
    <row r="1485" spans="8:19" ht="46.2" customHeight="1" x14ac:dyDescent="0.3">
      <c r="H1485" s="33" t="s">
        <v>9</v>
      </c>
      <c r="I1485" s="33" t="s">
        <v>30</v>
      </c>
      <c r="J1485" s="34" t="s">
        <v>470</v>
      </c>
      <c r="K1485" s="60" t="s">
        <v>0</v>
      </c>
      <c r="L1485" s="33"/>
      <c r="M1485" s="33"/>
      <c r="N1485" s="36"/>
      <c r="O1485" s="33">
        <v>3</v>
      </c>
      <c r="P1485" s="33">
        <f>IF(Tabela1[[#This Row],[Status]]="✔️",Tabela1[[#This Row],[Peso]],IF(Tabela1[[#This Row],[Status]]="✔️✔️",Tabela1[[#This Row],[Peso]]/2,0))</f>
        <v>3</v>
      </c>
      <c r="Q148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85" s="33" t="s">
        <v>396</v>
      </c>
      <c r="S1485" s="33" t="s">
        <v>395</v>
      </c>
    </row>
    <row r="1486" spans="8:19" ht="46.2" customHeight="1" x14ac:dyDescent="0.3">
      <c r="H1486" s="33" t="s">
        <v>9</v>
      </c>
      <c r="I1486" s="33" t="s">
        <v>25</v>
      </c>
      <c r="J1486" s="34" t="s">
        <v>449</v>
      </c>
      <c r="K1486" s="35" t="s">
        <v>290</v>
      </c>
      <c r="L1486" s="33" t="s">
        <v>398</v>
      </c>
      <c r="M1486" s="33">
        <v>3402</v>
      </c>
      <c r="N1486" s="36"/>
      <c r="O1486" s="33">
        <v>3</v>
      </c>
      <c r="P1486" s="33">
        <f>IF(Tabela1[[#This Row],[Status]]="✔️",Tabela1[[#This Row],[Peso]],IF(Tabela1[[#This Row],[Status]]="✔️✔️",Tabela1[[#This Row],[Peso]]/2,0))</f>
        <v>0</v>
      </c>
      <c r="Q148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86" s="33" t="s">
        <v>396</v>
      </c>
      <c r="S1486" s="33" t="s">
        <v>395</v>
      </c>
    </row>
    <row r="1487" spans="8:19" ht="46.2" customHeight="1" x14ac:dyDescent="0.3">
      <c r="H1487" s="33" t="s">
        <v>9</v>
      </c>
      <c r="I1487" s="33" t="s">
        <v>33</v>
      </c>
      <c r="J1487" s="34" t="s">
        <v>131</v>
      </c>
      <c r="K1487" s="60" t="s">
        <v>0</v>
      </c>
      <c r="L1487" s="33"/>
      <c r="M1487" s="33"/>
      <c r="N1487" s="36"/>
      <c r="O1487" s="33">
        <v>3</v>
      </c>
      <c r="P1487" s="33">
        <f>IF(Tabela1[[#This Row],[Status]]="✔️",Tabela1[[#This Row],[Peso]],IF(Tabela1[[#This Row],[Status]]="✔️✔️",Tabela1[[#This Row],[Peso]]/2,0))</f>
        <v>3</v>
      </c>
      <c r="Q148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87" s="33" t="s">
        <v>396</v>
      </c>
      <c r="S1487" s="33" t="s">
        <v>395</v>
      </c>
    </row>
    <row r="1488" spans="8:19" ht="46.2" customHeight="1" x14ac:dyDescent="0.3">
      <c r="H1488" s="33" t="s">
        <v>9</v>
      </c>
      <c r="I1488" s="33" t="s">
        <v>33</v>
      </c>
      <c r="J1488" s="34" t="s">
        <v>326</v>
      </c>
      <c r="K1488" s="60" t="s">
        <v>0</v>
      </c>
      <c r="L1488" s="33"/>
      <c r="M1488" s="33"/>
      <c r="N1488" s="36"/>
      <c r="O1488" s="33">
        <v>3</v>
      </c>
      <c r="P1488" s="33">
        <f>IF(Tabela1[[#This Row],[Status]]="✔️",Tabela1[[#This Row],[Peso]],IF(Tabela1[[#This Row],[Status]]="✔️✔️",Tabela1[[#This Row],[Peso]]/2,0))</f>
        <v>3</v>
      </c>
      <c r="Q148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88" s="33" t="s">
        <v>396</v>
      </c>
      <c r="S1488" s="33" t="s">
        <v>395</v>
      </c>
    </row>
    <row r="1489" spans="8:19" ht="46.2" customHeight="1" x14ac:dyDescent="0.3">
      <c r="H1489" s="33" t="s">
        <v>9</v>
      </c>
      <c r="I1489" s="33" t="s">
        <v>33</v>
      </c>
      <c r="J1489" s="34" t="s">
        <v>446</v>
      </c>
      <c r="K1489" s="60" t="s">
        <v>290</v>
      </c>
      <c r="L1489" s="33" t="s">
        <v>402</v>
      </c>
      <c r="M1489" s="33">
        <v>6151</v>
      </c>
      <c r="N1489" s="36"/>
      <c r="O1489" s="33">
        <v>3</v>
      </c>
      <c r="P1489" s="33">
        <f>IF(Tabela1[[#This Row],[Status]]="✔️",Tabela1[[#This Row],[Peso]],IF(Tabela1[[#This Row],[Status]]="✔️✔️",Tabela1[[#This Row],[Peso]]/2,0))</f>
        <v>0</v>
      </c>
      <c r="Q148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89" s="33" t="s">
        <v>396</v>
      </c>
      <c r="S1489" s="33" t="s">
        <v>395</v>
      </c>
    </row>
    <row r="1490" spans="8:19" ht="46.2" customHeight="1" x14ac:dyDescent="0.3">
      <c r="H1490" s="33" t="s">
        <v>9</v>
      </c>
      <c r="I1490" s="33" t="s">
        <v>33</v>
      </c>
      <c r="J1490" s="65" t="s">
        <v>36</v>
      </c>
      <c r="K1490" s="60" t="s">
        <v>290</v>
      </c>
      <c r="L1490" s="33" t="s">
        <v>399</v>
      </c>
      <c r="M1490" s="33">
        <v>6151</v>
      </c>
      <c r="N1490" s="36"/>
      <c r="O1490" s="33">
        <v>3</v>
      </c>
      <c r="P1490" s="33">
        <f>IF(Tabela1[[#This Row],[Status]]="✔️",Tabela1[[#This Row],[Peso]],IF(Tabela1[[#This Row],[Status]]="✔️✔️",Tabela1[[#This Row],[Peso]]/2,0))</f>
        <v>0</v>
      </c>
      <c r="Q149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90" s="33" t="s">
        <v>396</v>
      </c>
      <c r="S1490" s="33" t="s">
        <v>395</v>
      </c>
    </row>
    <row r="1491" spans="8:19" ht="46.2" customHeight="1" x14ac:dyDescent="0.3">
      <c r="H1491" s="33" t="s">
        <v>9</v>
      </c>
      <c r="I1491" s="33" t="s">
        <v>33</v>
      </c>
      <c r="J1491" s="34" t="s">
        <v>37</v>
      </c>
      <c r="K1491" s="60" t="s">
        <v>1</v>
      </c>
      <c r="L1491" s="33"/>
      <c r="M1491" s="33"/>
      <c r="N1491" s="36"/>
      <c r="O1491" s="33">
        <v>3</v>
      </c>
      <c r="P1491" s="33">
        <f>IF(Tabela1[[#This Row],[Status]]="✔️",Tabela1[[#This Row],[Peso]],IF(Tabela1[[#This Row],[Status]]="✔️✔️",Tabela1[[#This Row],[Peso]]/2,0))</f>
        <v>0</v>
      </c>
      <c r="Q149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91" s="33" t="s">
        <v>396</v>
      </c>
      <c r="S1491" s="33" t="s">
        <v>395</v>
      </c>
    </row>
    <row r="1492" spans="8:19" ht="46.2" customHeight="1" x14ac:dyDescent="0.3">
      <c r="H1492" s="33" t="s">
        <v>9</v>
      </c>
      <c r="I1492" s="33" t="s">
        <v>38</v>
      </c>
      <c r="J1492" s="34" t="s">
        <v>327</v>
      </c>
      <c r="K1492" s="60" t="s">
        <v>1</v>
      </c>
      <c r="L1492" s="33"/>
      <c r="M1492" s="33"/>
      <c r="N1492" s="36"/>
      <c r="O1492" s="33">
        <v>3</v>
      </c>
      <c r="P1492" s="33">
        <f>IF(Tabela1[[#This Row],[Status]]="✔️",Tabela1[[#This Row],[Peso]],IF(Tabela1[[#This Row],[Status]]="✔️✔️",Tabela1[[#This Row],[Peso]]/2,0))</f>
        <v>0</v>
      </c>
      <c r="Q149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92" s="33" t="s">
        <v>396</v>
      </c>
      <c r="S1492" s="33" t="s">
        <v>395</v>
      </c>
    </row>
    <row r="1493" spans="8:19" ht="46.2" customHeight="1" x14ac:dyDescent="0.3">
      <c r="H1493" s="33" t="s">
        <v>9</v>
      </c>
      <c r="I1493" s="33" t="s">
        <v>38</v>
      </c>
      <c r="J1493" s="65" t="s">
        <v>40</v>
      </c>
      <c r="K1493" s="60" t="s">
        <v>290</v>
      </c>
      <c r="L1493" s="33" t="s">
        <v>399</v>
      </c>
      <c r="M1493" s="33">
        <v>6151</v>
      </c>
      <c r="N1493" s="36"/>
      <c r="O1493" s="33">
        <v>3</v>
      </c>
      <c r="P1493" s="33">
        <f>IF(Tabela1[[#This Row],[Status]]="✔️",Tabela1[[#This Row],[Peso]],IF(Tabela1[[#This Row],[Status]]="✔️✔️",Tabela1[[#This Row],[Peso]]/2,0))</f>
        <v>0</v>
      </c>
      <c r="Q149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93" s="33" t="s">
        <v>396</v>
      </c>
      <c r="S1493" s="33" t="s">
        <v>395</v>
      </c>
    </row>
    <row r="1494" spans="8:19" ht="46.2" customHeight="1" x14ac:dyDescent="0.3">
      <c r="H1494" s="33" t="s">
        <v>9</v>
      </c>
      <c r="I1494" s="33" t="s">
        <v>41</v>
      </c>
      <c r="J1494" s="34" t="s">
        <v>442</v>
      </c>
      <c r="K1494" s="60" t="s">
        <v>1</v>
      </c>
      <c r="L1494" s="33"/>
      <c r="M1494" s="33"/>
      <c r="N1494" s="36"/>
      <c r="O1494" s="33">
        <v>3</v>
      </c>
      <c r="P1494" s="33">
        <f>IF(Tabela1[[#This Row],[Status]]="✔️",Tabela1[[#This Row],[Peso]],IF(Tabela1[[#This Row],[Status]]="✔️✔️",Tabela1[[#This Row],[Peso]]/2,0))</f>
        <v>0</v>
      </c>
      <c r="Q149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94" s="33" t="s">
        <v>396</v>
      </c>
      <c r="S1494" s="33" t="s">
        <v>395</v>
      </c>
    </row>
    <row r="1495" spans="8:19" ht="46.2" customHeight="1" x14ac:dyDescent="0.3">
      <c r="H1495" s="33" t="s">
        <v>9</v>
      </c>
      <c r="I1495" s="33" t="s">
        <v>41</v>
      </c>
      <c r="J1495" s="34" t="s">
        <v>443</v>
      </c>
      <c r="K1495" s="60" t="s">
        <v>1</v>
      </c>
      <c r="L1495" s="33"/>
      <c r="M1495" s="33"/>
      <c r="N1495" s="36"/>
      <c r="O1495" s="33">
        <v>2</v>
      </c>
      <c r="P1495" s="33">
        <f>IF(Tabela1[[#This Row],[Status]]="✔️",Tabela1[[#This Row],[Peso]],IF(Tabela1[[#This Row],[Status]]="✔️✔️",Tabela1[[#This Row],[Peso]]/2,0))</f>
        <v>0</v>
      </c>
      <c r="Q149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95" s="33" t="s">
        <v>396</v>
      </c>
      <c r="S1495" s="33" t="s">
        <v>395</v>
      </c>
    </row>
    <row r="1496" spans="8:19" ht="47.4" customHeight="1" x14ac:dyDescent="0.3">
      <c r="H1496" s="33" t="s">
        <v>9</v>
      </c>
      <c r="I1496" s="33" t="s">
        <v>14</v>
      </c>
      <c r="J1496" s="34" t="s">
        <v>15</v>
      </c>
      <c r="K1496" s="60" t="s">
        <v>0</v>
      </c>
      <c r="L1496" s="33"/>
      <c r="M1496" s="33"/>
      <c r="N1496" s="36"/>
      <c r="O1496" s="33">
        <v>3</v>
      </c>
      <c r="P1496" s="33">
        <f>IF(Tabela1[[#This Row],[Status]]="✔️",Tabela1[[#This Row],[Peso]],IF(Tabela1[[#This Row],[Status]]="✔️✔️",Tabela1[[#This Row],[Peso]]/2,0))</f>
        <v>3</v>
      </c>
      <c r="Q149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96" s="33" t="s">
        <v>187</v>
      </c>
      <c r="S1496" s="33" t="s">
        <v>349</v>
      </c>
    </row>
    <row r="1497" spans="8:19" ht="47.4" customHeight="1" x14ac:dyDescent="0.3">
      <c r="H1497" s="33" t="s">
        <v>9</v>
      </c>
      <c r="I1497" s="33" t="s">
        <v>14</v>
      </c>
      <c r="J1497" s="34" t="s">
        <v>16</v>
      </c>
      <c r="K1497" s="60" t="s">
        <v>0</v>
      </c>
      <c r="L1497" s="33"/>
      <c r="M1497" s="33"/>
      <c r="N1497" s="36"/>
      <c r="O1497" s="33">
        <v>1</v>
      </c>
      <c r="P1497" s="33">
        <f>IF(Tabela1[[#This Row],[Status]]="✔️",Tabela1[[#This Row],[Peso]],IF(Tabela1[[#This Row],[Status]]="✔️✔️",Tabela1[[#This Row],[Peso]]/2,0))</f>
        <v>1</v>
      </c>
      <c r="Q149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497" s="33" t="s">
        <v>187</v>
      </c>
      <c r="S1497" s="33" t="s">
        <v>349</v>
      </c>
    </row>
    <row r="1498" spans="8:19" ht="47.4" customHeight="1" x14ac:dyDescent="0.3">
      <c r="H1498" s="33" t="s">
        <v>9</v>
      </c>
      <c r="I1498" s="33" t="s">
        <v>10</v>
      </c>
      <c r="J1498" s="34" t="s">
        <v>11</v>
      </c>
      <c r="K1498" s="60" t="s">
        <v>0</v>
      </c>
      <c r="L1498" s="33"/>
      <c r="M1498" s="33"/>
      <c r="N1498" s="36"/>
      <c r="O1498" s="33">
        <v>3</v>
      </c>
      <c r="P1498" s="33">
        <f>IF(Tabela1[[#This Row],[Status]]="✔️",Tabela1[[#This Row],[Peso]],IF(Tabela1[[#This Row],[Status]]="✔️✔️",Tabela1[[#This Row],[Peso]]/2,0))</f>
        <v>3</v>
      </c>
      <c r="Q149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98" s="33" t="s">
        <v>187</v>
      </c>
      <c r="S1498" s="33" t="s">
        <v>349</v>
      </c>
    </row>
    <row r="1499" spans="8:19" ht="47.4" customHeight="1" x14ac:dyDescent="0.3">
      <c r="H1499" s="33" t="s">
        <v>9</v>
      </c>
      <c r="I1499" s="33" t="s">
        <v>10</v>
      </c>
      <c r="J1499" s="34" t="s">
        <v>316</v>
      </c>
      <c r="K1499" s="60" t="s">
        <v>0</v>
      </c>
      <c r="L1499" s="33"/>
      <c r="M1499" s="33"/>
      <c r="N1499" s="36"/>
      <c r="O1499" s="33">
        <v>3</v>
      </c>
      <c r="P1499" s="33">
        <f>IF(Tabela1[[#This Row],[Status]]="✔️",Tabela1[[#This Row],[Peso]],IF(Tabela1[[#This Row],[Status]]="✔️✔️",Tabela1[[#This Row],[Peso]]/2,0))</f>
        <v>3</v>
      </c>
      <c r="Q149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99" s="33" t="s">
        <v>187</v>
      </c>
      <c r="S1499" s="33" t="s">
        <v>349</v>
      </c>
    </row>
    <row r="1500" spans="8:19" ht="47.4" customHeight="1" x14ac:dyDescent="0.3">
      <c r="H1500" s="33" t="s">
        <v>9</v>
      </c>
      <c r="I1500" s="33" t="s">
        <v>10</v>
      </c>
      <c r="J1500" s="34" t="s">
        <v>471</v>
      </c>
      <c r="K1500" s="60" t="s">
        <v>0</v>
      </c>
      <c r="L1500" s="33"/>
      <c r="M1500" s="33"/>
      <c r="N1500" s="36"/>
      <c r="O1500" s="33">
        <v>3</v>
      </c>
      <c r="P1500" s="33">
        <f>IF(Tabela1[[#This Row],[Status]]="✔️",Tabela1[[#This Row],[Peso]],IF(Tabela1[[#This Row],[Status]]="✔️✔️",Tabela1[[#This Row],[Peso]]/2,0))</f>
        <v>3</v>
      </c>
      <c r="Q150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00" s="33" t="s">
        <v>187</v>
      </c>
      <c r="S1500" s="33" t="s">
        <v>349</v>
      </c>
    </row>
    <row r="1501" spans="8:19" ht="47.4" customHeight="1" x14ac:dyDescent="0.3">
      <c r="H1501" s="33" t="s">
        <v>9</v>
      </c>
      <c r="I1501" s="33" t="s">
        <v>10</v>
      </c>
      <c r="J1501" s="34" t="s">
        <v>440</v>
      </c>
      <c r="K1501" s="60" t="s">
        <v>0</v>
      </c>
      <c r="L1501" s="33"/>
      <c r="M1501" s="33"/>
      <c r="N1501" s="36"/>
      <c r="O1501" s="33">
        <v>3</v>
      </c>
      <c r="P1501" s="33">
        <f>IF(Tabela1[[#This Row],[Status]]="✔️",Tabela1[[#This Row],[Peso]],IF(Tabela1[[#This Row],[Status]]="✔️✔️",Tabela1[[#This Row],[Peso]]/2,0))</f>
        <v>3</v>
      </c>
      <c r="Q150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01" s="33" t="s">
        <v>187</v>
      </c>
      <c r="S1501" s="33" t="s">
        <v>349</v>
      </c>
    </row>
    <row r="1502" spans="8:19" ht="47.4" customHeight="1" x14ac:dyDescent="0.3">
      <c r="H1502" s="33" t="s">
        <v>9</v>
      </c>
      <c r="I1502" s="33" t="s">
        <v>10</v>
      </c>
      <c r="J1502" s="34" t="s">
        <v>393</v>
      </c>
      <c r="K1502" s="63" t="s">
        <v>0</v>
      </c>
      <c r="L1502" s="61"/>
      <c r="M1502" s="61"/>
      <c r="N1502" s="64"/>
      <c r="O1502" s="33">
        <v>2</v>
      </c>
      <c r="P1502" s="33">
        <f>IF(Tabela1[[#This Row],[Status]]="✔️",Tabela1[[#This Row],[Peso]],IF(Tabela1[[#This Row],[Status]]="✔️✔️",Tabela1[[#This Row],[Peso]]/2,0))</f>
        <v>2</v>
      </c>
      <c r="Q1502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502" s="33" t="s">
        <v>187</v>
      </c>
      <c r="S1502" s="33" t="s">
        <v>349</v>
      </c>
    </row>
    <row r="1503" spans="8:19" ht="47.4" customHeight="1" x14ac:dyDescent="0.3">
      <c r="H1503" s="33" t="s">
        <v>9</v>
      </c>
      <c r="I1503" s="33" t="s">
        <v>12</v>
      </c>
      <c r="J1503" s="34" t="s">
        <v>467</v>
      </c>
      <c r="K1503" s="60" t="s">
        <v>0</v>
      </c>
      <c r="L1503" s="33"/>
      <c r="M1503" s="33"/>
      <c r="N1503" s="36"/>
      <c r="O1503" s="33">
        <v>2</v>
      </c>
      <c r="P1503" s="33">
        <f>IF(Tabela1[[#This Row],[Status]]="✔️",Tabela1[[#This Row],[Peso]],IF(Tabela1[[#This Row],[Status]]="✔️✔️",Tabela1[[#This Row],[Peso]]/2,0))</f>
        <v>2</v>
      </c>
      <c r="Q1503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503" s="33" t="s">
        <v>187</v>
      </c>
      <c r="S1503" s="33" t="s">
        <v>349</v>
      </c>
    </row>
    <row r="1504" spans="8:19" ht="47.4" customHeight="1" x14ac:dyDescent="0.3">
      <c r="H1504" s="33" t="s">
        <v>9</v>
      </c>
      <c r="I1504" s="33" t="s">
        <v>17</v>
      </c>
      <c r="J1504" s="34" t="s">
        <v>325</v>
      </c>
      <c r="K1504" s="60" t="s">
        <v>0</v>
      </c>
      <c r="L1504" s="33"/>
      <c r="M1504" s="33"/>
      <c r="N1504" s="36"/>
      <c r="O1504" s="33">
        <v>3</v>
      </c>
      <c r="P1504" s="33">
        <f>IF(Tabela1[[#This Row],[Status]]="✔️",Tabela1[[#This Row],[Peso]],IF(Tabela1[[#This Row],[Status]]="✔️✔️",Tabela1[[#This Row],[Peso]]/2,0))</f>
        <v>3</v>
      </c>
      <c r="Q150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04" s="33" t="s">
        <v>187</v>
      </c>
      <c r="S1504" s="33" t="s">
        <v>349</v>
      </c>
    </row>
    <row r="1505" spans="8:19" ht="47.4" customHeight="1" x14ac:dyDescent="0.3">
      <c r="H1505" s="33" t="s">
        <v>9</v>
      </c>
      <c r="I1505" s="33" t="s">
        <v>17</v>
      </c>
      <c r="J1505" s="34" t="s">
        <v>19</v>
      </c>
      <c r="K1505" s="60" t="s">
        <v>0</v>
      </c>
      <c r="L1505" s="33"/>
      <c r="M1505" s="33"/>
      <c r="N1505" s="36"/>
      <c r="O1505" s="33">
        <v>3</v>
      </c>
      <c r="P1505" s="33">
        <f>IF(Tabela1[[#This Row],[Status]]="✔️",Tabela1[[#This Row],[Peso]],IF(Tabela1[[#This Row],[Status]]="✔️✔️",Tabela1[[#This Row],[Peso]]/2,0))</f>
        <v>3</v>
      </c>
      <c r="Q150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05" s="33" t="s">
        <v>187</v>
      </c>
      <c r="S1505" s="33" t="s">
        <v>349</v>
      </c>
    </row>
    <row r="1506" spans="8:19" ht="47.4" customHeight="1" x14ac:dyDescent="0.3">
      <c r="H1506" s="33" t="s">
        <v>9</v>
      </c>
      <c r="I1506" s="33" t="s">
        <v>20</v>
      </c>
      <c r="J1506" s="34" t="s">
        <v>21</v>
      </c>
      <c r="K1506" s="60" t="s">
        <v>291</v>
      </c>
      <c r="L1506" s="33"/>
      <c r="M1506" s="33"/>
      <c r="N1506" s="36"/>
      <c r="O1506" s="33">
        <v>3</v>
      </c>
      <c r="P1506" s="33">
        <f>IF(Tabela1[[#This Row],[Status]]="✔️",Tabela1[[#This Row],[Peso]],IF(Tabela1[[#This Row],[Status]]="✔️✔️",Tabela1[[#This Row],[Peso]]/2,0))</f>
        <v>1.5</v>
      </c>
      <c r="Q1506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506" s="33" t="s">
        <v>187</v>
      </c>
      <c r="S1506" s="33" t="s">
        <v>349</v>
      </c>
    </row>
    <row r="1507" spans="8:19" ht="47.4" customHeight="1" x14ac:dyDescent="0.3">
      <c r="H1507" s="33" t="s">
        <v>9</v>
      </c>
      <c r="I1507" s="33" t="s">
        <v>20</v>
      </c>
      <c r="J1507" s="34" t="s">
        <v>441</v>
      </c>
      <c r="K1507" s="60" t="s">
        <v>291</v>
      </c>
      <c r="L1507" s="33"/>
      <c r="M1507" s="33"/>
      <c r="N1507" s="36"/>
      <c r="O1507" s="33">
        <v>1</v>
      </c>
      <c r="P1507" s="33">
        <f>IF(Tabela1[[#This Row],[Status]]="✔️",Tabela1[[#This Row],[Peso]],IF(Tabela1[[#This Row],[Status]]="✔️✔️",Tabela1[[#This Row],[Peso]]/2,0))</f>
        <v>0.5</v>
      </c>
      <c r="Q1507" s="33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1507" s="33" t="s">
        <v>187</v>
      </c>
      <c r="S1507" s="33" t="s">
        <v>349</v>
      </c>
    </row>
    <row r="1508" spans="8:19" ht="47.4" customHeight="1" x14ac:dyDescent="0.3">
      <c r="H1508" s="33" t="s">
        <v>9</v>
      </c>
      <c r="I1508" s="33" t="s">
        <v>22</v>
      </c>
      <c r="J1508" s="34" t="s">
        <v>23</v>
      </c>
      <c r="K1508" s="60" t="s">
        <v>291</v>
      </c>
      <c r="L1508" s="33" t="s">
        <v>411</v>
      </c>
      <c r="M1508" s="33">
        <v>3632</v>
      </c>
      <c r="N1508" s="36"/>
      <c r="O1508" s="33">
        <v>1</v>
      </c>
      <c r="P1508" s="33">
        <f>IF(Tabela1[[#This Row],[Status]]="✔️",Tabela1[[#This Row],[Peso]],IF(Tabela1[[#This Row],[Status]]="✔️✔️",Tabela1[[#This Row],[Peso]]/2,0))</f>
        <v>0.5</v>
      </c>
      <c r="Q1508" s="33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1508" s="33" t="s">
        <v>187</v>
      </c>
      <c r="S1508" s="33" t="s">
        <v>349</v>
      </c>
    </row>
    <row r="1509" spans="8:19" ht="47.4" customHeight="1" x14ac:dyDescent="0.3">
      <c r="H1509" s="33" t="s">
        <v>9</v>
      </c>
      <c r="I1509" s="33" t="s">
        <v>22</v>
      </c>
      <c r="J1509" s="34" t="s">
        <v>468</v>
      </c>
      <c r="K1509" s="60" t="s">
        <v>291</v>
      </c>
      <c r="L1509" s="33"/>
      <c r="M1509" s="33"/>
      <c r="N1509" s="36"/>
      <c r="O1509" s="33">
        <v>1</v>
      </c>
      <c r="P1509" s="33">
        <f>IF(Tabela1[[#This Row],[Status]]="✔️",Tabela1[[#This Row],[Peso]],IF(Tabela1[[#This Row],[Status]]="✔️✔️",Tabela1[[#This Row],[Peso]]/2,0))</f>
        <v>0.5</v>
      </c>
      <c r="Q1509" s="33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1509" s="33" t="s">
        <v>187</v>
      </c>
      <c r="S1509" s="33" t="s">
        <v>349</v>
      </c>
    </row>
    <row r="1510" spans="8:19" ht="47.4" customHeight="1" x14ac:dyDescent="0.3">
      <c r="H1510" s="33" t="s">
        <v>9</v>
      </c>
      <c r="I1510" s="33" t="s">
        <v>25</v>
      </c>
      <c r="J1510" s="34" t="s">
        <v>469</v>
      </c>
      <c r="K1510" s="60" t="s">
        <v>291</v>
      </c>
      <c r="L1510" s="33" t="s">
        <v>410</v>
      </c>
      <c r="M1510" s="33">
        <v>7263</v>
      </c>
      <c r="N1510" s="36"/>
      <c r="O1510" s="33">
        <v>3</v>
      </c>
      <c r="P1510" s="33">
        <f>IF(Tabela1[[#This Row],[Status]]="✔️",Tabela1[[#This Row],[Peso]],IF(Tabela1[[#This Row],[Status]]="✔️✔️",Tabela1[[#This Row],[Peso]]/2,0))</f>
        <v>1.5</v>
      </c>
      <c r="Q1510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510" s="33" t="s">
        <v>187</v>
      </c>
      <c r="S1510" s="33" t="s">
        <v>349</v>
      </c>
    </row>
    <row r="1511" spans="8:19" ht="47.4" customHeight="1" x14ac:dyDescent="0.3">
      <c r="H1511" s="33" t="s">
        <v>9</v>
      </c>
      <c r="I1511" s="33" t="s">
        <v>25</v>
      </c>
      <c r="J1511" s="34" t="s">
        <v>29</v>
      </c>
      <c r="K1511" s="60" t="s">
        <v>290</v>
      </c>
      <c r="L1511" s="33" t="s">
        <v>407</v>
      </c>
      <c r="M1511" s="33" t="s">
        <v>409</v>
      </c>
      <c r="N1511" s="36"/>
      <c r="O1511" s="33">
        <v>3</v>
      </c>
      <c r="P1511" s="33">
        <f>IF(Tabela1[[#This Row],[Status]]="✔️",Tabela1[[#This Row],[Peso]],IF(Tabela1[[#This Row],[Status]]="✔️✔️",Tabela1[[#This Row],[Peso]]/2,0))</f>
        <v>0</v>
      </c>
      <c r="Q151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11" s="33" t="s">
        <v>187</v>
      </c>
      <c r="S1511" s="33" t="s">
        <v>349</v>
      </c>
    </row>
    <row r="1512" spans="8:19" ht="47.4" customHeight="1" x14ac:dyDescent="0.3">
      <c r="H1512" s="33" t="s">
        <v>9</v>
      </c>
      <c r="I1512" s="33" t="s">
        <v>31</v>
      </c>
      <c r="J1512" s="66" t="s">
        <v>32</v>
      </c>
      <c r="K1512" s="67" t="s">
        <v>291</v>
      </c>
      <c r="L1512" s="33"/>
      <c r="M1512" s="33"/>
      <c r="N1512" s="36"/>
      <c r="O1512" s="33">
        <v>3</v>
      </c>
      <c r="P1512" s="33">
        <f>IF(Tabela1[[#This Row],[Status]]="✔️",Tabela1[[#This Row],[Peso]],IF(Tabela1[[#This Row],[Status]]="✔️✔️",Tabela1[[#This Row],[Peso]]/2,0))</f>
        <v>1.5</v>
      </c>
      <c r="Q1512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512" s="33" t="s">
        <v>187</v>
      </c>
      <c r="S1512" s="33" t="s">
        <v>349</v>
      </c>
    </row>
    <row r="1513" spans="8:19" ht="47.4" customHeight="1" x14ac:dyDescent="0.3">
      <c r="H1513" s="33" t="s">
        <v>9</v>
      </c>
      <c r="I1513" s="33" t="s">
        <v>30</v>
      </c>
      <c r="J1513" s="34" t="s">
        <v>470</v>
      </c>
      <c r="K1513" s="60" t="s">
        <v>291</v>
      </c>
      <c r="L1513" s="33"/>
      <c r="M1513" s="33">
        <v>7548</v>
      </c>
      <c r="N1513" s="36"/>
      <c r="O1513" s="33">
        <v>3</v>
      </c>
      <c r="P1513" s="33">
        <f>IF(Tabela1[[#This Row],[Status]]="✔️",Tabela1[[#This Row],[Peso]],IF(Tabela1[[#This Row],[Status]]="✔️✔️",Tabela1[[#This Row],[Peso]]/2,0))</f>
        <v>1.5</v>
      </c>
      <c r="Q1513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513" s="33" t="s">
        <v>187</v>
      </c>
      <c r="S1513" s="33" t="s">
        <v>349</v>
      </c>
    </row>
    <row r="1514" spans="8:19" ht="47.4" customHeight="1" x14ac:dyDescent="0.3">
      <c r="H1514" s="33" t="s">
        <v>9</v>
      </c>
      <c r="I1514" s="33" t="s">
        <v>33</v>
      </c>
      <c r="J1514" s="34" t="s">
        <v>131</v>
      </c>
      <c r="K1514" s="60" t="s">
        <v>291</v>
      </c>
      <c r="L1514" s="33"/>
      <c r="M1514" s="33">
        <v>4595</v>
      </c>
      <c r="N1514" s="36"/>
      <c r="O1514" s="33">
        <v>3</v>
      </c>
      <c r="P1514" s="33">
        <f>IF(Tabela1[[#This Row],[Status]]="✔️",Tabela1[[#This Row],[Peso]],IF(Tabela1[[#This Row],[Status]]="✔️✔️",Tabela1[[#This Row],[Peso]]/2,0))</f>
        <v>1.5</v>
      </c>
      <c r="Q1514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514" s="33" t="s">
        <v>187</v>
      </c>
      <c r="S1514" s="33" t="s">
        <v>349</v>
      </c>
    </row>
    <row r="1515" spans="8:19" ht="47.4" customHeight="1" x14ac:dyDescent="0.3">
      <c r="H1515" s="33" t="s">
        <v>9</v>
      </c>
      <c r="I1515" s="33" t="s">
        <v>33</v>
      </c>
      <c r="J1515" s="34" t="s">
        <v>326</v>
      </c>
      <c r="K1515" s="67" t="s">
        <v>290</v>
      </c>
      <c r="L1515" s="33" t="s">
        <v>404</v>
      </c>
      <c r="M1515" s="33">
        <v>1015</v>
      </c>
      <c r="N1515" s="36"/>
      <c r="O1515" s="33">
        <v>3</v>
      </c>
      <c r="P1515" s="33">
        <f>IF(Tabela1[[#This Row],[Status]]="✔️",Tabela1[[#This Row],[Peso]],IF(Tabela1[[#This Row],[Status]]="✔️✔️",Tabela1[[#This Row],[Peso]]/2,0))</f>
        <v>0</v>
      </c>
      <c r="Q151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15" s="33" t="s">
        <v>187</v>
      </c>
      <c r="S1515" s="33" t="s">
        <v>349</v>
      </c>
    </row>
    <row r="1516" spans="8:19" ht="47.4" customHeight="1" x14ac:dyDescent="0.3">
      <c r="H1516" s="33" t="s">
        <v>9</v>
      </c>
      <c r="I1516" s="33" t="s">
        <v>33</v>
      </c>
      <c r="J1516" s="34" t="s">
        <v>406</v>
      </c>
      <c r="K1516" s="67" t="s">
        <v>290</v>
      </c>
      <c r="L1516" s="33" t="s">
        <v>405</v>
      </c>
      <c r="M1516" s="33" t="s">
        <v>408</v>
      </c>
      <c r="N1516" s="36"/>
      <c r="O1516" s="33">
        <v>3</v>
      </c>
      <c r="P1516" s="33">
        <f>IF(Tabela1[[#This Row],[Status]]="✔️",Tabela1[[#This Row],[Peso]],IF(Tabela1[[#This Row],[Status]]="✔️✔️",Tabela1[[#This Row],[Peso]]/2,0))</f>
        <v>0</v>
      </c>
      <c r="Q151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16" s="33" t="s">
        <v>187</v>
      </c>
      <c r="S1516" s="33" t="s">
        <v>349</v>
      </c>
    </row>
    <row r="1517" spans="8:19" ht="47.4" customHeight="1" x14ac:dyDescent="0.3">
      <c r="H1517" s="33" t="s">
        <v>9</v>
      </c>
      <c r="I1517" s="33" t="s">
        <v>33</v>
      </c>
      <c r="J1517" s="65" t="s">
        <v>36</v>
      </c>
      <c r="K1517" s="67" t="s">
        <v>290</v>
      </c>
      <c r="L1517" s="33" t="s">
        <v>404</v>
      </c>
      <c r="M1517" s="33">
        <v>1015</v>
      </c>
      <c r="N1517" s="36"/>
      <c r="O1517" s="33">
        <v>3</v>
      </c>
      <c r="P1517" s="33">
        <f>IF(Tabela1[[#This Row],[Status]]="✔️",Tabela1[[#This Row],[Peso]],IF(Tabela1[[#This Row],[Status]]="✔️✔️",Tabela1[[#This Row],[Peso]]/2,0))</f>
        <v>0</v>
      </c>
      <c r="Q151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17" s="33" t="s">
        <v>187</v>
      </c>
      <c r="S1517" s="33" t="s">
        <v>349</v>
      </c>
    </row>
    <row r="1518" spans="8:19" ht="47.4" customHeight="1" x14ac:dyDescent="0.3">
      <c r="H1518" s="33" t="s">
        <v>9</v>
      </c>
      <c r="I1518" s="33" t="s">
        <v>33</v>
      </c>
      <c r="J1518" s="34" t="s">
        <v>37</v>
      </c>
      <c r="K1518" s="67" t="s">
        <v>290</v>
      </c>
      <c r="L1518" s="33" t="s">
        <v>403</v>
      </c>
      <c r="M1518" s="33">
        <v>6075</v>
      </c>
      <c r="N1518" s="36"/>
      <c r="O1518" s="33">
        <v>3</v>
      </c>
      <c r="P1518" s="33">
        <f>IF(Tabela1[[#This Row],[Status]]="✔️",Tabela1[[#This Row],[Peso]],IF(Tabela1[[#This Row],[Status]]="✔️✔️",Tabela1[[#This Row],[Peso]]/2,0))</f>
        <v>0</v>
      </c>
      <c r="Q151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18" s="33" t="s">
        <v>187</v>
      </c>
      <c r="S1518" s="33" t="s">
        <v>349</v>
      </c>
    </row>
    <row r="1519" spans="8:19" ht="47.4" customHeight="1" x14ac:dyDescent="0.3">
      <c r="H1519" s="33" t="s">
        <v>9</v>
      </c>
      <c r="I1519" s="33" t="s">
        <v>38</v>
      </c>
      <c r="J1519" s="34" t="s">
        <v>327</v>
      </c>
      <c r="K1519" s="60" t="s">
        <v>0</v>
      </c>
      <c r="L1519" s="33"/>
      <c r="M1519" s="33"/>
      <c r="N1519" s="36"/>
      <c r="O1519" s="33">
        <v>3</v>
      </c>
      <c r="P1519" s="33">
        <f>IF(Tabela1[[#This Row],[Status]]="✔️",Tabela1[[#This Row],[Peso]],IF(Tabela1[[#This Row],[Status]]="✔️✔️",Tabela1[[#This Row],[Peso]]/2,0))</f>
        <v>3</v>
      </c>
      <c r="Q151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19" s="33" t="s">
        <v>187</v>
      </c>
      <c r="S1519" s="33" t="s">
        <v>349</v>
      </c>
    </row>
    <row r="1520" spans="8:19" ht="47.4" customHeight="1" x14ac:dyDescent="0.3">
      <c r="H1520" s="33" t="s">
        <v>9</v>
      </c>
      <c r="I1520" s="33" t="s">
        <v>38</v>
      </c>
      <c r="J1520" s="65" t="s">
        <v>40</v>
      </c>
      <c r="K1520" s="60" t="s">
        <v>0</v>
      </c>
      <c r="L1520" s="33"/>
      <c r="M1520" s="33"/>
      <c r="N1520" s="36"/>
      <c r="O1520" s="33">
        <v>3</v>
      </c>
      <c r="P1520" s="33">
        <f>IF(Tabela1[[#This Row],[Status]]="✔️",Tabela1[[#This Row],[Peso]],IF(Tabela1[[#This Row],[Status]]="✔️✔️",Tabela1[[#This Row],[Peso]]/2,0))</f>
        <v>3</v>
      </c>
      <c r="Q152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20" s="33" t="s">
        <v>187</v>
      </c>
      <c r="S1520" s="33" t="s">
        <v>349</v>
      </c>
    </row>
    <row r="1521" spans="8:19" ht="47.4" customHeight="1" x14ac:dyDescent="0.3">
      <c r="H1521" s="33" t="s">
        <v>9</v>
      </c>
      <c r="I1521" s="33" t="s">
        <v>41</v>
      </c>
      <c r="J1521" s="34" t="s">
        <v>442</v>
      </c>
      <c r="K1521" s="60" t="s">
        <v>291</v>
      </c>
      <c r="L1521" s="33"/>
      <c r="M1521" s="33">
        <v>9106</v>
      </c>
      <c r="N1521" s="36"/>
      <c r="O1521" s="33">
        <v>3</v>
      </c>
      <c r="P1521" s="33">
        <f>IF(Tabela1[[#This Row],[Status]]="✔️",Tabela1[[#This Row],[Peso]],IF(Tabela1[[#This Row],[Status]]="✔️✔️",Tabela1[[#This Row],[Peso]]/2,0))</f>
        <v>1.5</v>
      </c>
      <c r="Q1521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521" s="33" t="s">
        <v>187</v>
      </c>
      <c r="S1521" s="33" t="s">
        <v>349</v>
      </c>
    </row>
    <row r="1522" spans="8:19" ht="47.4" customHeight="1" x14ac:dyDescent="0.3">
      <c r="H1522" s="33" t="s">
        <v>9</v>
      </c>
      <c r="I1522" s="53" t="s">
        <v>41</v>
      </c>
      <c r="J1522" s="34" t="s">
        <v>443</v>
      </c>
      <c r="K1522" s="60" t="s">
        <v>291</v>
      </c>
      <c r="L1522" s="53"/>
      <c r="M1522" s="53">
        <v>9106</v>
      </c>
      <c r="N1522" s="55"/>
      <c r="O1522" s="53">
        <v>2</v>
      </c>
      <c r="P1522" s="33">
        <f>IF(Tabela1[[#This Row],[Status]]="✔️",Tabela1[[#This Row],[Peso]],IF(Tabela1[[#This Row],[Status]]="✔️✔️",Tabela1[[#This Row],[Peso]]/2,0))</f>
        <v>1</v>
      </c>
      <c r="Q152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522" s="33" t="s">
        <v>187</v>
      </c>
      <c r="S1522" s="33" t="s">
        <v>349</v>
      </c>
    </row>
    <row r="1523" spans="8:19" ht="40.799999999999997" customHeight="1" x14ac:dyDescent="0.3">
      <c r="H1523" s="33" t="s">
        <v>9</v>
      </c>
      <c r="I1523" s="33" t="s">
        <v>14</v>
      </c>
      <c r="J1523" s="34" t="s">
        <v>15</v>
      </c>
      <c r="K1523" s="60" t="s">
        <v>0</v>
      </c>
      <c r="L1523" s="33"/>
      <c r="M1523" s="33"/>
      <c r="N1523" s="36"/>
      <c r="O1523" s="33">
        <v>3</v>
      </c>
      <c r="P1523" s="33">
        <v>3</v>
      </c>
      <c r="Q1523" s="33">
        <v>3</v>
      </c>
      <c r="R1523" s="33" t="s">
        <v>130</v>
      </c>
      <c r="S1523" s="33" t="s">
        <v>349</v>
      </c>
    </row>
    <row r="1524" spans="8:19" ht="40.799999999999997" customHeight="1" x14ac:dyDescent="0.3">
      <c r="H1524" s="33" t="s">
        <v>9</v>
      </c>
      <c r="I1524" s="33" t="s">
        <v>14</v>
      </c>
      <c r="J1524" s="34" t="s">
        <v>16</v>
      </c>
      <c r="K1524" s="60" t="s">
        <v>291</v>
      </c>
      <c r="L1524" s="33"/>
      <c r="M1524" s="33"/>
      <c r="N1524" s="36"/>
      <c r="O1524" s="33">
        <v>1</v>
      </c>
      <c r="P1524" s="33">
        <v>0</v>
      </c>
      <c r="Q1524" s="50">
        <v>0.5</v>
      </c>
      <c r="R1524" s="33" t="s">
        <v>130</v>
      </c>
      <c r="S1524" s="33" t="s">
        <v>349</v>
      </c>
    </row>
    <row r="1525" spans="8:19" ht="40.799999999999997" customHeight="1" x14ac:dyDescent="0.3">
      <c r="H1525" s="33" t="s">
        <v>9</v>
      </c>
      <c r="I1525" s="33" t="s">
        <v>10</v>
      </c>
      <c r="J1525" s="34" t="s">
        <v>11</v>
      </c>
      <c r="K1525" s="60" t="s">
        <v>0</v>
      </c>
      <c r="L1525" s="33"/>
      <c r="M1525" s="33"/>
      <c r="N1525" s="36"/>
      <c r="O1525" s="33">
        <v>3</v>
      </c>
      <c r="P1525" s="33">
        <v>3</v>
      </c>
      <c r="Q1525" s="33">
        <v>3</v>
      </c>
      <c r="R1525" s="33" t="s">
        <v>130</v>
      </c>
      <c r="S1525" s="33" t="s">
        <v>349</v>
      </c>
    </row>
    <row r="1526" spans="8:19" ht="40.799999999999997" customHeight="1" x14ac:dyDescent="0.3">
      <c r="H1526" s="33" t="s">
        <v>9</v>
      </c>
      <c r="I1526" s="33" t="s">
        <v>10</v>
      </c>
      <c r="J1526" s="34" t="s">
        <v>316</v>
      </c>
      <c r="K1526" s="60" t="s">
        <v>0</v>
      </c>
      <c r="L1526" s="33"/>
      <c r="M1526" s="33"/>
      <c r="N1526" s="36"/>
      <c r="O1526" s="33">
        <v>3</v>
      </c>
      <c r="P1526" s="33">
        <v>3</v>
      </c>
      <c r="Q1526" s="33">
        <v>3</v>
      </c>
      <c r="R1526" s="33" t="s">
        <v>130</v>
      </c>
      <c r="S1526" s="33" t="s">
        <v>349</v>
      </c>
    </row>
    <row r="1527" spans="8:19" ht="40.799999999999997" customHeight="1" x14ac:dyDescent="0.3">
      <c r="H1527" s="33" t="s">
        <v>9</v>
      </c>
      <c r="I1527" s="33" t="s">
        <v>10</v>
      </c>
      <c r="J1527" s="34" t="s">
        <v>444</v>
      </c>
      <c r="K1527" s="60" t="s">
        <v>0</v>
      </c>
      <c r="L1527" s="33"/>
      <c r="M1527" s="33"/>
      <c r="N1527" s="36"/>
      <c r="O1527" s="33">
        <v>3</v>
      </c>
      <c r="P1527" s="33">
        <v>3</v>
      </c>
      <c r="Q1527" s="33">
        <v>3</v>
      </c>
      <c r="R1527" s="33" t="s">
        <v>130</v>
      </c>
      <c r="S1527" s="33" t="s">
        <v>349</v>
      </c>
    </row>
    <row r="1528" spans="8:19" ht="40.799999999999997" customHeight="1" x14ac:dyDescent="0.3">
      <c r="H1528" s="33" t="s">
        <v>9</v>
      </c>
      <c r="I1528" s="33" t="s">
        <v>10</v>
      </c>
      <c r="J1528" s="34" t="s">
        <v>440</v>
      </c>
      <c r="K1528" s="60" t="s">
        <v>0</v>
      </c>
      <c r="L1528" s="33"/>
      <c r="M1528" s="33"/>
      <c r="N1528" s="36"/>
      <c r="O1528" s="33">
        <v>3</v>
      </c>
      <c r="P1528" s="33">
        <v>3</v>
      </c>
      <c r="Q1528" s="33">
        <v>3</v>
      </c>
      <c r="R1528" s="33" t="s">
        <v>130</v>
      </c>
      <c r="S1528" s="33" t="s">
        <v>349</v>
      </c>
    </row>
    <row r="1529" spans="8:19" ht="40.799999999999997" customHeight="1" x14ac:dyDescent="0.3">
      <c r="H1529" s="33" t="s">
        <v>9</v>
      </c>
      <c r="I1529" s="33" t="s">
        <v>10</v>
      </c>
      <c r="J1529" s="68" t="s">
        <v>393</v>
      </c>
      <c r="K1529" s="63" t="s">
        <v>0</v>
      </c>
      <c r="L1529" s="61"/>
      <c r="M1529" s="61"/>
      <c r="N1529" s="64"/>
      <c r="O1529" s="33">
        <v>2</v>
      </c>
      <c r="P1529" s="33">
        <v>2</v>
      </c>
      <c r="Q1529" s="33">
        <v>2</v>
      </c>
      <c r="R1529" s="33" t="s">
        <v>130</v>
      </c>
      <c r="S1529" s="33" t="s">
        <v>349</v>
      </c>
    </row>
    <row r="1530" spans="8:19" ht="40.799999999999997" customHeight="1" x14ac:dyDescent="0.3">
      <c r="H1530" s="33" t="s">
        <v>9</v>
      </c>
      <c r="I1530" s="33" t="s">
        <v>12</v>
      </c>
      <c r="J1530" s="68" t="s">
        <v>467</v>
      </c>
      <c r="K1530" s="60" t="s">
        <v>0</v>
      </c>
      <c r="L1530" s="33"/>
      <c r="M1530" s="33"/>
      <c r="N1530" s="36"/>
      <c r="O1530" s="33">
        <v>2</v>
      </c>
      <c r="P1530" s="33">
        <v>2</v>
      </c>
      <c r="Q1530" s="33">
        <v>2</v>
      </c>
      <c r="R1530" s="33" t="s">
        <v>130</v>
      </c>
      <c r="S1530" s="33" t="s">
        <v>349</v>
      </c>
    </row>
    <row r="1531" spans="8:19" ht="40.799999999999997" customHeight="1" x14ac:dyDescent="0.3">
      <c r="H1531" s="33" t="s">
        <v>9</v>
      </c>
      <c r="I1531" s="33" t="s">
        <v>17</v>
      </c>
      <c r="J1531" s="34" t="s">
        <v>325</v>
      </c>
      <c r="K1531" s="60" t="s">
        <v>0</v>
      </c>
      <c r="L1531" s="33"/>
      <c r="M1531" s="33"/>
      <c r="N1531" s="36"/>
      <c r="O1531" s="33">
        <v>3</v>
      </c>
      <c r="P1531" s="33">
        <v>3</v>
      </c>
      <c r="Q1531" s="33">
        <v>3</v>
      </c>
      <c r="R1531" s="33" t="s">
        <v>130</v>
      </c>
      <c r="S1531" s="33" t="s">
        <v>349</v>
      </c>
    </row>
    <row r="1532" spans="8:19" ht="40.799999999999997" customHeight="1" x14ac:dyDescent="0.3">
      <c r="H1532" s="33" t="s">
        <v>9</v>
      </c>
      <c r="I1532" s="33" t="s">
        <v>17</v>
      </c>
      <c r="J1532" s="34" t="s">
        <v>19</v>
      </c>
      <c r="K1532" s="60" t="s">
        <v>0</v>
      </c>
      <c r="L1532" s="33"/>
      <c r="M1532" s="33"/>
      <c r="N1532" s="36"/>
      <c r="O1532" s="33">
        <v>3</v>
      </c>
      <c r="P1532" s="33">
        <v>3</v>
      </c>
      <c r="Q1532" s="33">
        <v>3</v>
      </c>
      <c r="R1532" s="33" t="s">
        <v>130</v>
      </c>
      <c r="S1532" s="33" t="s">
        <v>349</v>
      </c>
    </row>
    <row r="1533" spans="8:19" ht="40.799999999999997" customHeight="1" x14ac:dyDescent="0.3">
      <c r="H1533" s="33" t="s">
        <v>9</v>
      </c>
      <c r="I1533" s="33" t="s">
        <v>20</v>
      </c>
      <c r="J1533" s="34" t="s">
        <v>21</v>
      </c>
      <c r="K1533" s="60" t="s">
        <v>0</v>
      </c>
      <c r="L1533" s="33"/>
      <c r="M1533" s="33"/>
      <c r="N1533" s="36"/>
      <c r="O1533" s="33">
        <v>3</v>
      </c>
      <c r="P1533" s="33">
        <v>0</v>
      </c>
      <c r="Q1533" s="33">
        <v>1.5</v>
      </c>
      <c r="R1533" s="33" t="s">
        <v>130</v>
      </c>
      <c r="S1533" s="33" t="s">
        <v>349</v>
      </c>
    </row>
    <row r="1534" spans="8:19" ht="40.799999999999997" customHeight="1" x14ac:dyDescent="0.3">
      <c r="H1534" s="33" t="s">
        <v>9</v>
      </c>
      <c r="I1534" s="33" t="s">
        <v>20</v>
      </c>
      <c r="J1534" s="34" t="s">
        <v>441</v>
      </c>
      <c r="K1534" s="60" t="s">
        <v>0</v>
      </c>
      <c r="L1534" s="33"/>
      <c r="M1534" s="33"/>
      <c r="N1534" s="36"/>
      <c r="O1534" s="33">
        <v>1</v>
      </c>
      <c r="P1534" s="33">
        <v>1</v>
      </c>
      <c r="Q1534" s="33">
        <v>1</v>
      </c>
      <c r="R1534" s="33" t="s">
        <v>130</v>
      </c>
      <c r="S1534" s="33" t="s">
        <v>349</v>
      </c>
    </row>
    <row r="1535" spans="8:19" ht="40.799999999999997" customHeight="1" x14ac:dyDescent="0.3">
      <c r="H1535" s="33" t="s">
        <v>9</v>
      </c>
      <c r="I1535" s="33" t="s">
        <v>22</v>
      </c>
      <c r="J1535" s="34" t="s">
        <v>23</v>
      </c>
      <c r="K1535" s="60"/>
      <c r="L1535" s="33"/>
      <c r="M1535" s="33"/>
      <c r="N1535" s="36"/>
      <c r="O1535" s="33">
        <v>1</v>
      </c>
      <c r="P1535" s="33">
        <v>1</v>
      </c>
      <c r="Q1535" s="33">
        <v>1</v>
      </c>
      <c r="R1535" s="33" t="s">
        <v>130</v>
      </c>
      <c r="S1535" s="33" t="s">
        <v>349</v>
      </c>
    </row>
    <row r="1536" spans="8:19" ht="40.799999999999997" customHeight="1" x14ac:dyDescent="0.3">
      <c r="H1536" s="33" t="s">
        <v>9</v>
      </c>
      <c r="I1536" s="33" t="s">
        <v>22</v>
      </c>
      <c r="J1536" s="34" t="s">
        <v>468</v>
      </c>
      <c r="K1536" s="60" t="s">
        <v>0</v>
      </c>
      <c r="L1536" s="33"/>
      <c r="M1536" s="33"/>
      <c r="N1536" s="36"/>
      <c r="O1536" s="33">
        <v>1</v>
      </c>
      <c r="P1536" s="33">
        <v>1</v>
      </c>
      <c r="Q1536" s="33">
        <v>1</v>
      </c>
      <c r="R1536" s="33" t="s">
        <v>130</v>
      </c>
      <c r="S1536" s="33" t="s">
        <v>349</v>
      </c>
    </row>
    <row r="1537" spans="8:19" ht="40.799999999999997" customHeight="1" x14ac:dyDescent="0.3">
      <c r="H1537" s="33" t="s">
        <v>9</v>
      </c>
      <c r="I1537" s="33" t="s">
        <v>25</v>
      </c>
      <c r="J1537" s="34" t="s">
        <v>469</v>
      </c>
      <c r="K1537" s="60"/>
      <c r="L1537" s="33"/>
      <c r="M1537" s="33"/>
      <c r="N1537" s="36"/>
      <c r="O1537" s="33">
        <v>3</v>
      </c>
      <c r="P1537" s="33">
        <v>3</v>
      </c>
      <c r="Q1537" s="33">
        <v>3</v>
      </c>
      <c r="R1537" s="33" t="s">
        <v>130</v>
      </c>
      <c r="S1537" s="33" t="s">
        <v>349</v>
      </c>
    </row>
    <row r="1538" spans="8:19" ht="40.799999999999997" customHeight="1" x14ac:dyDescent="0.3">
      <c r="H1538" s="33" t="s">
        <v>9</v>
      </c>
      <c r="I1538" s="33" t="s">
        <v>25</v>
      </c>
      <c r="J1538" s="34" t="s">
        <v>29</v>
      </c>
      <c r="K1538" s="60"/>
      <c r="L1538" s="33"/>
      <c r="M1538" s="33"/>
      <c r="N1538" s="36"/>
      <c r="O1538" s="33">
        <v>3</v>
      </c>
      <c r="P1538" s="33">
        <v>3</v>
      </c>
      <c r="Q1538" s="33">
        <v>3</v>
      </c>
      <c r="R1538" s="33" t="s">
        <v>130</v>
      </c>
      <c r="S1538" s="33" t="s">
        <v>349</v>
      </c>
    </row>
    <row r="1539" spans="8:19" ht="40.799999999999997" customHeight="1" x14ac:dyDescent="0.3">
      <c r="H1539" s="33" t="s">
        <v>9</v>
      </c>
      <c r="I1539" s="33" t="s">
        <v>31</v>
      </c>
      <c r="J1539" s="34" t="s">
        <v>32</v>
      </c>
      <c r="K1539" s="60"/>
      <c r="L1539" s="33"/>
      <c r="M1539" s="33"/>
      <c r="N1539" s="36"/>
      <c r="O1539" s="33">
        <v>3</v>
      </c>
      <c r="P1539" s="33">
        <v>0</v>
      </c>
      <c r="Q1539" s="33">
        <v>1.5</v>
      </c>
      <c r="R1539" s="33" t="s">
        <v>130</v>
      </c>
      <c r="S1539" s="33" t="s">
        <v>349</v>
      </c>
    </row>
    <row r="1540" spans="8:19" ht="40.799999999999997" customHeight="1" x14ac:dyDescent="0.3">
      <c r="H1540" s="33" t="s">
        <v>9</v>
      </c>
      <c r="I1540" s="33" t="s">
        <v>30</v>
      </c>
      <c r="J1540" s="34" t="s">
        <v>470</v>
      </c>
      <c r="K1540" s="60" t="s">
        <v>0</v>
      </c>
      <c r="L1540" s="33"/>
      <c r="M1540" s="33"/>
      <c r="N1540" s="36"/>
      <c r="O1540" s="33">
        <v>3</v>
      </c>
      <c r="P1540" s="33">
        <v>3</v>
      </c>
      <c r="Q1540" s="33">
        <v>3</v>
      </c>
      <c r="R1540" s="33" t="s">
        <v>130</v>
      </c>
      <c r="S1540" s="33" t="s">
        <v>349</v>
      </c>
    </row>
    <row r="1541" spans="8:19" ht="40.799999999999997" customHeight="1" x14ac:dyDescent="0.3">
      <c r="H1541" s="33" t="s">
        <v>9</v>
      </c>
      <c r="I1541" s="33" t="s">
        <v>33</v>
      </c>
      <c r="J1541" s="34" t="s">
        <v>131</v>
      </c>
      <c r="K1541" s="60" t="s">
        <v>0</v>
      </c>
      <c r="L1541" s="33"/>
      <c r="M1541" s="33"/>
      <c r="N1541" s="36"/>
      <c r="O1541" s="33">
        <v>3</v>
      </c>
      <c r="P1541" s="33">
        <v>3</v>
      </c>
      <c r="Q1541" s="33">
        <v>3</v>
      </c>
      <c r="R1541" s="33" t="s">
        <v>130</v>
      </c>
      <c r="S1541" s="33" t="s">
        <v>349</v>
      </c>
    </row>
    <row r="1542" spans="8:19" ht="40.799999999999997" customHeight="1" x14ac:dyDescent="0.3">
      <c r="H1542" s="33" t="s">
        <v>9</v>
      </c>
      <c r="I1542" s="33" t="s">
        <v>33</v>
      </c>
      <c r="J1542" s="34" t="s">
        <v>326</v>
      </c>
      <c r="K1542" s="60" t="s">
        <v>0</v>
      </c>
      <c r="L1542" s="33"/>
      <c r="M1542" s="33"/>
      <c r="N1542" s="36"/>
      <c r="O1542" s="33">
        <v>3</v>
      </c>
      <c r="P1542" s="33">
        <v>3</v>
      </c>
      <c r="Q1542" s="33">
        <v>3</v>
      </c>
      <c r="R1542" s="33" t="s">
        <v>130</v>
      </c>
      <c r="S1542" s="33" t="s">
        <v>349</v>
      </c>
    </row>
    <row r="1543" spans="8:19" ht="40.799999999999997" customHeight="1" x14ac:dyDescent="0.3">
      <c r="H1543" s="33" t="s">
        <v>9</v>
      </c>
      <c r="I1543" s="33" t="s">
        <v>33</v>
      </c>
      <c r="J1543" s="34" t="s">
        <v>446</v>
      </c>
      <c r="K1543" s="60" t="s">
        <v>290</v>
      </c>
      <c r="L1543" s="33"/>
      <c r="M1543" s="33"/>
      <c r="N1543" s="36"/>
      <c r="O1543" s="33">
        <v>3</v>
      </c>
      <c r="P1543" s="33">
        <v>0</v>
      </c>
      <c r="Q1543" s="33">
        <v>1.5</v>
      </c>
      <c r="R1543" s="33" t="s">
        <v>130</v>
      </c>
      <c r="S1543" s="33" t="s">
        <v>349</v>
      </c>
    </row>
    <row r="1544" spans="8:19" ht="40.799999999999997" customHeight="1" x14ac:dyDescent="0.3">
      <c r="H1544" s="33" t="s">
        <v>9</v>
      </c>
      <c r="I1544" s="33" t="s">
        <v>33</v>
      </c>
      <c r="J1544" s="65" t="s">
        <v>36</v>
      </c>
      <c r="K1544" s="60" t="s">
        <v>290</v>
      </c>
      <c r="L1544" s="33"/>
      <c r="M1544" s="33"/>
      <c r="N1544" s="36"/>
      <c r="O1544" s="33">
        <v>3</v>
      </c>
      <c r="P1544" s="33">
        <v>0</v>
      </c>
      <c r="Q1544" s="33">
        <v>3</v>
      </c>
      <c r="R1544" s="33" t="s">
        <v>130</v>
      </c>
      <c r="S1544" s="33" t="s">
        <v>349</v>
      </c>
    </row>
    <row r="1545" spans="8:19" ht="40.799999999999997" customHeight="1" x14ac:dyDescent="0.3">
      <c r="H1545" s="33" t="s">
        <v>9</v>
      </c>
      <c r="I1545" s="33" t="s">
        <v>33</v>
      </c>
      <c r="J1545" s="34" t="s">
        <v>37</v>
      </c>
      <c r="K1545" s="60"/>
      <c r="L1545" s="33"/>
      <c r="M1545" s="33"/>
      <c r="N1545" s="36"/>
      <c r="O1545" s="33">
        <v>3</v>
      </c>
      <c r="P1545" s="33">
        <v>0</v>
      </c>
      <c r="Q1545" s="33">
        <v>3</v>
      </c>
      <c r="R1545" s="33" t="s">
        <v>130</v>
      </c>
      <c r="S1545" s="33" t="s">
        <v>349</v>
      </c>
    </row>
    <row r="1546" spans="8:19" ht="40.799999999999997" customHeight="1" x14ac:dyDescent="0.3">
      <c r="H1546" s="33" t="s">
        <v>9</v>
      </c>
      <c r="I1546" s="33" t="s">
        <v>38</v>
      </c>
      <c r="J1546" s="34" t="s">
        <v>327</v>
      </c>
      <c r="K1546" s="60"/>
      <c r="L1546" s="33"/>
      <c r="M1546" s="33"/>
      <c r="N1546" s="36"/>
      <c r="O1546" s="33">
        <v>3</v>
      </c>
      <c r="P1546" s="33">
        <v>3</v>
      </c>
      <c r="Q1546" s="33">
        <v>3</v>
      </c>
      <c r="R1546" s="33" t="s">
        <v>130</v>
      </c>
      <c r="S1546" s="33" t="s">
        <v>349</v>
      </c>
    </row>
    <row r="1547" spans="8:19" ht="40.799999999999997" customHeight="1" x14ac:dyDescent="0.3">
      <c r="H1547" s="33" t="s">
        <v>9</v>
      </c>
      <c r="I1547" s="33" t="s">
        <v>38</v>
      </c>
      <c r="J1547" s="65" t="s">
        <v>40</v>
      </c>
      <c r="K1547" s="60"/>
      <c r="L1547" s="33"/>
      <c r="M1547" s="33"/>
      <c r="N1547" s="36"/>
      <c r="O1547" s="33">
        <v>3</v>
      </c>
      <c r="P1547" s="33">
        <v>3</v>
      </c>
      <c r="Q1547" s="33">
        <v>3</v>
      </c>
      <c r="R1547" s="33" t="s">
        <v>130</v>
      </c>
      <c r="S1547" s="33" t="s">
        <v>349</v>
      </c>
    </row>
    <row r="1548" spans="8:19" ht="40.799999999999997" customHeight="1" x14ac:dyDescent="0.3">
      <c r="H1548" s="33" t="s">
        <v>9</v>
      </c>
      <c r="I1548" s="33" t="s">
        <v>41</v>
      </c>
      <c r="J1548" s="34" t="s">
        <v>442</v>
      </c>
      <c r="K1548" s="60" t="s">
        <v>291</v>
      </c>
      <c r="L1548" s="33"/>
      <c r="M1548" s="33">
        <v>3184</v>
      </c>
      <c r="N1548" s="36"/>
      <c r="O1548" s="33">
        <v>3</v>
      </c>
      <c r="P1548" s="33">
        <v>0</v>
      </c>
      <c r="Q1548" s="33">
        <v>1.5</v>
      </c>
      <c r="R1548" s="33" t="s">
        <v>130</v>
      </c>
      <c r="S1548" s="33" t="s">
        <v>349</v>
      </c>
    </row>
    <row r="1549" spans="8:19" ht="40.799999999999997" customHeight="1" x14ac:dyDescent="0.3">
      <c r="H1549" s="33" t="s">
        <v>9</v>
      </c>
      <c r="I1549" s="33" t="s">
        <v>41</v>
      </c>
      <c r="J1549" s="34" t="s">
        <v>443</v>
      </c>
      <c r="K1549" s="60" t="s">
        <v>291</v>
      </c>
      <c r="L1549" s="33"/>
      <c r="M1549" s="33">
        <v>3184</v>
      </c>
      <c r="N1549" s="36"/>
      <c r="O1549" s="33">
        <v>2</v>
      </c>
      <c r="P1549" s="33">
        <v>0</v>
      </c>
      <c r="Q1549" s="33">
        <v>2</v>
      </c>
      <c r="R1549" s="33" t="s">
        <v>130</v>
      </c>
      <c r="S1549" s="33" t="s">
        <v>349</v>
      </c>
    </row>
    <row r="1550" spans="8:19" ht="40.200000000000003" customHeight="1" x14ac:dyDescent="0.3">
      <c r="H1550" s="32" t="s">
        <v>56</v>
      </c>
      <c r="I1550" s="33" t="s">
        <v>14</v>
      </c>
      <c r="J1550" s="34" t="s">
        <v>15</v>
      </c>
      <c r="K1550" s="35" t="s">
        <v>0</v>
      </c>
      <c r="L1550" s="33"/>
      <c r="M1550" s="33"/>
      <c r="N1550" s="36"/>
      <c r="O1550" s="33">
        <v>3</v>
      </c>
      <c r="P1550" s="33">
        <v>3</v>
      </c>
      <c r="Q1550" s="33">
        <v>3</v>
      </c>
      <c r="R1550" s="33" t="s">
        <v>130</v>
      </c>
      <c r="S1550" s="33" t="s">
        <v>349</v>
      </c>
    </row>
    <row r="1551" spans="8:19" ht="40.200000000000003" customHeight="1" x14ac:dyDescent="0.3">
      <c r="H1551" s="32" t="s">
        <v>56</v>
      </c>
      <c r="I1551" s="33" t="s">
        <v>14</v>
      </c>
      <c r="J1551" s="34" t="s">
        <v>16</v>
      </c>
      <c r="K1551" s="35" t="s">
        <v>0</v>
      </c>
      <c r="L1551" s="33"/>
      <c r="M1551" s="33"/>
      <c r="N1551" s="36"/>
      <c r="O1551" s="33">
        <v>1</v>
      </c>
      <c r="P1551" s="33">
        <v>1</v>
      </c>
      <c r="Q1551" s="33">
        <v>1</v>
      </c>
      <c r="R1551" s="33" t="s">
        <v>130</v>
      </c>
      <c r="S1551" s="33" t="s">
        <v>349</v>
      </c>
    </row>
    <row r="1552" spans="8:19" ht="40.200000000000003" customHeight="1" x14ac:dyDescent="0.3">
      <c r="H1552" s="32" t="s">
        <v>56</v>
      </c>
      <c r="I1552" s="33" t="s">
        <v>10</v>
      </c>
      <c r="J1552" s="34" t="s">
        <v>11</v>
      </c>
      <c r="K1552" s="35" t="s">
        <v>290</v>
      </c>
      <c r="L1552" s="33" t="s">
        <v>419</v>
      </c>
      <c r="M1552" s="33">
        <v>4188</v>
      </c>
      <c r="N1552" s="36"/>
      <c r="O1552" s="33">
        <v>3</v>
      </c>
      <c r="P1552" s="33">
        <v>0</v>
      </c>
      <c r="Q1552" s="33">
        <v>3</v>
      </c>
      <c r="R1552" s="33" t="s">
        <v>130</v>
      </c>
      <c r="S1552" s="33" t="s">
        <v>349</v>
      </c>
    </row>
    <row r="1553" spans="8:19" ht="40.200000000000003" customHeight="1" x14ac:dyDescent="0.3">
      <c r="H1553" s="32" t="s">
        <v>56</v>
      </c>
      <c r="I1553" s="33" t="s">
        <v>10</v>
      </c>
      <c r="J1553" s="34" t="s">
        <v>316</v>
      </c>
      <c r="K1553" s="35" t="s">
        <v>0</v>
      </c>
      <c r="L1553" s="33"/>
      <c r="M1553" s="33"/>
      <c r="N1553" s="36"/>
      <c r="O1553" s="33">
        <v>3</v>
      </c>
      <c r="P1553" s="33">
        <v>3</v>
      </c>
      <c r="Q1553" s="33">
        <v>3</v>
      </c>
      <c r="R1553" s="33" t="s">
        <v>130</v>
      </c>
      <c r="S1553" s="33" t="s">
        <v>349</v>
      </c>
    </row>
    <row r="1554" spans="8:19" ht="40.200000000000003" customHeight="1" x14ac:dyDescent="0.3">
      <c r="H1554" s="32" t="s">
        <v>56</v>
      </c>
      <c r="I1554" s="33" t="s">
        <v>10</v>
      </c>
      <c r="J1554" s="34" t="s">
        <v>444</v>
      </c>
      <c r="K1554" s="35" t="s">
        <v>290</v>
      </c>
      <c r="L1554" s="33" t="s">
        <v>419</v>
      </c>
      <c r="M1554" s="33">
        <v>4188</v>
      </c>
      <c r="N1554" s="36"/>
      <c r="O1554" s="33">
        <v>3</v>
      </c>
      <c r="P1554" s="33">
        <v>0</v>
      </c>
      <c r="Q1554" s="33">
        <v>3</v>
      </c>
      <c r="R1554" s="33" t="s">
        <v>130</v>
      </c>
      <c r="S1554" s="33" t="s">
        <v>349</v>
      </c>
    </row>
    <row r="1555" spans="8:19" ht="40.200000000000003" customHeight="1" x14ac:dyDescent="0.3">
      <c r="H1555" s="32" t="s">
        <v>56</v>
      </c>
      <c r="I1555" s="33" t="s">
        <v>10</v>
      </c>
      <c r="J1555" s="34" t="s">
        <v>393</v>
      </c>
      <c r="K1555" s="60" t="s">
        <v>0</v>
      </c>
      <c r="L1555" s="33"/>
      <c r="M1555" s="33"/>
      <c r="N1555" s="36"/>
      <c r="O1555" s="33">
        <v>2</v>
      </c>
      <c r="P1555" s="33">
        <v>2</v>
      </c>
      <c r="Q1555" s="33">
        <v>2</v>
      </c>
      <c r="R1555" s="33" t="s">
        <v>130</v>
      </c>
      <c r="S1555" s="33" t="s">
        <v>349</v>
      </c>
    </row>
    <row r="1556" spans="8:19" ht="40.200000000000003" customHeight="1" x14ac:dyDescent="0.3">
      <c r="H1556" s="32" t="s">
        <v>56</v>
      </c>
      <c r="I1556" s="33" t="s">
        <v>10</v>
      </c>
      <c r="J1556" s="34" t="s">
        <v>440</v>
      </c>
      <c r="K1556" s="35" t="s">
        <v>0</v>
      </c>
      <c r="L1556" s="33"/>
      <c r="M1556" s="33"/>
      <c r="N1556" s="36"/>
      <c r="O1556" s="33">
        <v>3</v>
      </c>
      <c r="P1556" s="33">
        <v>3</v>
      </c>
      <c r="Q1556" s="33">
        <v>3</v>
      </c>
      <c r="R1556" s="33" t="s">
        <v>130</v>
      </c>
      <c r="S1556" s="33" t="s">
        <v>349</v>
      </c>
    </row>
    <row r="1557" spans="8:19" ht="40.200000000000003" customHeight="1" x14ac:dyDescent="0.3">
      <c r="H1557" s="32" t="s">
        <v>56</v>
      </c>
      <c r="I1557" s="33" t="s">
        <v>12</v>
      </c>
      <c r="J1557" s="34" t="s">
        <v>13</v>
      </c>
      <c r="K1557" s="35" t="s">
        <v>0</v>
      </c>
      <c r="L1557" s="33"/>
      <c r="M1557" s="33"/>
      <c r="N1557" s="36"/>
      <c r="O1557" s="33">
        <v>2</v>
      </c>
      <c r="P1557" s="33">
        <v>0</v>
      </c>
      <c r="Q1557" s="33">
        <v>2</v>
      </c>
      <c r="R1557" s="33" t="s">
        <v>130</v>
      </c>
      <c r="S1557" s="33" t="s">
        <v>349</v>
      </c>
    </row>
    <row r="1558" spans="8:19" ht="40.200000000000003" customHeight="1" x14ac:dyDescent="0.3">
      <c r="H1558" s="32" t="s">
        <v>56</v>
      </c>
      <c r="I1558" s="33" t="s">
        <v>17</v>
      </c>
      <c r="J1558" s="34" t="s">
        <v>18</v>
      </c>
      <c r="K1558" s="35" t="s">
        <v>0</v>
      </c>
      <c r="L1558" s="33"/>
      <c r="M1558" s="33"/>
      <c r="N1558" s="36"/>
      <c r="O1558" s="33">
        <v>3</v>
      </c>
      <c r="P1558" s="33">
        <v>3</v>
      </c>
      <c r="Q1558" s="33">
        <v>3</v>
      </c>
      <c r="R1558" s="33" t="s">
        <v>130</v>
      </c>
      <c r="S1558" s="33" t="s">
        <v>349</v>
      </c>
    </row>
    <row r="1559" spans="8:19" ht="40.200000000000003" customHeight="1" x14ac:dyDescent="0.3">
      <c r="H1559" s="32" t="s">
        <v>56</v>
      </c>
      <c r="I1559" s="33" t="s">
        <v>17</v>
      </c>
      <c r="J1559" s="34" t="s">
        <v>19</v>
      </c>
      <c r="K1559" s="35" t="s">
        <v>290</v>
      </c>
      <c r="L1559" s="33" t="s">
        <v>420</v>
      </c>
      <c r="M1559" s="33">
        <v>2464</v>
      </c>
      <c r="N1559" s="36"/>
      <c r="O1559" s="33">
        <v>1</v>
      </c>
      <c r="P1559" s="33">
        <v>1</v>
      </c>
      <c r="Q1559" s="33">
        <v>1</v>
      </c>
      <c r="R1559" s="33" t="s">
        <v>130</v>
      </c>
      <c r="S1559" s="33" t="s">
        <v>349</v>
      </c>
    </row>
    <row r="1560" spans="8:19" ht="40.200000000000003" customHeight="1" x14ac:dyDescent="0.3">
      <c r="H1560" s="32" t="s">
        <v>56</v>
      </c>
      <c r="I1560" s="33" t="s">
        <v>20</v>
      </c>
      <c r="J1560" s="34" t="s">
        <v>21</v>
      </c>
      <c r="K1560" s="35" t="s">
        <v>0</v>
      </c>
      <c r="L1560" s="33" t="s">
        <v>421</v>
      </c>
      <c r="M1560" s="33"/>
      <c r="N1560" s="36"/>
      <c r="O1560" s="33">
        <v>3</v>
      </c>
      <c r="P1560" s="33">
        <v>3</v>
      </c>
      <c r="Q1560" s="33">
        <v>3</v>
      </c>
      <c r="R1560" s="33" t="s">
        <v>130</v>
      </c>
      <c r="S1560" s="33" t="s">
        <v>349</v>
      </c>
    </row>
    <row r="1561" spans="8:19" ht="40.200000000000003" customHeight="1" x14ac:dyDescent="0.3">
      <c r="H1561" s="32" t="s">
        <v>56</v>
      </c>
      <c r="I1561" s="33" t="s">
        <v>20</v>
      </c>
      <c r="J1561" s="34" t="s">
        <v>441</v>
      </c>
      <c r="K1561" s="35" t="s">
        <v>0</v>
      </c>
      <c r="L1561" s="33"/>
      <c r="M1561" s="33"/>
      <c r="N1561" s="36"/>
      <c r="O1561" s="33">
        <v>1</v>
      </c>
      <c r="P1561" s="33">
        <v>1</v>
      </c>
      <c r="Q1561" s="33">
        <v>1</v>
      </c>
      <c r="R1561" s="33" t="s">
        <v>130</v>
      </c>
      <c r="S1561" s="33" t="s">
        <v>349</v>
      </c>
    </row>
    <row r="1562" spans="8:19" ht="40.200000000000003" customHeight="1" x14ac:dyDescent="0.3">
      <c r="H1562" s="32" t="s">
        <v>56</v>
      </c>
      <c r="I1562" s="33" t="s">
        <v>22</v>
      </c>
      <c r="J1562" s="34" t="s">
        <v>23</v>
      </c>
      <c r="K1562" s="60" t="s">
        <v>0</v>
      </c>
      <c r="L1562" s="33"/>
      <c r="M1562" s="33"/>
      <c r="N1562" s="36"/>
      <c r="O1562" s="33">
        <v>1</v>
      </c>
      <c r="P1562" s="33">
        <v>1</v>
      </c>
      <c r="Q1562" s="33">
        <v>1</v>
      </c>
      <c r="R1562" s="33" t="s">
        <v>130</v>
      </c>
      <c r="S1562" s="33" t="s">
        <v>349</v>
      </c>
    </row>
    <row r="1563" spans="8:19" ht="40.200000000000003" customHeight="1" x14ac:dyDescent="0.3">
      <c r="H1563" s="32" t="s">
        <v>56</v>
      </c>
      <c r="I1563" s="33" t="s">
        <v>22</v>
      </c>
      <c r="J1563" s="34" t="s">
        <v>468</v>
      </c>
      <c r="K1563" s="60" t="s">
        <v>0</v>
      </c>
      <c r="L1563" s="33" t="s">
        <v>421</v>
      </c>
      <c r="M1563" s="33"/>
      <c r="N1563" s="36"/>
      <c r="O1563" s="33">
        <v>1</v>
      </c>
      <c r="P1563" s="33">
        <v>1</v>
      </c>
      <c r="Q1563" s="33">
        <v>1</v>
      </c>
      <c r="R1563" s="33" t="s">
        <v>130</v>
      </c>
      <c r="S1563" s="33" t="s">
        <v>349</v>
      </c>
    </row>
    <row r="1564" spans="8:19" ht="40.200000000000003" customHeight="1" x14ac:dyDescent="0.3">
      <c r="H1564" s="32" t="s">
        <v>56</v>
      </c>
      <c r="I1564" s="33" t="s">
        <v>25</v>
      </c>
      <c r="J1564" s="34" t="s">
        <v>472</v>
      </c>
      <c r="K1564" s="35" t="s">
        <v>290</v>
      </c>
      <c r="L1564" s="33" t="s">
        <v>422</v>
      </c>
      <c r="M1564" s="33">
        <v>9884</v>
      </c>
      <c r="N1564" s="36"/>
      <c r="O1564" s="33">
        <v>3</v>
      </c>
      <c r="P1564" s="33">
        <v>0</v>
      </c>
      <c r="Q1564" s="33">
        <v>3</v>
      </c>
      <c r="R1564" s="33" t="s">
        <v>130</v>
      </c>
      <c r="S1564" s="33" t="s">
        <v>349</v>
      </c>
    </row>
    <row r="1565" spans="8:19" ht="40.200000000000003" customHeight="1" x14ac:dyDescent="0.3">
      <c r="H1565" s="32" t="s">
        <v>56</v>
      </c>
      <c r="I1565" s="33" t="s">
        <v>25</v>
      </c>
      <c r="J1565" s="34" t="s">
        <v>320</v>
      </c>
      <c r="K1565" s="35" t="s">
        <v>0</v>
      </c>
      <c r="L1565" s="33"/>
      <c r="M1565" s="33"/>
      <c r="N1565" s="36"/>
      <c r="O1565" s="33">
        <v>3</v>
      </c>
      <c r="P1565" s="33">
        <v>3</v>
      </c>
      <c r="Q1565" s="33">
        <v>3</v>
      </c>
      <c r="R1565" s="33" t="s">
        <v>130</v>
      </c>
      <c r="S1565" s="33" t="s">
        <v>349</v>
      </c>
    </row>
    <row r="1566" spans="8:19" ht="40.200000000000003" customHeight="1" x14ac:dyDescent="0.3">
      <c r="H1566" s="32" t="s">
        <v>56</v>
      </c>
      <c r="I1566" s="33" t="s">
        <v>30</v>
      </c>
      <c r="J1566" s="34" t="s">
        <v>470</v>
      </c>
      <c r="K1566" s="35" t="s">
        <v>0</v>
      </c>
      <c r="L1566" s="33"/>
      <c r="M1566" s="33"/>
      <c r="N1566" s="36"/>
      <c r="O1566" s="33">
        <v>3</v>
      </c>
      <c r="P1566" s="33">
        <v>3</v>
      </c>
      <c r="Q1566" s="33">
        <v>3</v>
      </c>
      <c r="R1566" s="33" t="s">
        <v>130</v>
      </c>
      <c r="S1566" s="33" t="s">
        <v>349</v>
      </c>
    </row>
    <row r="1567" spans="8:19" ht="40.200000000000003" customHeight="1" x14ac:dyDescent="0.3">
      <c r="H1567" s="32" t="s">
        <v>56</v>
      </c>
      <c r="I1567" s="33" t="s">
        <v>25</v>
      </c>
      <c r="J1567" s="34" t="s">
        <v>449</v>
      </c>
      <c r="K1567" s="35" t="s">
        <v>0</v>
      </c>
      <c r="L1567" s="33"/>
      <c r="M1567" s="33"/>
      <c r="N1567" s="36"/>
      <c r="O1567" s="33">
        <v>3</v>
      </c>
      <c r="P1567" s="33">
        <v>3</v>
      </c>
      <c r="Q1567" s="33">
        <v>3</v>
      </c>
      <c r="R1567" s="33" t="s">
        <v>130</v>
      </c>
      <c r="S1567" s="33" t="s">
        <v>349</v>
      </c>
    </row>
    <row r="1568" spans="8:19" ht="40.200000000000003" customHeight="1" x14ac:dyDescent="0.3">
      <c r="H1568" s="32" t="s">
        <v>56</v>
      </c>
      <c r="I1568" s="33" t="s">
        <v>41</v>
      </c>
      <c r="J1568" s="34" t="s">
        <v>442</v>
      </c>
      <c r="K1568" s="35" t="s">
        <v>0</v>
      </c>
      <c r="L1568" s="33"/>
      <c r="M1568" s="33"/>
      <c r="N1568" s="36"/>
      <c r="O1568" s="33">
        <v>3</v>
      </c>
      <c r="P1568" s="33">
        <v>0</v>
      </c>
      <c r="Q1568" s="33">
        <v>1.5</v>
      </c>
      <c r="R1568" s="33" t="s">
        <v>130</v>
      </c>
      <c r="S1568" s="33" t="s">
        <v>349</v>
      </c>
    </row>
    <row r="1569" spans="8:19" ht="40.200000000000003" customHeight="1" x14ac:dyDescent="0.3">
      <c r="H1569" s="32" t="s">
        <v>56</v>
      </c>
      <c r="I1569" s="53" t="s">
        <v>41</v>
      </c>
      <c r="J1569" s="34" t="s">
        <v>443</v>
      </c>
      <c r="K1569" s="54" t="s">
        <v>0</v>
      </c>
      <c r="L1569" s="53"/>
      <c r="M1569" s="53"/>
      <c r="N1569" s="55"/>
      <c r="O1569" s="53">
        <v>2</v>
      </c>
      <c r="P1569" s="53">
        <v>0</v>
      </c>
      <c r="Q1569" s="33">
        <v>2</v>
      </c>
      <c r="R1569" s="33" t="s">
        <v>130</v>
      </c>
      <c r="S1569" s="33" t="s">
        <v>349</v>
      </c>
    </row>
    <row r="1570" spans="8:19" ht="27.6" x14ac:dyDescent="0.3">
      <c r="H1570" s="32" t="s">
        <v>54</v>
      </c>
      <c r="I1570" s="33" t="s">
        <v>14</v>
      </c>
      <c r="J1570" s="34" t="s">
        <v>15</v>
      </c>
      <c r="K1570" s="35" t="s">
        <v>0</v>
      </c>
      <c r="L1570" s="33"/>
      <c r="M1570" s="33"/>
      <c r="N1570" s="36"/>
      <c r="O1570" s="33">
        <v>3</v>
      </c>
      <c r="P1570" s="33">
        <v>3</v>
      </c>
      <c r="Q1570" s="33">
        <v>3</v>
      </c>
      <c r="R1570" s="33" t="s">
        <v>130</v>
      </c>
      <c r="S1570" s="33" t="s">
        <v>349</v>
      </c>
    </row>
    <row r="1571" spans="8:19" ht="27.6" x14ac:dyDescent="0.3">
      <c r="H1571" s="32" t="s">
        <v>54</v>
      </c>
      <c r="I1571" s="33" t="s">
        <v>14</v>
      </c>
      <c r="J1571" s="34" t="s">
        <v>16</v>
      </c>
      <c r="K1571" s="35" t="s">
        <v>0</v>
      </c>
      <c r="L1571" s="33"/>
      <c r="M1571" s="33"/>
      <c r="N1571" s="36"/>
      <c r="O1571" s="33">
        <v>1</v>
      </c>
      <c r="P1571" s="33">
        <v>1</v>
      </c>
      <c r="Q1571" s="33">
        <v>1</v>
      </c>
      <c r="R1571" s="33" t="s">
        <v>130</v>
      </c>
      <c r="S1571" s="33" t="s">
        <v>349</v>
      </c>
    </row>
    <row r="1572" spans="8:19" ht="27.6" x14ac:dyDescent="0.3">
      <c r="H1572" s="32" t="s">
        <v>54</v>
      </c>
      <c r="I1572" s="33" t="s">
        <v>10</v>
      </c>
      <c r="J1572" s="34" t="s">
        <v>11</v>
      </c>
      <c r="K1572" s="35" t="s">
        <v>290</v>
      </c>
      <c r="L1572" s="33" t="s">
        <v>419</v>
      </c>
      <c r="M1572" s="33">
        <v>4188</v>
      </c>
      <c r="N1572" s="36"/>
      <c r="O1572" s="33">
        <v>3</v>
      </c>
      <c r="P1572" s="33">
        <v>0</v>
      </c>
      <c r="Q1572" s="33">
        <v>3</v>
      </c>
      <c r="R1572" s="33" t="s">
        <v>130</v>
      </c>
      <c r="S1572" s="33" t="s">
        <v>349</v>
      </c>
    </row>
    <row r="1573" spans="8:19" ht="27.6" x14ac:dyDescent="0.3">
      <c r="H1573" s="32" t="s">
        <v>54</v>
      </c>
      <c r="I1573" s="33" t="s">
        <v>10</v>
      </c>
      <c r="J1573" s="34" t="s">
        <v>316</v>
      </c>
      <c r="K1573" s="35" t="s">
        <v>0</v>
      </c>
      <c r="L1573" s="33"/>
      <c r="M1573" s="33"/>
      <c r="N1573" s="36"/>
      <c r="O1573" s="33">
        <v>3</v>
      </c>
      <c r="P1573" s="33">
        <v>3</v>
      </c>
      <c r="Q1573" s="33">
        <v>3</v>
      </c>
      <c r="R1573" s="33" t="s">
        <v>130</v>
      </c>
      <c r="S1573" s="33" t="s">
        <v>349</v>
      </c>
    </row>
    <row r="1574" spans="8:19" ht="27.6" x14ac:dyDescent="0.3">
      <c r="H1574" s="32" t="s">
        <v>54</v>
      </c>
      <c r="I1574" s="33" t="s">
        <v>10</v>
      </c>
      <c r="J1574" s="34" t="s">
        <v>444</v>
      </c>
      <c r="K1574" s="35" t="s">
        <v>290</v>
      </c>
      <c r="L1574" s="33" t="s">
        <v>419</v>
      </c>
      <c r="M1574" s="33">
        <v>4188</v>
      </c>
      <c r="N1574" s="36"/>
      <c r="O1574" s="33">
        <v>3</v>
      </c>
      <c r="P1574" s="33">
        <v>0</v>
      </c>
      <c r="Q1574" s="33">
        <v>3</v>
      </c>
      <c r="R1574" s="33" t="s">
        <v>130</v>
      </c>
      <c r="S1574" s="33" t="s">
        <v>349</v>
      </c>
    </row>
    <row r="1575" spans="8:19" ht="27.6" x14ac:dyDescent="0.3">
      <c r="H1575" s="32" t="s">
        <v>54</v>
      </c>
      <c r="I1575" s="33" t="s">
        <v>10</v>
      </c>
      <c r="J1575" s="34" t="s">
        <v>393</v>
      </c>
      <c r="K1575" s="60" t="s">
        <v>0</v>
      </c>
      <c r="L1575" s="33"/>
      <c r="M1575" s="33"/>
      <c r="N1575" s="36"/>
      <c r="O1575" s="33">
        <v>2</v>
      </c>
      <c r="P1575" s="33">
        <v>2</v>
      </c>
      <c r="Q1575" s="33">
        <v>2</v>
      </c>
      <c r="R1575" s="33" t="s">
        <v>130</v>
      </c>
      <c r="S1575" s="33" t="s">
        <v>349</v>
      </c>
    </row>
    <row r="1576" spans="8:19" ht="27.6" x14ac:dyDescent="0.3">
      <c r="H1576" s="32" t="s">
        <v>54</v>
      </c>
      <c r="I1576" s="33" t="s">
        <v>10</v>
      </c>
      <c r="J1576" s="34" t="s">
        <v>440</v>
      </c>
      <c r="K1576" s="35" t="s">
        <v>0</v>
      </c>
      <c r="L1576" s="33"/>
      <c r="M1576" s="33"/>
      <c r="N1576" s="36"/>
      <c r="O1576" s="33">
        <v>3</v>
      </c>
      <c r="P1576" s="33">
        <v>3</v>
      </c>
      <c r="Q1576" s="33">
        <v>3</v>
      </c>
      <c r="R1576" s="33" t="s">
        <v>130</v>
      </c>
      <c r="S1576" s="33" t="s">
        <v>349</v>
      </c>
    </row>
    <row r="1577" spans="8:19" ht="27.6" x14ac:dyDescent="0.3">
      <c r="H1577" s="32" t="s">
        <v>54</v>
      </c>
      <c r="I1577" s="33" t="s">
        <v>12</v>
      </c>
      <c r="J1577" s="34" t="s">
        <v>13</v>
      </c>
      <c r="K1577" s="35" t="s">
        <v>0</v>
      </c>
      <c r="L1577" s="33"/>
      <c r="M1577" s="33"/>
      <c r="N1577" s="36"/>
      <c r="O1577" s="33">
        <v>2</v>
      </c>
      <c r="P1577" s="33">
        <v>0</v>
      </c>
      <c r="Q1577" s="33">
        <v>2</v>
      </c>
      <c r="R1577" s="33" t="s">
        <v>130</v>
      </c>
      <c r="S1577" s="33" t="s">
        <v>349</v>
      </c>
    </row>
    <row r="1578" spans="8:19" ht="27.6" x14ac:dyDescent="0.3">
      <c r="H1578" s="32" t="s">
        <v>54</v>
      </c>
      <c r="I1578" s="33" t="s">
        <v>17</v>
      </c>
      <c r="J1578" s="34" t="s">
        <v>18</v>
      </c>
      <c r="K1578" s="35" t="s">
        <v>0</v>
      </c>
      <c r="L1578" s="33"/>
      <c r="M1578" s="33"/>
      <c r="N1578" s="36"/>
      <c r="O1578" s="33">
        <v>3</v>
      </c>
      <c r="P1578" s="33">
        <v>3</v>
      </c>
      <c r="Q1578" s="33">
        <v>3</v>
      </c>
      <c r="R1578" s="33" t="s">
        <v>130</v>
      </c>
      <c r="S1578" s="33" t="s">
        <v>349</v>
      </c>
    </row>
    <row r="1579" spans="8:19" ht="27.6" x14ac:dyDescent="0.3">
      <c r="H1579" s="32" t="s">
        <v>54</v>
      </c>
      <c r="I1579" s="33" t="s">
        <v>17</v>
      </c>
      <c r="J1579" s="34" t="s">
        <v>19</v>
      </c>
      <c r="K1579" s="35" t="s">
        <v>290</v>
      </c>
      <c r="L1579" s="33" t="s">
        <v>420</v>
      </c>
      <c r="M1579" s="33">
        <v>2464</v>
      </c>
      <c r="N1579" s="36"/>
      <c r="O1579" s="33">
        <v>1</v>
      </c>
      <c r="P1579" s="33">
        <v>1</v>
      </c>
      <c r="Q1579" s="33">
        <v>1</v>
      </c>
      <c r="R1579" s="33" t="s">
        <v>130</v>
      </c>
      <c r="S1579" s="33" t="s">
        <v>349</v>
      </c>
    </row>
    <row r="1580" spans="8:19" ht="27.6" x14ac:dyDescent="0.3">
      <c r="H1580" s="32" t="s">
        <v>54</v>
      </c>
      <c r="I1580" s="33" t="s">
        <v>20</v>
      </c>
      <c r="J1580" s="34" t="s">
        <v>21</v>
      </c>
      <c r="K1580" s="35" t="s">
        <v>0</v>
      </c>
      <c r="L1580" s="33" t="s">
        <v>421</v>
      </c>
      <c r="M1580" s="33"/>
      <c r="N1580" s="36"/>
      <c r="O1580" s="33">
        <v>3</v>
      </c>
      <c r="P1580" s="33">
        <v>3</v>
      </c>
      <c r="Q1580" s="33">
        <v>3</v>
      </c>
      <c r="R1580" s="33" t="s">
        <v>130</v>
      </c>
      <c r="S1580" s="33" t="s">
        <v>349</v>
      </c>
    </row>
    <row r="1581" spans="8:19" ht="27.6" x14ac:dyDescent="0.3">
      <c r="H1581" s="32" t="s">
        <v>54</v>
      </c>
      <c r="I1581" s="33" t="s">
        <v>20</v>
      </c>
      <c r="J1581" s="34" t="s">
        <v>441</v>
      </c>
      <c r="K1581" s="35" t="s">
        <v>0</v>
      </c>
      <c r="L1581" s="33"/>
      <c r="M1581" s="33"/>
      <c r="N1581" s="36"/>
      <c r="O1581" s="33">
        <v>1</v>
      </c>
      <c r="P1581" s="33">
        <v>1</v>
      </c>
      <c r="Q1581" s="33">
        <v>1</v>
      </c>
      <c r="R1581" s="33" t="s">
        <v>130</v>
      </c>
      <c r="S1581" s="33" t="s">
        <v>349</v>
      </c>
    </row>
    <row r="1582" spans="8:19" ht="27.6" x14ac:dyDescent="0.3">
      <c r="H1582" s="32" t="s">
        <v>54</v>
      </c>
      <c r="I1582" s="33" t="s">
        <v>22</v>
      </c>
      <c r="J1582" s="34" t="s">
        <v>23</v>
      </c>
      <c r="K1582" s="60" t="s">
        <v>0</v>
      </c>
      <c r="L1582" s="33"/>
      <c r="M1582" s="33"/>
      <c r="N1582" s="36"/>
      <c r="O1582" s="33">
        <v>1</v>
      </c>
      <c r="P1582" s="33">
        <v>1</v>
      </c>
      <c r="Q1582" s="33">
        <v>1</v>
      </c>
      <c r="R1582" s="33" t="s">
        <v>130</v>
      </c>
      <c r="S1582" s="33" t="s">
        <v>349</v>
      </c>
    </row>
    <row r="1583" spans="8:19" ht="27.6" x14ac:dyDescent="0.3">
      <c r="H1583" s="32" t="s">
        <v>54</v>
      </c>
      <c r="I1583" s="33" t="s">
        <v>22</v>
      </c>
      <c r="J1583" s="34" t="s">
        <v>468</v>
      </c>
      <c r="K1583" s="60" t="s">
        <v>0</v>
      </c>
      <c r="L1583" s="33" t="s">
        <v>421</v>
      </c>
      <c r="M1583" s="33"/>
      <c r="N1583" s="36"/>
      <c r="O1583" s="33">
        <v>1</v>
      </c>
      <c r="P1583" s="33">
        <v>1</v>
      </c>
      <c r="Q1583" s="33">
        <v>1</v>
      </c>
      <c r="R1583" s="33" t="s">
        <v>130</v>
      </c>
      <c r="S1583" s="33" t="s">
        <v>349</v>
      </c>
    </row>
    <row r="1584" spans="8:19" ht="27.6" x14ac:dyDescent="0.3">
      <c r="H1584" s="32" t="s">
        <v>54</v>
      </c>
      <c r="I1584" s="33" t="s">
        <v>25</v>
      </c>
      <c r="J1584" s="34" t="s">
        <v>472</v>
      </c>
      <c r="K1584" s="35" t="s">
        <v>290</v>
      </c>
      <c r="L1584" s="33" t="s">
        <v>422</v>
      </c>
      <c r="M1584" s="33">
        <v>9884</v>
      </c>
      <c r="N1584" s="36"/>
      <c r="O1584" s="33">
        <v>3</v>
      </c>
      <c r="P1584" s="33">
        <v>0</v>
      </c>
      <c r="Q1584" s="33">
        <v>3</v>
      </c>
      <c r="R1584" s="33" t="s">
        <v>130</v>
      </c>
      <c r="S1584" s="33" t="s">
        <v>349</v>
      </c>
    </row>
    <row r="1585" spans="8:19" ht="27.6" x14ac:dyDescent="0.3">
      <c r="H1585" s="32" t="s">
        <v>54</v>
      </c>
      <c r="I1585" s="33" t="s">
        <v>25</v>
      </c>
      <c r="J1585" s="34" t="s">
        <v>320</v>
      </c>
      <c r="K1585" s="35" t="s">
        <v>0</v>
      </c>
      <c r="L1585" s="33"/>
      <c r="M1585" s="33"/>
      <c r="N1585" s="36"/>
      <c r="O1585" s="33">
        <v>3</v>
      </c>
      <c r="P1585" s="33">
        <v>3</v>
      </c>
      <c r="Q1585" s="33">
        <v>3</v>
      </c>
      <c r="R1585" s="33" t="s">
        <v>130</v>
      </c>
      <c r="S1585" s="33" t="s">
        <v>349</v>
      </c>
    </row>
    <row r="1586" spans="8:19" ht="27.6" x14ac:dyDescent="0.3">
      <c r="H1586" s="32" t="s">
        <v>54</v>
      </c>
      <c r="I1586" s="33" t="s">
        <v>30</v>
      </c>
      <c r="J1586" s="34" t="s">
        <v>470</v>
      </c>
      <c r="K1586" s="35" t="s">
        <v>0</v>
      </c>
      <c r="L1586" s="33"/>
      <c r="M1586" s="33"/>
      <c r="N1586" s="36"/>
      <c r="O1586" s="33">
        <v>3</v>
      </c>
      <c r="P1586" s="33">
        <v>3</v>
      </c>
      <c r="Q1586" s="33">
        <v>3</v>
      </c>
      <c r="R1586" s="33" t="s">
        <v>130</v>
      </c>
      <c r="S1586" s="33" t="s">
        <v>349</v>
      </c>
    </row>
    <row r="1587" spans="8:19" ht="27.6" x14ac:dyDescent="0.3">
      <c r="H1587" s="32" t="s">
        <v>54</v>
      </c>
      <c r="I1587" s="33" t="s">
        <v>25</v>
      </c>
      <c r="J1587" s="34" t="s">
        <v>449</v>
      </c>
      <c r="K1587" s="35" t="s">
        <v>0</v>
      </c>
      <c r="L1587" s="33"/>
      <c r="M1587" s="33"/>
      <c r="N1587" s="36"/>
      <c r="O1587" s="33">
        <v>3</v>
      </c>
      <c r="P1587" s="33">
        <v>3</v>
      </c>
      <c r="Q1587" s="33">
        <v>3</v>
      </c>
      <c r="R1587" s="33" t="s">
        <v>130</v>
      </c>
      <c r="S1587" s="33" t="s">
        <v>349</v>
      </c>
    </row>
    <row r="1588" spans="8:19" ht="41.4" x14ac:dyDescent="0.3">
      <c r="H1588" s="32" t="s">
        <v>54</v>
      </c>
      <c r="I1588" s="33" t="s">
        <v>41</v>
      </c>
      <c r="J1588" s="34" t="s">
        <v>442</v>
      </c>
      <c r="K1588" s="35" t="s">
        <v>0</v>
      </c>
      <c r="L1588" s="33"/>
      <c r="M1588" s="33"/>
      <c r="N1588" s="36"/>
      <c r="O1588" s="33">
        <v>3</v>
      </c>
      <c r="P1588" s="33">
        <v>0</v>
      </c>
      <c r="Q1588" s="33">
        <v>1.5</v>
      </c>
      <c r="R1588" s="33" t="s">
        <v>130</v>
      </c>
      <c r="S1588" s="33" t="s">
        <v>349</v>
      </c>
    </row>
    <row r="1589" spans="8:19" ht="41.4" x14ac:dyDescent="0.3">
      <c r="H1589" s="32" t="s">
        <v>54</v>
      </c>
      <c r="I1589" s="53" t="s">
        <v>41</v>
      </c>
      <c r="J1589" s="34" t="s">
        <v>443</v>
      </c>
      <c r="K1589" s="54" t="s">
        <v>0</v>
      </c>
      <c r="L1589" s="53"/>
      <c r="M1589" s="53"/>
      <c r="N1589" s="55"/>
      <c r="O1589" s="53">
        <v>2</v>
      </c>
      <c r="P1589" s="53">
        <v>0</v>
      </c>
      <c r="Q1589" s="33">
        <v>2</v>
      </c>
      <c r="R1589" s="33" t="s">
        <v>130</v>
      </c>
      <c r="S1589" s="33" t="s">
        <v>349</v>
      </c>
    </row>
    <row r="1590" spans="8:19" ht="43.2" customHeight="1" x14ac:dyDescent="0.3">
      <c r="H1590" s="32" t="s">
        <v>49</v>
      </c>
      <c r="I1590" s="33" t="s">
        <v>14</v>
      </c>
      <c r="J1590" s="34" t="s">
        <v>15</v>
      </c>
      <c r="K1590" s="35" t="s">
        <v>0</v>
      </c>
      <c r="L1590" s="33"/>
      <c r="M1590" s="33"/>
      <c r="N1590" s="36"/>
      <c r="O1590" s="33">
        <v>3</v>
      </c>
      <c r="P1590" s="33">
        <v>3</v>
      </c>
      <c r="Q1590" s="33">
        <v>3</v>
      </c>
      <c r="R1590" s="33" t="s">
        <v>130</v>
      </c>
      <c r="S1590" s="33" t="s">
        <v>349</v>
      </c>
    </row>
    <row r="1591" spans="8:19" ht="43.2" customHeight="1" x14ac:dyDescent="0.3">
      <c r="H1591" s="32" t="s">
        <v>49</v>
      </c>
      <c r="I1591" s="33" t="s">
        <v>14</v>
      </c>
      <c r="J1591" s="34" t="s">
        <v>16</v>
      </c>
      <c r="K1591" s="35" t="s">
        <v>0</v>
      </c>
      <c r="L1591" s="33"/>
      <c r="M1591" s="33"/>
      <c r="N1591" s="36"/>
      <c r="O1591" s="33">
        <v>1</v>
      </c>
      <c r="P1591" s="33">
        <v>1</v>
      </c>
      <c r="Q1591" s="33">
        <v>1</v>
      </c>
      <c r="R1591" s="33" t="s">
        <v>130</v>
      </c>
      <c r="S1591" s="33" t="s">
        <v>349</v>
      </c>
    </row>
    <row r="1592" spans="8:19" ht="43.2" customHeight="1" x14ac:dyDescent="0.3">
      <c r="H1592" s="32" t="s">
        <v>49</v>
      </c>
      <c r="I1592" s="33" t="s">
        <v>10</v>
      </c>
      <c r="J1592" s="34" t="s">
        <v>11</v>
      </c>
      <c r="K1592" s="35" t="s">
        <v>0</v>
      </c>
      <c r="L1592" s="33"/>
      <c r="M1592" s="33"/>
      <c r="N1592" s="36"/>
      <c r="O1592" s="33">
        <v>3</v>
      </c>
      <c r="P1592" s="33">
        <v>0</v>
      </c>
      <c r="Q1592" s="33">
        <v>3</v>
      </c>
      <c r="R1592" s="33" t="s">
        <v>130</v>
      </c>
      <c r="S1592" s="33" t="s">
        <v>349</v>
      </c>
    </row>
    <row r="1593" spans="8:19" ht="43.2" customHeight="1" x14ac:dyDescent="0.3">
      <c r="H1593" s="32" t="s">
        <v>49</v>
      </c>
      <c r="I1593" s="33" t="s">
        <v>10</v>
      </c>
      <c r="J1593" s="34" t="s">
        <v>316</v>
      </c>
      <c r="K1593" s="35" t="s">
        <v>0</v>
      </c>
      <c r="L1593" s="33"/>
      <c r="M1593" s="33"/>
      <c r="N1593" s="36"/>
      <c r="O1593" s="33">
        <v>3</v>
      </c>
      <c r="P1593" s="33">
        <v>3</v>
      </c>
      <c r="Q1593" s="33">
        <v>3</v>
      </c>
      <c r="R1593" s="33" t="s">
        <v>130</v>
      </c>
      <c r="S1593" s="33" t="s">
        <v>349</v>
      </c>
    </row>
    <row r="1594" spans="8:19" ht="43.2" customHeight="1" x14ac:dyDescent="0.3">
      <c r="H1594" s="32" t="s">
        <v>49</v>
      </c>
      <c r="I1594" s="33" t="s">
        <v>10</v>
      </c>
      <c r="J1594" s="34" t="s">
        <v>444</v>
      </c>
      <c r="K1594" s="35" t="s">
        <v>0</v>
      </c>
      <c r="L1594" s="33"/>
      <c r="M1594" s="33"/>
      <c r="N1594" s="36"/>
      <c r="O1594" s="33">
        <v>3</v>
      </c>
      <c r="P1594" s="33">
        <v>0</v>
      </c>
      <c r="Q1594" s="33">
        <v>3</v>
      </c>
      <c r="R1594" s="33" t="s">
        <v>130</v>
      </c>
      <c r="S1594" s="33" t="s">
        <v>349</v>
      </c>
    </row>
    <row r="1595" spans="8:19" ht="43.2" customHeight="1" x14ac:dyDescent="0.3">
      <c r="H1595" s="32" t="s">
        <v>49</v>
      </c>
      <c r="I1595" s="33" t="s">
        <v>10</v>
      </c>
      <c r="J1595" s="34" t="s">
        <v>393</v>
      </c>
      <c r="K1595" s="60" t="s">
        <v>0</v>
      </c>
      <c r="L1595" s="33"/>
      <c r="M1595" s="33"/>
      <c r="N1595" s="36"/>
      <c r="O1595" s="33">
        <v>2</v>
      </c>
      <c r="P1595" s="33">
        <v>2</v>
      </c>
      <c r="Q1595" s="33">
        <v>2</v>
      </c>
      <c r="R1595" s="33" t="s">
        <v>130</v>
      </c>
      <c r="S1595" s="33" t="s">
        <v>349</v>
      </c>
    </row>
    <row r="1596" spans="8:19" ht="43.2" customHeight="1" x14ac:dyDescent="0.3">
      <c r="H1596" s="32" t="s">
        <v>49</v>
      </c>
      <c r="I1596" s="33" t="s">
        <v>10</v>
      </c>
      <c r="J1596" s="34" t="s">
        <v>440</v>
      </c>
      <c r="K1596" s="35" t="s">
        <v>0</v>
      </c>
      <c r="L1596" s="33"/>
      <c r="M1596" s="33"/>
      <c r="N1596" s="36"/>
      <c r="O1596" s="33">
        <v>3</v>
      </c>
      <c r="P1596" s="33">
        <v>3</v>
      </c>
      <c r="Q1596" s="33">
        <v>3</v>
      </c>
      <c r="R1596" s="33" t="s">
        <v>130</v>
      </c>
      <c r="S1596" s="33" t="s">
        <v>349</v>
      </c>
    </row>
    <row r="1597" spans="8:19" ht="43.2" customHeight="1" x14ac:dyDescent="0.3">
      <c r="H1597" s="32" t="s">
        <v>49</v>
      </c>
      <c r="I1597" s="33" t="s">
        <v>12</v>
      </c>
      <c r="J1597" s="34" t="s">
        <v>13</v>
      </c>
      <c r="K1597" s="35" t="s">
        <v>0</v>
      </c>
      <c r="L1597" s="33"/>
      <c r="M1597" s="33"/>
      <c r="N1597" s="36"/>
      <c r="O1597" s="33">
        <v>2</v>
      </c>
      <c r="P1597" s="33">
        <v>0</v>
      </c>
      <c r="Q1597" s="33">
        <v>2</v>
      </c>
      <c r="R1597" s="33" t="s">
        <v>130</v>
      </c>
      <c r="S1597" s="33" t="s">
        <v>349</v>
      </c>
    </row>
    <row r="1598" spans="8:19" ht="43.2" customHeight="1" x14ac:dyDescent="0.3">
      <c r="H1598" s="32" t="s">
        <v>49</v>
      </c>
      <c r="I1598" s="33" t="s">
        <v>17</v>
      </c>
      <c r="J1598" s="34" t="s">
        <v>18</v>
      </c>
      <c r="K1598" s="35" t="s">
        <v>290</v>
      </c>
      <c r="L1598" s="33" t="s">
        <v>413</v>
      </c>
      <c r="M1598" s="33">
        <v>3387</v>
      </c>
      <c r="N1598" s="36"/>
      <c r="O1598" s="33">
        <v>3</v>
      </c>
      <c r="P1598" s="33">
        <v>3</v>
      </c>
      <c r="Q1598" s="33">
        <v>3</v>
      </c>
      <c r="R1598" s="33" t="s">
        <v>130</v>
      </c>
      <c r="S1598" s="33" t="s">
        <v>349</v>
      </c>
    </row>
    <row r="1599" spans="8:19" ht="43.2" customHeight="1" x14ac:dyDescent="0.3">
      <c r="H1599" s="32" t="s">
        <v>49</v>
      </c>
      <c r="I1599" s="33" t="s">
        <v>17</v>
      </c>
      <c r="J1599" s="34" t="s">
        <v>19</v>
      </c>
      <c r="K1599" s="35" t="s">
        <v>0</v>
      </c>
      <c r="L1599" s="33"/>
      <c r="M1599" s="33"/>
      <c r="N1599" s="36"/>
      <c r="O1599" s="33">
        <v>1</v>
      </c>
      <c r="P1599" s="33">
        <v>1</v>
      </c>
      <c r="Q1599" s="33">
        <v>1</v>
      </c>
      <c r="R1599" s="33" t="s">
        <v>130</v>
      </c>
      <c r="S1599" s="33" t="s">
        <v>349</v>
      </c>
    </row>
    <row r="1600" spans="8:19" ht="43.2" customHeight="1" x14ac:dyDescent="0.3">
      <c r="H1600" s="32" t="s">
        <v>49</v>
      </c>
      <c r="I1600" s="33" t="s">
        <v>20</v>
      </c>
      <c r="J1600" s="34" t="s">
        <v>21</v>
      </c>
      <c r="K1600" s="35" t="s">
        <v>291</v>
      </c>
      <c r="L1600" s="33" t="s">
        <v>414</v>
      </c>
      <c r="M1600" s="33"/>
      <c r="N1600" s="36"/>
      <c r="O1600" s="33">
        <v>3</v>
      </c>
      <c r="P1600" s="33">
        <v>3</v>
      </c>
      <c r="Q1600" s="33">
        <v>3</v>
      </c>
      <c r="R1600" s="33" t="s">
        <v>130</v>
      </c>
      <c r="S1600" s="33" t="s">
        <v>349</v>
      </c>
    </row>
    <row r="1601" spans="8:19" ht="43.2" customHeight="1" x14ac:dyDescent="0.3">
      <c r="H1601" s="32" t="s">
        <v>49</v>
      </c>
      <c r="I1601" s="33" t="s">
        <v>20</v>
      </c>
      <c r="J1601" s="34" t="s">
        <v>441</v>
      </c>
      <c r="K1601" s="35" t="s">
        <v>0</v>
      </c>
      <c r="L1601" s="33"/>
      <c r="M1601" s="33"/>
      <c r="N1601" s="36"/>
      <c r="O1601" s="33">
        <v>1</v>
      </c>
      <c r="P1601" s="33">
        <v>1</v>
      </c>
      <c r="Q1601" s="33">
        <v>1</v>
      </c>
      <c r="R1601" s="33" t="s">
        <v>130</v>
      </c>
      <c r="S1601" s="33" t="s">
        <v>349</v>
      </c>
    </row>
    <row r="1602" spans="8:19" ht="43.2" customHeight="1" x14ac:dyDescent="0.3">
      <c r="H1602" s="32" t="s">
        <v>49</v>
      </c>
      <c r="I1602" s="33" t="s">
        <v>22</v>
      </c>
      <c r="J1602" s="34" t="s">
        <v>23</v>
      </c>
      <c r="K1602" s="60" t="s">
        <v>0</v>
      </c>
      <c r="L1602" s="33"/>
      <c r="M1602" s="33"/>
      <c r="N1602" s="36"/>
      <c r="O1602" s="33">
        <v>1</v>
      </c>
      <c r="P1602" s="33">
        <v>1</v>
      </c>
      <c r="Q1602" s="33">
        <v>1</v>
      </c>
      <c r="R1602" s="33" t="s">
        <v>130</v>
      </c>
      <c r="S1602" s="33" t="s">
        <v>349</v>
      </c>
    </row>
    <row r="1603" spans="8:19" ht="43.2" customHeight="1" x14ac:dyDescent="0.3">
      <c r="H1603" s="32" t="s">
        <v>49</v>
      </c>
      <c r="I1603" s="33" t="s">
        <v>22</v>
      </c>
      <c r="J1603" s="34" t="s">
        <v>468</v>
      </c>
      <c r="K1603" s="60" t="s">
        <v>0</v>
      </c>
      <c r="L1603" s="33"/>
      <c r="M1603" s="33"/>
      <c r="N1603" s="36"/>
      <c r="O1603" s="33">
        <v>1</v>
      </c>
      <c r="P1603" s="33">
        <v>1</v>
      </c>
      <c r="Q1603" s="33">
        <v>1</v>
      </c>
      <c r="R1603" s="33" t="s">
        <v>130</v>
      </c>
      <c r="S1603" s="33" t="s">
        <v>349</v>
      </c>
    </row>
    <row r="1604" spans="8:19" ht="43.2" customHeight="1" x14ac:dyDescent="0.3">
      <c r="H1604" s="32" t="s">
        <v>49</v>
      </c>
      <c r="I1604" s="33" t="s">
        <v>25</v>
      </c>
      <c r="J1604" s="34" t="s">
        <v>472</v>
      </c>
      <c r="K1604" s="35" t="s">
        <v>290</v>
      </c>
      <c r="L1604" s="33" t="s">
        <v>242</v>
      </c>
      <c r="M1604" s="33">
        <v>9884</v>
      </c>
      <c r="N1604" s="36"/>
      <c r="O1604" s="33">
        <v>3</v>
      </c>
      <c r="P1604" s="33">
        <v>0</v>
      </c>
      <c r="Q1604" s="33">
        <v>3</v>
      </c>
      <c r="R1604" s="33" t="s">
        <v>130</v>
      </c>
      <c r="S1604" s="33" t="s">
        <v>349</v>
      </c>
    </row>
    <row r="1605" spans="8:19" ht="43.2" customHeight="1" x14ac:dyDescent="0.3">
      <c r="H1605" s="32" t="s">
        <v>49</v>
      </c>
      <c r="I1605" s="33" t="s">
        <v>25</v>
      </c>
      <c r="J1605" s="34" t="s">
        <v>320</v>
      </c>
      <c r="K1605" s="35" t="s">
        <v>0</v>
      </c>
      <c r="L1605" s="33"/>
      <c r="M1605" s="33"/>
      <c r="N1605" s="36"/>
      <c r="O1605" s="33">
        <v>3</v>
      </c>
      <c r="P1605" s="33">
        <v>3</v>
      </c>
      <c r="Q1605" s="33">
        <v>3</v>
      </c>
      <c r="R1605" s="33" t="s">
        <v>130</v>
      </c>
      <c r="S1605" s="33" t="s">
        <v>349</v>
      </c>
    </row>
    <row r="1606" spans="8:19" ht="43.2" customHeight="1" x14ac:dyDescent="0.3">
      <c r="H1606" s="32" t="s">
        <v>49</v>
      </c>
      <c r="I1606" s="33" t="s">
        <v>30</v>
      </c>
      <c r="J1606" s="34" t="s">
        <v>470</v>
      </c>
      <c r="K1606" s="35" t="s">
        <v>0</v>
      </c>
      <c r="L1606" s="33"/>
      <c r="M1606" s="33"/>
      <c r="N1606" s="36"/>
      <c r="O1606" s="33">
        <v>3</v>
      </c>
      <c r="P1606" s="33">
        <v>3</v>
      </c>
      <c r="Q1606" s="33">
        <v>3</v>
      </c>
      <c r="R1606" s="33" t="s">
        <v>130</v>
      </c>
      <c r="S1606" s="33" t="s">
        <v>349</v>
      </c>
    </row>
    <row r="1607" spans="8:19" ht="43.2" customHeight="1" x14ac:dyDescent="0.3">
      <c r="H1607" s="32" t="s">
        <v>49</v>
      </c>
      <c r="I1607" s="33" t="s">
        <v>25</v>
      </c>
      <c r="J1607" s="34" t="s">
        <v>449</v>
      </c>
      <c r="K1607" s="35" t="s">
        <v>0</v>
      </c>
      <c r="L1607" s="33"/>
      <c r="M1607" s="33"/>
      <c r="N1607" s="36"/>
      <c r="O1607" s="33">
        <v>3</v>
      </c>
      <c r="P1607" s="33">
        <v>3</v>
      </c>
      <c r="Q1607" s="33">
        <v>3</v>
      </c>
      <c r="R1607" s="33" t="s">
        <v>130</v>
      </c>
      <c r="S1607" s="33" t="s">
        <v>349</v>
      </c>
    </row>
    <row r="1608" spans="8:19" ht="43.2" customHeight="1" x14ac:dyDescent="0.3">
      <c r="H1608" s="32" t="s">
        <v>49</v>
      </c>
      <c r="I1608" s="33" t="s">
        <v>41</v>
      </c>
      <c r="J1608" s="34" t="s">
        <v>442</v>
      </c>
      <c r="K1608" s="35" t="s">
        <v>0</v>
      </c>
      <c r="L1608" s="33"/>
      <c r="M1608" s="33"/>
      <c r="N1608" s="36"/>
      <c r="O1608" s="33">
        <v>3</v>
      </c>
      <c r="P1608" s="33">
        <v>0</v>
      </c>
      <c r="Q1608" s="33">
        <v>1.5</v>
      </c>
      <c r="R1608" s="33" t="s">
        <v>130</v>
      </c>
      <c r="S1608" s="33" t="s">
        <v>349</v>
      </c>
    </row>
    <row r="1609" spans="8:19" ht="43.2" customHeight="1" x14ac:dyDescent="0.3">
      <c r="H1609" s="32" t="s">
        <v>49</v>
      </c>
      <c r="I1609" s="53" t="s">
        <v>41</v>
      </c>
      <c r="J1609" s="34" t="s">
        <v>443</v>
      </c>
      <c r="K1609" s="54" t="s">
        <v>290</v>
      </c>
      <c r="L1609" s="53" t="s">
        <v>412</v>
      </c>
      <c r="M1609" s="53">
        <v>9194</v>
      </c>
      <c r="N1609" s="55"/>
      <c r="O1609" s="53">
        <v>2</v>
      </c>
      <c r="P1609" s="53">
        <v>0</v>
      </c>
      <c r="Q1609" s="33">
        <v>2</v>
      </c>
      <c r="R1609" s="33" t="s">
        <v>130</v>
      </c>
      <c r="S1609" s="33" t="s">
        <v>349</v>
      </c>
    </row>
    <row r="1610" spans="8:19" ht="38.4" customHeight="1" x14ac:dyDescent="0.3">
      <c r="H1610" s="32" t="s">
        <v>50</v>
      </c>
      <c r="I1610" s="33" t="s">
        <v>14</v>
      </c>
      <c r="J1610" s="34" t="s">
        <v>15</v>
      </c>
      <c r="K1610" s="35" t="s">
        <v>0</v>
      </c>
      <c r="L1610" s="33"/>
      <c r="M1610" s="33"/>
      <c r="N1610" s="36"/>
      <c r="O1610" s="33">
        <v>3</v>
      </c>
      <c r="P1610" s="33">
        <v>3</v>
      </c>
      <c r="Q1610" s="33">
        <v>3</v>
      </c>
      <c r="R1610" s="33" t="s">
        <v>130</v>
      </c>
      <c r="S1610" s="33" t="s">
        <v>349</v>
      </c>
    </row>
    <row r="1611" spans="8:19" ht="38.4" customHeight="1" x14ac:dyDescent="0.3">
      <c r="H1611" s="32" t="s">
        <v>50</v>
      </c>
      <c r="I1611" s="33" t="s">
        <v>14</v>
      </c>
      <c r="J1611" s="34" t="s">
        <v>16</v>
      </c>
      <c r="K1611" s="35" t="s">
        <v>0</v>
      </c>
      <c r="L1611" s="33"/>
      <c r="M1611" s="33"/>
      <c r="N1611" s="36"/>
      <c r="O1611" s="33">
        <v>1</v>
      </c>
      <c r="P1611" s="33">
        <v>1</v>
      </c>
      <c r="Q1611" s="33">
        <v>1</v>
      </c>
      <c r="R1611" s="33" t="s">
        <v>130</v>
      </c>
      <c r="S1611" s="33" t="s">
        <v>349</v>
      </c>
    </row>
    <row r="1612" spans="8:19" ht="38.4" customHeight="1" x14ac:dyDescent="0.3">
      <c r="H1612" s="32" t="s">
        <v>50</v>
      </c>
      <c r="I1612" s="33" t="s">
        <v>10</v>
      </c>
      <c r="J1612" s="34" t="s">
        <v>11</v>
      </c>
      <c r="K1612" s="35" t="s">
        <v>0</v>
      </c>
      <c r="L1612" s="33"/>
      <c r="M1612" s="33"/>
      <c r="N1612" s="36"/>
      <c r="O1612" s="33">
        <v>3</v>
      </c>
      <c r="P1612" s="33">
        <v>0</v>
      </c>
      <c r="Q1612" s="33">
        <v>3</v>
      </c>
      <c r="R1612" s="33" t="s">
        <v>130</v>
      </c>
      <c r="S1612" s="33" t="s">
        <v>349</v>
      </c>
    </row>
    <row r="1613" spans="8:19" ht="38.4" customHeight="1" x14ac:dyDescent="0.3">
      <c r="H1613" s="32" t="s">
        <v>50</v>
      </c>
      <c r="I1613" s="33" t="s">
        <v>10</v>
      </c>
      <c r="J1613" s="34" t="s">
        <v>316</v>
      </c>
      <c r="K1613" s="35" t="s">
        <v>0</v>
      </c>
      <c r="L1613" s="33"/>
      <c r="M1613" s="33"/>
      <c r="N1613" s="36"/>
      <c r="O1613" s="33">
        <v>3</v>
      </c>
      <c r="P1613" s="33">
        <v>3</v>
      </c>
      <c r="Q1613" s="33">
        <v>3</v>
      </c>
      <c r="R1613" s="33" t="s">
        <v>130</v>
      </c>
      <c r="S1613" s="33" t="s">
        <v>349</v>
      </c>
    </row>
    <row r="1614" spans="8:19" ht="38.4" customHeight="1" x14ac:dyDescent="0.3">
      <c r="H1614" s="32" t="s">
        <v>50</v>
      </c>
      <c r="I1614" s="33" t="s">
        <v>10</v>
      </c>
      <c r="J1614" s="34" t="s">
        <v>444</v>
      </c>
      <c r="K1614" s="35" t="s">
        <v>0</v>
      </c>
      <c r="L1614" s="33"/>
      <c r="M1614" s="33"/>
      <c r="N1614" s="36"/>
      <c r="O1614" s="33">
        <v>3</v>
      </c>
      <c r="P1614" s="33">
        <v>0</v>
      </c>
      <c r="Q1614" s="33">
        <v>3</v>
      </c>
      <c r="R1614" s="33" t="s">
        <v>130</v>
      </c>
      <c r="S1614" s="33" t="s">
        <v>349</v>
      </c>
    </row>
    <row r="1615" spans="8:19" ht="38.4" customHeight="1" x14ac:dyDescent="0.3">
      <c r="H1615" s="32" t="s">
        <v>50</v>
      </c>
      <c r="I1615" s="33" t="s">
        <v>10</v>
      </c>
      <c r="J1615" s="34" t="s">
        <v>393</v>
      </c>
      <c r="K1615" s="60" t="s">
        <v>0</v>
      </c>
      <c r="L1615" s="33"/>
      <c r="M1615" s="33"/>
      <c r="N1615" s="36"/>
      <c r="O1615" s="33">
        <v>2</v>
      </c>
      <c r="P1615" s="33">
        <v>2</v>
      </c>
      <c r="Q1615" s="33">
        <v>2</v>
      </c>
      <c r="R1615" s="33" t="s">
        <v>130</v>
      </c>
      <c r="S1615" s="33" t="s">
        <v>349</v>
      </c>
    </row>
    <row r="1616" spans="8:19" ht="38.4" customHeight="1" x14ac:dyDescent="0.3">
      <c r="H1616" s="32" t="s">
        <v>50</v>
      </c>
      <c r="I1616" s="33" t="s">
        <v>10</v>
      </c>
      <c r="J1616" s="34" t="s">
        <v>440</v>
      </c>
      <c r="K1616" s="35" t="s">
        <v>0</v>
      </c>
      <c r="L1616" s="33"/>
      <c r="M1616" s="33"/>
      <c r="N1616" s="36"/>
      <c r="O1616" s="33">
        <v>3</v>
      </c>
      <c r="P1616" s="33">
        <v>3</v>
      </c>
      <c r="Q1616" s="33">
        <v>3</v>
      </c>
      <c r="R1616" s="33" t="s">
        <v>130</v>
      </c>
      <c r="S1616" s="33" t="s">
        <v>349</v>
      </c>
    </row>
    <row r="1617" spans="8:19" ht="38.4" customHeight="1" x14ac:dyDescent="0.3">
      <c r="H1617" s="32" t="s">
        <v>50</v>
      </c>
      <c r="I1617" s="33" t="s">
        <v>12</v>
      </c>
      <c r="J1617" s="34" t="s">
        <v>13</v>
      </c>
      <c r="K1617" s="35" t="s">
        <v>290</v>
      </c>
      <c r="L1617" s="33" t="s">
        <v>415</v>
      </c>
      <c r="M1617" s="33"/>
      <c r="N1617" s="36"/>
      <c r="O1617" s="33">
        <v>2</v>
      </c>
      <c r="P1617" s="33">
        <v>0</v>
      </c>
      <c r="Q1617" s="33">
        <v>2</v>
      </c>
      <c r="R1617" s="33" t="s">
        <v>130</v>
      </c>
      <c r="S1617" s="33" t="s">
        <v>349</v>
      </c>
    </row>
    <row r="1618" spans="8:19" ht="38.4" customHeight="1" x14ac:dyDescent="0.3">
      <c r="H1618" s="32" t="s">
        <v>50</v>
      </c>
      <c r="I1618" s="33" t="s">
        <v>17</v>
      </c>
      <c r="J1618" s="34" t="s">
        <v>18</v>
      </c>
      <c r="K1618" s="35" t="s">
        <v>0</v>
      </c>
      <c r="L1618" s="33"/>
      <c r="M1618" s="33"/>
      <c r="N1618" s="36"/>
      <c r="O1618" s="33">
        <v>3</v>
      </c>
      <c r="P1618" s="33">
        <v>3</v>
      </c>
      <c r="Q1618" s="33">
        <v>3</v>
      </c>
      <c r="R1618" s="33" t="s">
        <v>130</v>
      </c>
      <c r="S1618" s="33" t="s">
        <v>349</v>
      </c>
    </row>
    <row r="1619" spans="8:19" ht="38.4" customHeight="1" x14ac:dyDescent="0.3">
      <c r="H1619" s="32" t="s">
        <v>50</v>
      </c>
      <c r="I1619" s="33" t="s">
        <v>17</v>
      </c>
      <c r="J1619" s="34" t="s">
        <v>19</v>
      </c>
      <c r="K1619" s="35" t="s">
        <v>0</v>
      </c>
      <c r="L1619" s="33"/>
      <c r="M1619" s="33"/>
      <c r="N1619" s="36"/>
      <c r="O1619" s="33">
        <v>1</v>
      </c>
      <c r="P1619" s="33">
        <v>1</v>
      </c>
      <c r="Q1619" s="33">
        <v>1</v>
      </c>
      <c r="R1619" s="33" t="s">
        <v>130</v>
      </c>
      <c r="S1619" s="33" t="s">
        <v>349</v>
      </c>
    </row>
    <row r="1620" spans="8:19" ht="38.4" customHeight="1" x14ac:dyDescent="0.3">
      <c r="H1620" s="32" t="s">
        <v>50</v>
      </c>
      <c r="I1620" s="33" t="s">
        <v>20</v>
      </c>
      <c r="J1620" s="34" t="s">
        <v>21</v>
      </c>
      <c r="K1620" s="35" t="s">
        <v>290</v>
      </c>
      <c r="L1620" s="33"/>
      <c r="M1620" s="33"/>
      <c r="N1620" s="36"/>
      <c r="O1620" s="33">
        <v>3</v>
      </c>
      <c r="P1620" s="33">
        <v>3</v>
      </c>
      <c r="Q1620" s="33">
        <v>3</v>
      </c>
      <c r="R1620" s="33" t="s">
        <v>130</v>
      </c>
      <c r="S1620" s="33" t="s">
        <v>349</v>
      </c>
    </row>
    <row r="1621" spans="8:19" ht="38.4" customHeight="1" x14ac:dyDescent="0.3">
      <c r="H1621" s="32" t="s">
        <v>50</v>
      </c>
      <c r="I1621" s="33" t="s">
        <v>20</v>
      </c>
      <c r="J1621" s="34" t="s">
        <v>441</v>
      </c>
      <c r="K1621" s="35" t="s">
        <v>0</v>
      </c>
      <c r="L1621" s="33"/>
      <c r="M1621" s="33"/>
      <c r="N1621" s="36"/>
      <c r="O1621" s="33">
        <v>1</v>
      </c>
      <c r="P1621" s="33">
        <v>1</v>
      </c>
      <c r="Q1621" s="33">
        <v>1</v>
      </c>
      <c r="R1621" s="33" t="s">
        <v>130</v>
      </c>
      <c r="S1621" s="33" t="s">
        <v>349</v>
      </c>
    </row>
    <row r="1622" spans="8:19" ht="38.4" customHeight="1" x14ac:dyDescent="0.3">
      <c r="H1622" s="32" t="s">
        <v>50</v>
      </c>
      <c r="I1622" s="33" t="s">
        <v>22</v>
      </c>
      <c r="J1622" s="34" t="s">
        <v>23</v>
      </c>
      <c r="K1622" s="60" t="s">
        <v>291</v>
      </c>
      <c r="L1622" s="33" t="s">
        <v>417</v>
      </c>
      <c r="M1622" s="33"/>
      <c r="N1622" s="36"/>
      <c r="O1622" s="33">
        <v>1</v>
      </c>
      <c r="P1622" s="33">
        <v>1</v>
      </c>
      <c r="Q1622" s="33">
        <v>1</v>
      </c>
      <c r="R1622" s="33" t="s">
        <v>130</v>
      </c>
      <c r="S1622" s="33" t="s">
        <v>349</v>
      </c>
    </row>
    <row r="1623" spans="8:19" ht="38.4" customHeight="1" x14ac:dyDescent="0.3">
      <c r="H1623" s="32" t="s">
        <v>50</v>
      </c>
      <c r="I1623" s="33" t="s">
        <v>22</v>
      </c>
      <c r="J1623" s="34" t="s">
        <v>468</v>
      </c>
      <c r="K1623" s="60" t="s">
        <v>290</v>
      </c>
      <c r="L1623" s="33" t="s">
        <v>416</v>
      </c>
      <c r="M1623" s="33"/>
      <c r="N1623" s="36"/>
      <c r="O1623" s="33">
        <v>1</v>
      </c>
      <c r="P1623" s="33">
        <v>1</v>
      </c>
      <c r="Q1623" s="33">
        <v>1</v>
      </c>
      <c r="R1623" s="33" t="s">
        <v>130</v>
      </c>
      <c r="S1623" s="33" t="s">
        <v>349</v>
      </c>
    </row>
    <row r="1624" spans="8:19" ht="38.4" customHeight="1" x14ac:dyDescent="0.3">
      <c r="H1624" s="32" t="s">
        <v>50</v>
      </c>
      <c r="I1624" s="33" t="s">
        <v>25</v>
      </c>
      <c r="J1624" s="34" t="s">
        <v>472</v>
      </c>
      <c r="K1624" s="35" t="s">
        <v>290</v>
      </c>
      <c r="L1624" s="33"/>
      <c r="M1624" s="33"/>
      <c r="N1624" s="36"/>
      <c r="O1624" s="33">
        <v>3</v>
      </c>
      <c r="P1624" s="33">
        <v>0</v>
      </c>
      <c r="Q1624" s="33">
        <v>3</v>
      </c>
      <c r="R1624" s="33" t="s">
        <v>130</v>
      </c>
      <c r="S1624" s="33" t="s">
        <v>349</v>
      </c>
    </row>
    <row r="1625" spans="8:19" ht="38.4" customHeight="1" x14ac:dyDescent="0.3">
      <c r="H1625" s="32" t="s">
        <v>50</v>
      </c>
      <c r="I1625" s="33" t="s">
        <v>25</v>
      </c>
      <c r="J1625" s="34" t="s">
        <v>320</v>
      </c>
      <c r="K1625" s="35" t="s">
        <v>0</v>
      </c>
      <c r="L1625" s="33"/>
      <c r="M1625" s="33"/>
      <c r="N1625" s="36"/>
      <c r="O1625" s="33">
        <v>3</v>
      </c>
      <c r="P1625" s="33">
        <v>3</v>
      </c>
      <c r="Q1625" s="33">
        <v>3</v>
      </c>
      <c r="R1625" s="33" t="s">
        <v>130</v>
      </c>
      <c r="S1625" s="33" t="s">
        <v>349</v>
      </c>
    </row>
    <row r="1626" spans="8:19" ht="38.4" customHeight="1" x14ac:dyDescent="0.3">
      <c r="H1626" s="32" t="s">
        <v>50</v>
      </c>
      <c r="I1626" s="33" t="s">
        <v>30</v>
      </c>
      <c r="J1626" s="34" t="s">
        <v>470</v>
      </c>
      <c r="K1626" s="35" t="s">
        <v>0</v>
      </c>
      <c r="L1626" s="33"/>
      <c r="M1626" s="33"/>
      <c r="N1626" s="36"/>
      <c r="O1626" s="33">
        <v>3</v>
      </c>
      <c r="P1626" s="33">
        <v>3</v>
      </c>
      <c r="Q1626" s="33">
        <v>3</v>
      </c>
      <c r="R1626" s="33" t="s">
        <v>130</v>
      </c>
      <c r="S1626" s="33" t="s">
        <v>349</v>
      </c>
    </row>
    <row r="1627" spans="8:19" ht="38.4" customHeight="1" x14ac:dyDescent="0.3">
      <c r="H1627" s="32" t="s">
        <v>50</v>
      </c>
      <c r="I1627" s="33" t="s">
        <v>25</v>
      </c>
      <c r="J1627" s="34" t="s">
        <v>449</v>
      </c>
      <c r="K1627" s="35" t="s">
        <v>0</v>
      </c>
      <c r="L1627" s="33"/>
      <c r="M1627" s="33"/>
      <c r="N1627" s="36"/>
      <c r="O1627" s="33">
        <v>3</v>
      </c>
      <c r="P1627" s="33">
        <v>3</v>
      </c>
      <c r="Q1627" s="33">
        <v>3</v>
      </c>
      <c r="R1627" s="33" t="s">
        <v>130</v>
      </c>
      <c r="S1627" s="33" t="s">
        <v>349</v>
      </c>
    </row>
    <row r="1628" spans="8:19" ht="38.4" customHeight="1" x14ac:dyDescent="0.3">
      <c r="H1628" s="32" t="s">
        <v>50</v>
      </c>
      <c r="I1628" s="33" t="s">
        <v>41</v>
      </c>
      <c r="J1628" s="34" t="s">
        <v>442</v>
      </c>
      <c r="K1628" s="35" t="s">
        <v>0</v>
      </c>
      <c r="L1628" s="33"/>
      <c r="M1628" s="33"/>
      <c r="N1628" s="36"/>
      <c r="O1628" s="33">
        <v>3</v>
      </c>
      <c r="P1628" s="33">
        <v>0</v>
      </c>
      <c r="Q1628" s="33">
        <v>1.5</v>
      </c>
      <c r="R1628" s="33" t="s">
        <v>130</v>
      </c>
      <c r="S1628" s="33" t="s">
        <v>349</v>
      </c>
    </row>
    <row r="1629" spans="8:19" ht="38.4" customHeight="1" x14ac:dyDescent="0.3">
      <c r="H1629" s="32" t="s">
        <v>50</v>
      </c>
      <c r="I1629" s="53" t="s">
        <v>41</v>
      </c>
      <c r="J1629" s="34" t="s">
        <v>443</v>
      </c>
      <c r="K1629" s="54" t="s">
        <v>290</v>
      </c>
      <c r="L1629" s="53" t="s">
        <v>418</v>
      </c>
      <c r="M1629" s="53"/>
      <c r="N1629" s="55"/>
      <c r="O1629" s="53">
        <v>2</v>
      </c>
      <c r="P1629" s="53">
        <v>0</v>
      </c>
      <c r="Q1629" s="33">
        <v>2</v>
      </c>
      <c r="R1629" s="33" t="s">
        <v>130</v>
      </c>
      <c r="S1629" s="33" t="s">
        <v>349</v>
      </c>
    </row>
    <row r="1630" spans="8:19" ht="27.6" x14ac:dyDescent="0.3">
      <c r="H1630" s="32" t="s">
        <v>62</v>
      </c>
      <c r="I1630" s="33" t="s">
        <v>14</v>
      </c>
      <c r="J1630" s="34" t="s">
        <v>15</v>
      </c>
      <c r="K1630" s="35" t="s">
        <v>0</v>
      </c>
      <c r="L1630" s="33"/>
      <c r="M1630" s="33"/>
      <c r="N1630" s="36"/>
      <c r="O1630" s="33">
        <v>3</v>
      </c>
      <c r="P1630" s="33">
        <v>3</v>
      </c>
      <c r="Q1630" s="33">
        <v>3</v>
      </c>
      <c r="R1630" s="33" t="s">
        <v>130</v>
      </c>
      <c r="S1630" s="33" t="s">
        <v>349</v>
      </c>
    </row>
    <row r="1631" spans="8:19" ht="27.6" x14ac:dyDescent="0.3">
      <c r="H1631" s="32" t="s">
        <v>62</v>
      </c>
      <c r="I1631" s="33" t="s">
        <v>14</v>
      </c>
      <c r="J1631" s="34" t="s">
        <v>16</v>
      </c>
      <c r="K1631" s="35" t="s">
        <v>0</v>
      </c>
      <c r="L1631" s="33"/>
      <c r="M1631" s="33"/>
      <c r="N1631" s="36"/>
      <c r="O1631" s="33">
        <v>1</v>
      </c>
      <c r="P1631" s="33">
        <v>1</v>
      </c>
      <c r="Q1631" s="33">
        <v>1</v>
      </c>
      <c r="R1631" s="33" t="s">
        <v>130</v>
      </c>
      <c r="S1631" s="33" t="s">
        <v>349</v>
      </c>
    </row>
    <row r="1632" spans="8:19" ht="27.6" x14ac:dyDescent="0.3">
      <c r="H1632" s="32" t="s">
        <v>62</v>
      </c>
      <c r="I1632" s="33" t="s">
        <v>10</v>
      </c>
      <c r="J1632" s="34" t="s">
        <v>11</v>
      </c>
      <c r="K1632" s="35" t="s">
        <v>0</v>
      </c>
      <c r="L1632" s="33"/>
      <c r="M1632" s="33"/>
      <c r="N1632" s="36"/>
      <c r="O1632" s="33">
        <v>3</v>
      </c>
      <c r="P1632" s="33">
        <v>0</v>
      </c>
      <c r="Q1632" s="33">
        <v>3</v>
      </c>
      <c r="R1632" s="33" t="s">
        <v>130</v>
      </c>
      <c r="S1632" s="33" t="s">
        <v>349</v>
      </c>
    </row>
    <row r="1633" spans="8:19" ht="27.6" x14ac:dyDescent="0.3">
      <c r="H1633" s="32" t="s">
        <v>62</v>
      </c>
      <c r="I1633" s="33" t="s">
        <v>10</v>
      </c>
      <c r="J1633" s="34" t="s">
        <v>316</v>
      </c>
      <c r="K1633" s="35" t="s">
        <v>0</v>
      </c>
      <c r="L1633" s="33"/>
      <c r="M1633" s="33"/>
      <c r="N1633" s="36"/>
      <c r="O1633" s="33">
        <v>3</v>
      </c>
      <c r="P1633" s="33">
        <v>3</v>
      </c>
      <c r="Q1633" s="33">
        <v>3</v>
      </c>
      <c r="R1633" s="33" t="s">
        <v>130</v>
      </c>
      <c r="S1633" s="33" t="s">
        <v>349</v>
      </c>
    </row>
    <row r="1634" spans="8:19" ht="27.6" x14ac:dyDescent="0.3">
      <c r="H1634" s="32" t="s">
        <v>62</v>
      </c>
      <c r="I1634" s="33" t="s">
        <v>10</v>
      </c>
      <c r="J1634" s="34" t="s">
        <v>444</v>
      </c>
      <c r="K1634" s="35" t="s">
        <v>290</v>
      </c>
      <c r="L1634" s="33" t="s">
        <v>419</v>
      </c>
      <c r="M1634" s="33">
        <v>9274</v>
      </c>
      <c r="N1634" s="36"/>
      <c r="O1634" s="33">
        <v>3</v>
      </c>
      <c r="P1634" s="33">
        <v>0</v>
      </c>
      <c r="Q1634" s="33">
        <v>3</v>
      </c>
      <c r="R1634" s="33" t="s">
        <v>130</v>
      </c>
      <c r="S1634" s="33" t="s">
        <v>349</v>
      </c>
    </row>
    <row r="1635" spans="8:19" ht="27.6" x14ac:dyDescent="0.3">
      <c r="H1635" s="32" t="s">
        <v>62</v>
      </c>
      <c r="I1635" s="33" t="s">
        <v>10</v>
      </c>
      <c r="J1635" s="34" t="s">
        <v>393</v>
      </c>
      <c r="K1635" s="60" t="s">
        <v>0</v>
      </c>
      <c r="L1635" s="33"/>
      <c r="M1635" s="33"/>
      <c r="N1635" s="36"/>
      <c r="O1635" s="33">
        <v>2</v>
      </c>
      <c r="P1635" s="33">
        <v>2</v>
      </c>
      <c r="Q1635" s="33">
        <v>2</v>
      </c>
      <c r="R1635" s="33" t="s">
        <v>130</v>
      </c>
      <c r="S1635" s="33" t="s">
        <v>349</v>
      </c>
    </row>
    <row r="1636" spans="8:19" ht="27.6" x14ac:dyDescent="0.3">
      <c r="H1636" s="32" t="s">
        <v>62</v>
      </c>
      <c r="I1636" s="33" t="s">
        <v>10</v>
      </c>
      <c r="J1636" s="34" t="s">
        <v>440</v>
      </c>
      <c r="K1636" s="35" t="s">
        <v>0</v>
      </c>
      <c r="L1636" s="33"/>
      <c r="M1636" s="33"/>
      <c r="N1636" s="36"/>
      <c r="O1636" s="33">
        <v>3</v>
      </c>
      <c r="P1636" s="33">
        <v>3</v>
      </c>
      <c r="Q1636" s="33">
        <v>3</v>
      </c>
      <c r="R1636" s="33" t="s">
        <v>130</v>
      </c>
      <c r="S1636" s="33" t="s">
        <v>349</v>
      </c>
    </row>
    <row r="1637" spans="8:19" ht="27.6" x14ac:dyDescent="0.3">
      <c r="H1637" s="32" t="s">
        <v>62</v>
      </c>
      <c r="I1637" s="33" t="s">
        <v>12</v>
      </c>
      <c r="J1637" s="34" t="s">
        <v>13</v>
      </c>
      <c r="K1637" s="35" t="s">
        <v>0</v>
      </c>
      <c r="L1637" s="33"/>
      <c r="M1637" s="33"/>
      <c r="N1637" s="36"/>
      <c r="O1637" s="33">
        <v>2</v>
      </c>
      <c r="P1637" s="33">
        <v>0</v>
      </c>
      <c r="Q1637" s="33">
        <v>2</v>
      </c>
      <c r="R1637" s="33" t="s">
        <v>130</v>
      </c>
      <c r="S1637" s="33" t="s">
        <v>349</v>
      </c>
    </row>
    <row r="1638" spans="8:19" ht="27.6" x14ac:dyDescent="0.3">
      <c r="H1638" s="32" t="s">
        <v>62</v>
      </c>
      <c r="I1638" s="33" t="s">
        <v>17</v>
      </c>
      <c r="J1638" s="34" t="s">
        <v>18</v>
      </c>
      <c r="K1638" s="35" t="s">
        <v>0</v>
      </c>
      <c r="L1638" s="33"/>
      <c r="M1638" s="33"/>
      <c r="N1638" s="36"/>
      <c r="O1638" s="33">
        <v>3</v>
      </c>
      <c r="P1638" s="33">
        <v>3</v>
      </c>
      <c r="Q1638" s="33">
        <v>3</v>
      </c>
      <c r="R1638" s="33" t="s">
        <v>130</v>
      </c>
      <c r="S1638" s="33" t="s">
        <v>349</v>
      </c>
    </row>
    <row r="1639" spans="8:19" ht="27.6" x14ac:dyDescent="0.3">
      <c r="H1639" s="32" t="s">
        <v>62</v>
      </c>
      <c r="I1639" s="33" t="s">
        <v>17</v>
      </c>
      <c r="J1639" s="34" t="s">
        <v>19</v>
      </c>
      <c r="K1639" s="35" t="s">
        <v>0</v>
      </c>
      <c r="L1639" s="33"/>
      <c r="M1639" s="33"/>
      <c r="N1639" s="36"/>
      <c r="O1639" s="33">
        <v>1</v>
      </c>
      <c r="P1639" s="33">
        <v>1</v>
      </c>
      <c r="Q1639" s="33">
        <v>1</v>
      </c>
      <c r="R1639" s="33" t="s">
        <v>130</v>
      </c>
      <c r="S1639" s="33" t="s">
        <v>349</v>
      </c>
    </row>
    <row r="1640" spans="8:19" ht="27.6" x14ac:dyDescent="0.3">
      <c r="H1640" s="32" t="s">
        <v>62</v>
      </c>
      <c r="I1640" s="33" t="s">
        <v>25</v>
      </c>
      <c r="J1640" s="34" t="s">
        <v>472</v>
      </c>
      <c r="K1640" s="35" t="s">
        <v>0</v>
      </c>
      <c r="L1640" s="33"/>
      <c r="M1640" s="33"/>
      <c r="N1640" s="36"/>
      <c r="O1640" s="33">
        <v>3</v>
      </c>
      <c r="P1640" s="33">
        <v>0</v>
      </c>
      <c r="Q1640" s="33">
        <v>3</v>
      </c>
      <c r="R1640" s="33" t="s">
        <v>130</v>
      </c>
      <c r="S1640" s="33" t="s">
        <v>349</v>
      </c>
    </row>
    <row r="1641" spans="8:19" ht="27.6" x14ac:dyDescent="0.3">
      <c r="H1641" s="32" t="s">
        <v>62</v>
      </c>
      <c r="I1641" s="33" t="s">
        <v>25</v>
      </c>
      <c r="J1641" s="34" t="s">
        <v>320</v>
      </c>
      <c r="K1641" s="35" t="s">
        <v>0</v>
      </c>
      <c r="L1641" s="33"/>
      <c r="M1641" s="33"/>
      <c r="N1641" s="36"/>
      <c r="O1641" s="33">
        <v>3</v>
      </c>
      <c r="P1641" s="33">
        <v>3</v>
      </c>
      <c r="Q1641" s="33">
        <v>3</v>
      </c>
      <c r="R1641" s="33" t="s">
        <v>130</v>
      </c>
      <c r="S1641" s="33" t="s">
        <v>349</v>
      </c>
    </row>
    <row r="1642" spans="8:19" ht="27.6" x14ac:dyDescent="0.3">
      <c r="H1642" s="32" t="s">
        <v>62</v>
      </c>
      <c r="I1642" s="33" t="s">
        <v>30</v>
      </c>
      <c r="J1642" s="34" t="s">
        <v>470</v>
      </c>
      <c r="K1642" s="35" t="s">
        <v>0</v>
      </c>
      <c r="L1642" s="33"/>
      <c r="M1642" s="33"/>
      <c r="N1642" s="36"/>
      <c r="O1642" s="33">
        <v>3</v>
      </c>
      <c r="P1642" s="33">
        <v>3</v>
      </c>
      <c r="Q1642" s="33">
        <v>3</v>
      </c>
      <c r="R1642" s="33" t="s">
        <v>130</v>
      </c>
      <c r="S1642" s="33" t="s">
        <v>349</v>
      </c>
    </row>
    <row r="1643" spans="8:19" ht="27.6" x14ac:dyDescent="0.3">
      <c r="H1643" s="32" t="s">
        <v>62</v>
      </c>
      <c r="I1643" s="33" t="s">
        <v>25</v>
      </c>
      <c r="J1643" s="34" t="s">
        <v>449</v>
      </c>
      <c r="K1643" s="35" t="s">
        <v>0</v>
      </c>
      <c r="L1643" s="33"/>
      <c r="M1643" s="33"/>
      <c r="N1643" s="36"/>
      <c r="O1643" s="33">
        <v>3</v>
      </c>
      <c r="P1643" s="33">
        <v>3</v>
      </c>
      <c r="Q1643" s="33">
        <v>3</v>
      </c>
      <c r="R1643" s="33" t="s">
        <v>130</v>
      </c>
      <c r="S1643" s="33" t="s">
        <v>349</v>
      </c>
    </row>
    <row r="1644" spans="8:19" ht="41.4" x14ac:dyDescent="0.3">
      <c r="H1644" s="32" t="s">
        <v>62</v>
      </c>
      <c r="I1644" s="33" t="s">
        <v>41</v>
      </c>
      <c r="J1644" s="34" t="s">
        <v>442</v>
      </c>
      <c r="K1644" s="35" t="s">
        <v>290</v>
      </c>
      <c r="L1644" s="33" t="s">
        <v>423</v>
      </c>
      <c r="M1644" s="33">
        <v>8785</v>
      </c>
      <c r="N1644" s="36"/>
      <c r="O1644" s="33">
        <v>3</v>
      </c>
      <c r="P1644" s="33">
        <v>0</v>
      </c>
      <c r="Q1644" s="33">
        <v>1.5</v>
      </c>
      <c r="R1644" s="33" t="s">
        <v>130</v>
      </c>
      <c r="S1644" s="33" t="s">
        <v>349</v>
      </c>
    </row>
    <row r="1645" spans="8:19" ht="41.4" x14ac:dyDescent="0.3">
      <c r="H1645" s="32" t="s">
        <v>62</v>
      </c>
      <c r="I1645" s="53" t="s">
        <v>41</v>
      </c>
      <c r="J1645" s="34" t="s">
        <v>443</v>
      </c>
      <c r="K1645" s="54" t="s">
        <v>290</v>
      </c>
      <c r="L1645" s="53" t="s">
        <v>423</v>
      </c>
      <c r="M1645" s="53">
        <v>8785</v>
      </c>
      <c r="N1645" s="55"/>
      <c r="O1645" s="53">
        <v>2</v>
      </c>
      <c r="P1645" s="53">
        <v>0</v>
      </c>
      <c r="Q1645" s="33">
        <v>2</v>
      </c>
      <c r="R1645" s="33" t="s">
        <v>130</v>
      </c>
      <c r="S1645" s="33" t="s">
        <v>349</v>
      </c>
    </row>
    <row r="1646" spans="8:19" ht="27.6" x14ac:dyDescent="0.3">
      <c r="H1646" s="32" t="s">
        <v>69</v>
      </c>
      <c r="I1646" s="33" t="s">
        <v>14</v>
      </c>
      <c r="J1646" s="34" t="s">
        <v>15</v>
      </c>
      <c r="K1646" s="35" t="s">
        <v>0</v>
      </c>
      <c r="L1646" s="33"/>
      <c r="M1646" s="33"/>
      <c r="N1646" s="36"/>
      <c r="O1646" s="33">
        <v>3</v>
      </c>
      <c r="P1646" s="33">
        <v>3</v>
      </c>
      <c r="Q1646" s="33">
        <v>3</v>
      </c>
      <c r="R1646" s="33" t="s">
        <v>130</v>
      </c>
      <c r="S1646" s="33" t="s">
        <v>349</v>
      </c>
    </row>
    <row r="1647" spans="8:19" ht="27.6" x14ac:dyDescent="0.3">
      <c r="H1647" s="32" t="s">
        <v>69</v>
      </c>
      <c r="I1647" s="33" t="s">
        <v>14</v>
      </c>
      <c r="J1647" s="34" t="s">
        <v>16</v>
      </c>
      <c r="K1647" s="35" t="s">
        <v>0</v>
      </c>
      <c r="L1647" s="33"/>
      <c r="M1647" s="33"/>
      <c r="N1647" s="36"/>
      <c r="O1647" s="33">
        <v>1</v>
      </c>
      <c r="P1647" s="33">
        <v>1</v>
      </c>
      <c r="Q1647" s="33">
        <v>1</v>
      </c>
      <c r="R1647" s="33" t="s">
        <v>130</v>
      </c>
      <c r="S1647" s="33" t="s">
        <v>349</v>
      </c>
    </row>
    <row r="1648" spans="8:19" ht="27.6" x14ac:dyDescent="0.3">
      <c r="H1648" s="32" t="s">
        <v>69</v>
      </c>
      <c r="I1648" s="33" t="s">
        <v>10</v>
      </c>
      <c r="J1648" s="34" t="s">
        <v>11</v>
      </c>
      <c r="K1648" s="35" t="s">
        <v>290</v>
      </c>
      <c r="L1648" s="69" t="s">
        <v>419</v>
      </c>
      <c r="M1648" s="69">
        <v>4188</v>
      </c>
      <c r="N1648" s="36"/>
      <c r="O1648" s="33">
        <v>3</v>
      </c>
      <c r="P1648" s="33">
        <v>0</v>
      </c>
      <c r="Q1648" s="33">
        <v>3</v>
      </c>
      <c r="R1648" s="33" t="s">
        <v>130</v>
      </c>
      <c r="S1648" s="33" t="s">
        <v>349</v>
      </c>
    </row>
    <row r="1649" spans="8:19" ht="27.6" x14ac:dyDescent="0.3">
      <c r="H1649" s="32" t="s">
        <v>69</v>
      </c>
      <c r="I1649" s="33" t="s">
        <v>10</v>
      </c>
      <c r="J1649" s="34" t="s">
        <v>316</v>
      </c>
      <c r="K1649" s="35" t="s">
        <v>0</v>
      </c>
      <c r="L1649" s="33"/>
      <c r="M1649" s="33"/>
      <c r="N1649" s="36"/>
      <c r="O1649" s="33">
        <v>3</v>
      </c>
      <c r="P1649" s="33">
        <v>3</v>
      </c>
      <c r="Q1649" s="33">
        <v>3</v>
      </c>
      <c r="R1649" s="33" t="s">
        <v>130</v>
      </c>
      <c r="S1649" s="33" t="s">
        <v>349</v>
      </c>
    </row>
    <row r="1650" spans="8:19" ht="27.6" x14ac:dyDescent="0.3">
      <c r="H1650" s="32" t="s">
        <v>69</v>
      </c>
      <c r="I1650" s="33" t="s">
        <v>10</v>
      </c>
      <c r="J1650" s="34" t="s">
        <v>444</v>
      </c>
      <c r="K1650" s="35" t="s">
        <v>290</v>
      </c>
      <c r="L1650" s="69" t="s">
        <v>419</v>
      </c>
      <c r="M1650" s="69">
        <v>4188</v>
      </c>
      <c r="N1650" s="36"/>
      <c r="O1650" s="33">
        <v>3</v>
      </c>
      <c r="P1650" s="33">
        <v>0</v>
      </c>
      <c r="Q1650" s="33">
        <v>3</v>
      </c>
      <c r="R1650" s="33" t="s">
        <v>130</v>
      </c>
      <c r="S1650" s="33" t="s">
        <v>349</v>
      </c>
    </row>
    <row r="1651" spans="8:19" ht="27.6" x14ac:dyDescent="0.3">
      <c r="H1651" s="32" t="s">
        <v>69</v>
      </c>
      <c r="I1651" s="33" t="s">
        <v>10</v>
      </c>
      <c r="J1651" s="34" t="s">
        <v>393</v>
      </c>
      <c r="K1651" s="60" t="s">
        <v>0</v>
      </c>
      <c r="L1651" s="33"/>
      <c r="M1651" s="33"/>
      <c r="N1651" s="36"/>
      <c r="O1651" s="33">
        <v>2</v>
      </c>
      <c r="P1651" s="33">
        <v>2</v>
      </c>
      <c r="Q1651" s="33">
        <v>2</v>
      </c>
      <c r="R1651" s="33" t="s">
        <v>130</v>
      </c>
      <c r="S1651" s="33" t="s">
        <v>349</v>
      </c>
    </row>
    <row r="1652" spans="8:19" ht="27.6" x14ac:dyDescent="0.3">
      <c r="H1652" s="32" t="s">
        <v>69</v>
      </c>
      <c r="I1652" s="33" t="s">
        <v>10</v>
      </c>
      <c r="J1652" s="34" t="s">
        <v>440</v>
      </c>
      <c r="K1652" s="35" t="s">
        <v>0</v>
      </c>
      <c r="L1652" s="33"/>
      <c r="M1652" s="33"/>
      <c r="N1652" s="36"/>
      <c r="O1652" s="33">
        <v>3</v>
      </c>
      <c r="P1652" s="33">
        <v>3</v>
      </c>
      <c r="Q1652" s="33">
        <v>3</v>
      </c>
      <c r="R1652" s="33" t="s">
        <v>130</v>
      </c>
      <c r="S1652" s="33" t="s">
        <v>349</v>
      </c>
    </row>
    <row r="1653" spans="8:19" ht="27.6" x14ac:dyDescent="0.3">
      <c r="H1653" s="32" t="s">
        <v>69</v>
      </c>
      <c r="I1653" s="33" t="s">
        <v>12</v>
      </c>
      <c r="J1653" s="34" t="s">
        <v>13</v>
      </c>
      <c r="K1653" s="35" t="s">
        <v>0</v>
      </c>
      <c r="L1653" s="33"/>
      <c r="M1653" s="33"/>
      <c r="N1653" s="36"/>
      <c r="O1653" s="33">
        <v>2</v>
      </c>
      <c r="P1653" s="33">
        <v>0</v>
      </c>
      <c r="Q1653" s="33">
        <v>2</v>
      </c>
      <c r="R1653" s="33" t="s">
        <v>130</v>
      </c>
      <c r="S1653" s="33" t="s">
        <v>349</v>
      </c>
    </row>
    <row r="1654" spans="8:19" ht="27.6" x14ac:dyDescent="0.3">
      <c r="H1654" s="32" t="s">
        <v>69</v>
      </c>
      <c r="I1654" s="33" t="s">
        <v>17</v>
      </c>
      <c r="J1654" s="34" t="s">
        <v>18</v>
      </c>
      <c r="K1654" s="35" t="s">
        <v>0</v>
      </c>
      <c r="L1654" s="33"/>
      <c r="M1654" s="33"/>
      <c r="N1654" s="36"/>
      <c r="O1654" s="33">
        <v>3</v>
      </c>
      <c r="P1654" s="33">
        <v>3</v>
      </c>
      <c r="Q1654" s="33">
        <v>3</v>
      </c>
      <c r="R1654" s="33" t="s">
        <v>130</v>
      </c>
      <c r="S1654" s="33" t="s">
        <v>349</v>
      </c>
    </row>
    <row r="1655" spans="8:19" ht="27.6" x14ac:dyDescent="0.3">
      <c r="H1655" s="32" t="s">
        <v>69</v>
      </c>
      <c r="I1655" s="33" t="s">
        <v>17</v>
      </c>
      <c r="J1655" s="34" t="s">
        <v>19</v>
      </c>
      <c r="K1655" s="35" t="s">
        <v>0</v>
      </c>
      <c r="L1655" s="33"/>
      <c r="M1655" s="33"/>
      <c r="N1655" s="36"/>
      <c r="O1655" s="33">
        <v>1</v>
      </c>
      <c r="P1655" s="33">
        <v>1</v>
      </c>
      <c r="Q1655" s="33">
        <v>1</v>
      </c>
      <c r="R1655" s="33" t="s">
        <v>130</v>
      </c>
      <c r="S1655" s="33" t="s">
        <v>349</v>
      </c>
    </row>
    <row r="1656" spans="8:19" ht="27.6" x14ac:dyDescent="0.3">
      <c r="H1656" s="32" t="s">
        <v>69</v>
      </c>
      <c r="I1656" s="33" t="s">
        <v>25</v>
      </c>
      <c r="J1656" s="34" t="s">
        <v>472</v>
      </c>
      <c r="K1656" s="35" t="s">
        <v>0</v>
      </c>
      <c r="L1656" s="33"/>
      <c r="M1656" s="33"/>
      <c r="N1656" s="36"/>
      <c r="O1656" s="33">
        <v>3</v>
      </c>
      <c r="P1656" s="33">
        <v>0</v>
      </c>
      <c r="Q1656" s="33">
        <v>3</v>
      </c>
      <c r="R1656" s="33" t="s">
        <v>130</v>
      </c>
      <c r="S1656" s="33" t="s">
        <v>349</v>
      </c>
    </row>
    <row r="1657" spans="8:19" ht="27.6" x14ac:dyDescent="0.3">
      <c r="H1657" s="32" t="s">
        <v>69</v>
      </c>
      <c r="I1657" s="33" t="s">
        <v>25</v>
      </c>
      <c r="J1657" s="34" t="s">
        <v>320</v>
      </c>
      <c r="K1657" s="35" t="s">
        <v>0</v>
      </c>
      <c r="L1657" s="33"/>
      <c r="M1657" s="33"/>
      <c r="N1657" s="36"/>
      <c r="O1657" s="33">
        <v>3</v>
      </c>
      <c r="P1657" s="33">
        <v>3</v>
      </c>
      <c r="Q1657" s="33">
        <v>3</v>
      </c>
      <c r="R1657" s="33" t="s">
        <v>130</v>
      </c>
      <c r="S1657" s="33" t="s">
        <v>349</v>
      </c>
    </row>
    <row r="1658" spans="8:19" ht="27.6" x14ac:dyDescent="0.3">
      <c r="H1658" s="32" t="s">
        <v>69</v>
      </c>
      <c r="I1658" s="33" t="s">
        <v>30</v>
      </c>
      <c r="J1658" s="34" t="s">
        <v>470</v>
      </c>
      <c r="K1658" s="35" t="s">
        <v>0</v>
      </c>
      <c r="L1658" s="33"/>
      <c r="M1658" s="33"/>
      <c r="N1658" s="36"/>
      <c r="O1658" s="33">
        <v>3</v>
      </c>
      <c r="P1658" s="33">
        <v>3</v>
      </c>
      <c r="Q1658" s="33">
        <v>3</v>
      </c>
      <c r="R1658" s="33" t="s">
        <v>130</v>
      </c>
      <c r="S1658" s="33" t="s">
        <v>349</v>
      </c>
    </row>
    <row r="1659" spans="8:19" ht="27.6" x14ac:dyDescent="0.3">
      <c r="H1659" s="32" t="s">
        <v>69</v>
      </c>
      <c r="I1659" s="33" t="s">
        <v>25</v>
      </c>
      <c r="J1659" s="34" t="s">
        <v>449</v>
      </c>
      <c r="K1659" s="35" t="s">
        <v>0</v>
      </c>
      <c r="L1659" s="33"/>
      <c r="M1659" s="33"/>
      <c r="N1659" s="36"/>
      <c r="O1659" s="33">
        <v>3</v>
      </c>
      <c r="P1659" s="33">
        <v>3</v>
      </c>
      <c r="Q1659" s="33">
        <v>3</v>
      </c>
      <c r="R1659" s="33" t="s">
        <v>130</v>
      </c>
      <c r="S1659" s="33" t="s">
        <v>349</v>
      </c>
    </row>
    <row r="1660" spans="8:19" ht="41.4" x14ac:dyDescent="0.3">
      <c r="H1660" s="32" t="s">
        <v>69</v>
      </c>
      <c r="I1660" s="33" t="s">
        <v>41</v>
      </c>
      <c r="J1660" s="34" t="s">
        <v>442</v>
      </c>
      <c r="K1660" s="35" t="s">
        <v>1</v>
      </c>
      <c r="L1660" s="33" t="s">
        <v>423</v>
      </c>
      <c r="M1660" s="33">
        <v>8785</v>
      </c>
      <c r="N1660" s="36"/>
      <c r="O1660" s="33">
        <v>3</v>
      </c>
      <c r="P1660" s="33">
        <v>0</v>
      </c>
      <c r="Q1660" s="33">
        <v>1.5</v>
      </c>
      <c r="R1660" s="33" t="s">
        <v>130</v>
      </c>
      <c r="S1660" s="33" t="s">
        <v>349</v>
      </c>
    </row>
    <row r="1661" spans="8:19" ht="41.4" x14ac:dyDescent="0.3">
      <c r="H1661" s="32" t="s">
        <v>69</v>
      </c>
      <c r="I1661" s="53" t="s">
        <v>41</v>
      </c>
      <c r="J1661" s="34" t="s">
        <v>443</v>
      </c>
      <c r="K1661" s="54" t="s">
        <v>1</v>
      </c>
      <c r="L1661" s="53" t="s">
        <v>423</v>
      </c>
      <c r="M1661" s="53">
        <v>8785</v>
      </c>
      <c r="N1661" s="55"/>
      <c r="O1661" s="53">
        <v>2</v>
      </c>
      <c r="P1661" s="53">
        <v>0</v>
      </c>
      <c r="Q1661" s="33">
        <v>2</v>
      </c>
      <c r="R1661" s="33" t="s">
        <v>130</v>
      </c>
      <c r="S1661" s="33" t="s">
        <v>349</v>
      </c>
    </row>
    <row r="1662" spans="8:19" ht="27.6" x14ac:dyDescent="0.3">
      <c r="H1662" s="32" t="s">
        <v>48</v>
      </c>
      <c r="I1662" s="33" t="s">
        <v>14</v>
      </c>
      <c r="J1662" s="34" t="s">
        <v>15</v>
      </c>
      <c r="K1662" s="35" t="s">
        <v>0</v>
      </c>
      <c r="L1662" s="33"/>
      <c r="M1662" s="33"/>
      <c r="N1662" s="36"/>
      <c r="O1662" s="33">
        <v>3</v>
      </c>
      <c r="P1662" s="33">
        <v>3</v>
      </c>
      <c r="Q1662" s="33">
        <v>3</v>
      </c>
      <c r="R1662" s="33" t="s">
        <v>130</v>
      </c>
      <c r="S1662" s="33" t="s">
        <v>349</v>
      </c>
    </row>
    <row r="1663" spans="8:19" ht="27.6" x14ac:dyDescent="0.3">
      <c r="H1663" s="32" t="s">
        <v>48</v>
      </c>
      <c r="I1663" s="33" t="s">
        <v>14</v>
      </c>
      <c r="J1663" s="34" t="s">
        <v>16</v>
      </c>
      <c r="K1663" s="35" t="s">
        <v>0</v>
      </c>
      <c r="L1663" s="33"/>
      <c r="M1663" s="33"/>
      <c r="N1663" s="36"/>
      <c r="O1663" s="33">
        <v>1</v>
      </c>
      <c r="P1663" s="33">
        <v>1</v>
      </c>
      <c r="Q1663" s="33">
        <v>1</v>
      </c>
      <c r="R1663" s="33" t="s">
        <v>130</v>
      </c>
      <c r="S1663" s="33" t="s">
        <v>349</v>
      </c>
    </row>
    <row r="1664" spans="8:19" ht="27.6" x14ac:dyDescent="0.3">
      <c r="H1664" s="32" t="s">
        <v>48</v>
      </c>
      <c r="I1664" s="33" t="s">
        <v>10</v>
      </c>
      <c r="J1664" s="34" t="s">
        <v>11</v>
      </c>
      <c r="K1664" s="35" t="s">
        <v>290</v>
      </c>
      <c r="L1664" s="69" t="s">
        <v>419</v>
      </c>
      <c r="M1664" s="69">
        <v>4188</v>
      </c>
      <c r="N1664" s="36"/>
      <c r="O1664" s="33">
        <v>3</v>
      </c>
      <c r="P1664" s="33">
        <v>0</v>
      </c>
      <c r="Q1664" s="33">
        <v>3</v>
      </c>
      <c r="R1664" s="33" t="s">
        <v>130</v>
      </c>
      <c r="S1664" s="33" t="s">
        <v>349</v>
      </c>
    </row>
    <row r="1665" spans="8:19" ht="27.6" x14ac:dyDescent="0.3">
      <c r="H1665" s="32" t="s">
        <v>48</v>
      </c>
      <c r="I1665" s="33" t="s">
        <v>10</v>
      </c>
      <c r="J1665" s="34" t="s">
        <v>316</v>
      </c>
      <c r="K1665" s="35" t="s">
        <v>0</v>
      </c>
      <c r="L1665" s="33"/>
      <c r="M1665" s="33"/>
      <c r="N1665" s="36"/>
      <c r="O1665" s="33">
        <v>3</v>
      </c>
      <c r="P1665" s="33">
        <v>3</v>
      </c>
      <c r="Q1665" s="33">
        <v>3</v>
      </c>
      <c r="R1665" s="33" t="s">
        <v>130</v>
      </c>
      <c r="S1665" s="33" t="s">
        <v>349</v>
      </c>
    </row>
    <row r="1666" spans="8:19" ht="27.6" x14ac:dyDescent="0.3">
      <c r="H1666" s="32" t="s">
        <v>48</v>
      </c>
      <c r="I1666" s="33" t="s">
        <v>10</v>
      </c>
      <c r="J1666" s="34" t="s">
        <v>444</v>
      </c>
      <c r="K1666" s="35" t="s">
        <v>290</v>
      </c>
      <c r="L1666" s="69" t="s">
        <v>419</v>
      </c>
      <c r="M1666" s="69">
        <v>4188</v>
      </c>
      <c r="N1666" s="36"/>
      <c r="O1666" s="33">
        <v>3</v>
      </c>
      <c r="P1666" s="33">
        <v>0</v>
      </c>
      <c r="Q1666" s="33">
        <v>3</v>
      </c>
      <c r="R1666" s="33" t="s">
        <v>130</v>
      </c>
      <c r="S1666" s="33" t="s">
        <v>349</v>
      </c>
    </row>
    <row r="1667" spans="8:19" ht="27.6" x14ac:dyDescent="0.3">
      <c r="H1667" s="32" t="s">
        <v>48</v>
      </c>
      <c r="I1667" s="33" t="s">
        <v>10</v>
      </c>
      <c r="J1667" s="34" t="s">
        <v>393</v>
      </c>
      <c r="K1667" s="60" t="s">
        <v>0</v>
      </c>
      <c r="L1667" s="33"/>
      <c r="M1667" s="33"/>
      <c r="N1667" s="36"/>
      <c r="O1667" s="33">
        <v>2</v>
      </c>
      <c r="P1667" s="33">
        <v>2</v>
      </c>
      <c r="Q1667" s="33">
        <v>2</v>
      </c>
      <c r="R1667" s="33" t="s">
        <v>130</v>
      </c>
      <c r="S1667" s="33" t="s">
        <v>349</v>
      </c>
    </row>
    <row r="1668" spans="8:19" ht="27.6" x14ac:dyDescent="0.3">
      <c r="H1668" s="32" t="s">
        <v>48</v>
      </c>
      <c r="I1668" s="33" t="s">
        <v>10</v>
      </c>
      <c r="J1668" s="34" t="s">
        <v>440</v>
      </c>
      <c r="K1668" s="35" t="s">
        <v>0</v>
      </c>
      <c r="L1668" s="33"/>
      <c r="M1668" s="33"/>
      <c r="N1668" s="36"/>
      <c r="O1668" s="33">
        <v>3</v>
      </c>
      <c r="P1668" s="33">
        <v>3</v>
      </c>
      <c r="Q1668" s="33">
        <v>3</v>
      </c>
      <c r="R1668" s="33" t="s">
        <v>130</v>
      </c>
      <c r="S1668" s="33" t="s">
        <v>349</v>
      </c>
    </row>
    <row r="1669" spans="8:19" ht="27.6" x14ac:dyDescent="0.3">
      <c r="H1669" s="32" t="s">
        <v>48</v>
      </c>
      <c r="I1669" s="33" t="s">
        <v>12</v>
      </c>
      <c r="J1669" s="34" t="s">
        <v>13</v>
      </c>
      <c r="K1669" s="35" t="s">
        <v>0</v>
      </c>
      <c r="L1669" s="33"/>
      <c r="M1669" s="33"/>
      <c r="N1669" s="36"/>
      <c r="O1669" s="33">
        <v>2</v>
      </c>
      <c r="P1669" s="33">
        <v>0</v>
      </c>
      <c r="Q1669" s="33">
        <v>2</v>
      </c>
      <c r="R1669" s="33" t="s">
        <v>130</v>
      </c>
      <c r="S1669" s="33" t="s">
        <v>349</v>
      </c>
    </row>
    <row r="1670" spans="8:19" ht="27.6" x14ac:dyDescent="0.3">
      <c r="H1670" s="32" t="s">
        <v>48</v>
      </c>
      <c r="I1670" s="33" t="s">
        <v>17</v>
      </c>
      <c r="J1670" s="34" t="s">
        <v>18</v>
      </c>
      <c r="K1670" s="35" t="s">
        <v>0</v>
      </c>
      <c r="L1670" s="33"/>
      <c r="M1670" s="33"/>
      <c r="N1670" s="36"/>
      <c r="O1670" s="33">
        <v>3</v>
      </c>
      <c r="P1670" s="33">
        <v>3</v>
      </c>
      <c r="Q1670" s="33">
        <v>3</v>
      </c>
      <c r="R1670" s="33" t="s">
        <v>130</v>
      </c>
      <c r="S1670" s="33" t="s">
        <v>349</v>
      </c>
    </row>
    <row r="1671" spans="8:19" ht="27.6" x14ac:dyDescent="0.3">
      <c r="H1671" s="32" t="s">
        <v>48</v>
      </c>
      <c r="I1671" s="33" t="s">
        <v>17</v>
      </c>
      <c r="J1671" s="34" t="s">
        <v>19</v>
      </c>
      <c r="K1671" s="35" t="s">
        <v>0</v>
      </c>
      <c r="L1671" s="33"/>
      <c r="M1671" s="33"/>
      <c r="N1671" s="36"/>
      <c r="O1671" s="33">
        <v>1</v>
      </c>
      <c r="P1671" s="33">
        <v>1</v>
      </c>
      <c r="Q1671" s="33">
        <v>1</v>
      </c>
      <c r="R1671" s="33" t="s">
        <v>130</v>
      </c>
      <c r="S1671" s="33" t="s">
        <v>349</v>
      </c>
    </row>
    <row r="1672" spans="8:19" ht="27.6" x14ac:dyDescent="0.3">
      <c r="H1672" s="32" t="s">
        <v>48</v>
      </c>
      <c r="I1672" s="33" t="s">
        <v>25</v>
      </c>
      <c r="J1672" s="34" t="s">
        <v>472</v>
      </c>
      <c r="K1672" s="35" t="s">
        <v>0</v>
      </c>
      <c r="L1672" s="33"/>
      <c r="M1672" s="33"/>
      <c r="N1672" s="36"/>
      <c r="O1672" s="33">
        <v>3</v>
      </c>
      <c r="P1672" s="33">
        <v>0</v>
      </c>
      <c r="Q1672" s="33">
        <v>3</v>
      </c>
      <c r="R1672" s="33" t="s">
        <v>130</v>
      </c>
      <c r="S1672" s="33" t="s">
        <v>349</v>
      </c>
    </row>
    <row r="1673" spans="8:19" ht="27.6" x14ac:dyDescent="0.3">
      <c r="H1673" s="32" t="s">
        <v>48</v>
      </c>
      <c r="I1673" s="33" t="s">
        <v>25</v>
      </c>
      <c r="J1673" s="34" t="s">
        <v>320</v>
      </c>
      <c r="K1673" s="35" t="s">
        <v>0</v>
      </c>
      <c r="L1673" s="33"/>
      <c r="M1673" s="33"/>
      <c r="N1673" s="36"/>
      <c r="O1673" s="33">
        <v>3</v>
      </c>
      <c r="P1673" s="33">
        <v>3</v>
      </c>
      <c r="Q1673" s="33">
        <v>3</v>
      </c>
      <c r="R1673" s="33" t="s">
        <v>130</v>
      </c>
      <c r="S1673" s="33" t="s">
        <v>349</v>
      </c>
    </row>
    <row r="1674" spans="8:19" ht="27.6" x14ac:dyDescent="0.3">
      <c r="H1674" s="32" t="s">
        <v>48</v>
      </c>
      <c r="I1674" s="33" t="s">
        <v>30</v>
      </c>
      <c r="J1674" s="34" t="s">
        <v>470</v>
      </c>
      <c r="K1674" s="35" t="s">
        <v>0</v>
      </c>
      <c r="L1674" s="33"/>
      <c r="M1674" s="33"/>
      <c r="N1674" s="36"/>
      <c r="O1674" s="33">
        <v>3</v>
      </c>
      <c r="P1674" s="33">
        <v>3</v>
      </c>
      <c r="Q1674" s="33">
        <v>3</v>
      </c>
      <c r="R1674" s="33" t="s">
        <v>130</v>
      </c>
      <c r="S1674" s="33" t="s">
        <v>349</v>
      </c>
    </row>
    <row r="1675" spans="8:19" ht="27.6" x14ac:dyDescent="0.3">
      <c r="H1675" s="32" t="s">
        <v>48</v>
      </c>
      <c r="I1675" s="33" t="s">
        <v>25</v>
      </c>
      <c r="J1675" s="34" t="s">
        <v>449</v>
      </c>
      <c r="K1675" s="35" t="s">
        <v>0</v>
      </c>
      <c r="L1675" s="33"/>
      <c r="M1675" s="33"/>
      <c r="N1675" s="36"/>
      <c r="O1675" s="33">
        <v>3</v>
      </c>
      <c r="P1675" s="33">
        <v>3</v>
      </c>
      <c r="Q1675" s="33">
        <v>3</v>
      </c>
      <c r="R1675" s="33" t="s">
        <v>130</v>
      </c>
      <c r="S1675" s="33" t="s">
        <v>349</v>
      </c>
    </row>
    <row r="1676" spans="8:19" ht="41.4" x14ac:dyDescent="0.3">
      <c r="H1676" s="32" t="s">
        <v>48</v>
      </c>
      <c r="I1676" s="33" t="s">
        <v>41</v>
      </c>
      <c r="J1676" s="34" t="s">
        <v>442</v>
      </c>
      <c r="K1676" s="35" t="s">
        <v>0</v>
      </c>
      <c r="L1676" s="33"/>
      <c r="M1676" s="33"/>
      <c r="N1676" s="36"/>
      <c r="O1676" s="33">
        <v>3</v>
      </c>
      <c r="P1676" s="33">
        <v>0</v>
      </c>
      <c r="Q1676" s="33">
        <v>1.5</v>
      </c>
      <c r="R1676" s="33" t="s">
        <v>130</v>
      </c>
      <c r="S1676" s="33" t="s">
        <v>349</v>
      </c>
    </row>
    <row r="1677" spans="8:19" ht="41.4" x14ac:dyDescent="0.3">
      <c r="H1677" s="32" t="s">
        <v>48</v>
      </c>
      <c r="I1677" s="53" t="s">
        <v>41</v>
      </c>
      <c r="J1677" s="34" t="s">
        <v>443</v>
      </c>
      <c r="K1677" s="54" t="s">
        <v>290</v>
      </c>
      <c r="L1677" s="53" t="s">
        <v>412</v>
      </c>
      <c r="M1677" s="53">
        <v>9194</v>
      </c>
      <c r="N1677" s="55"/>
      <c r="O1677" s="53">
        <v>2</v>
      </c>
      <c r="P1677" s="53">
        <v>0</v>
      </c>
      <c r="Q1677" s="33">
        <v>2</v>
      </c>
      <c r="R1677" s="33" t="s">
        <v>130</v>
      </c>
      <c r="S1677" s="33" t="s">
        <v>349</v>
      </c>
    </row>
    <row r="1678" spans="8:19" ht="27.6" x14ac:dyDescent="0.3">
      <c r="H1678" s="32" t="s">
        <v>55</v>
      </c>
      <c r="I1678" s="33" t="s">
        <v>30</v>
      </c>
      <c r="J1678" s="34" t="s">
        <v>438</v>
      </c>
      <c r="K1678" s="35" t="s">
        <v>0</v>
      </c>
      <c r="L1678" s="33"/>
      <c r="M1678" s="33"/>
      <c r="N1678" s="36"/>
      <c r="O1678" s="33">
        <v>3</v>
      </c>
      <c r="P1678" s="33">
        <f>IF(Tabela1[[#This Row],[Status]]="✔️",Tabela1[[#This Row],[Peso]],IF(Tabela1[[#This Row],[Status]]="✔️✔️",Tabela1[[#This Row],[Peso]]/2,0))</f>
        <v>3</v>
      </c>
      <c r="Q167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678" s="33" t="s">
        <v>130</v>
      </c>
      <c r="S1678" s="33" t="s">
        <v>349</v>
      </c>
    </row>
    <row r="1679" spans="8:19" ht="27.6" x14ac:dyDescent="0.3">
      <c r="H1679" s="32" t="s">
        <v>55</v>
      </c>
      <c r="I1679" s="33" t="s">
        <v>10</v>
      </c>
      <c r="J1679" s="34" t="s">
        <v>444</v>
      </c>
      <c r="K1679" s="35" t="s">
        <v>291</v>
      </c>
      <c r="L1679" s="33" t="s">
        <v>153</v>
      </c>
      <c r="M1679" s="33">
        <v>7439</v>
      </c>
      <c r="N1679" s="36"/>
      <c r="O1679" s="33">
        <v>3</v>
      </c>
      <c r="P1679" s="33">
        <f>IF(Tabela1[[#This Row],[Status]]="✔️",Tabela1[[#This Row],[Peso]],IF(Tabela1[[#This Row],[Status]]="✔️✔️",Tabela1[[#This Row],[Peso]]/2,0))</f>
        <v>1.5</v>
      </c>
      <c r="Q1679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679" s="33" t="s">
        <v>130</v>
      </c>
      <c r="S1679" s="33" t="s">
        <v>349</v>
      </c>
    </row>
    <row r="1680" spans="8:19" ht="27.6" x14ac:dyDescent="0.3">
      <c r="H1680" s="32" t="s">
        <v>55</v>
      </c>
      <c r="I1680" s="33" t="s">
        <v>10</v>
      </c>
      <c r="J1680" s="34" t="s">
        <v>11</v>
      </c>
      <c r="K1680" s="35" t="s">
        <v>291</v>
      </c>
      <c r="L1680" s="33" t="s">
        <v>164</v>
      </c>
      <c r="M1680" s="33">
        <v>7439</v>
      </c>
      <c r="N1680" s="36"/>
      <c r="O1680" s="33">
        <v>3</v>
      </c>
      <c r="P1680" s="33">
        <f>IF(Tabela1[[#This Row],[Status]]="✔️",Tabela1[[#This Row],[Peso]],IF(Tabela1[[#This Row],[Status]]="✔️✔️",Tabela1[[#This Row],[Peso]]/2,0))</f>
        <v>1.5</v>
      </c>
      <c r="Q1680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680" s="33" t="s">
        <v>130</v>
      </c>
      <c r="S1680" s="33" t="s">
        <v>349</v>
      </c>
    </row>
    <row r="1681" spans="8:19" ht="27.6" x14ac:dyDescent="0.3">
      <c r="H1681" s="32" t="s">
        <v>55</v>
      </c>
      <c r="I1681" s="33" t="s">
        <v>10</v>
      </c>
      <c r="J1681" s="34" t="s">
        <v>439</v>
      </c>
      <c r="K1681" s="35" t="s">
        <v>0</v>
      </c>
      <c r="L1681" s="33"/>
      <c r="M1681" s="33"/>
      <c r="N1681" s="36"/>
      <c r="O1681" s="33">
        <v>3</v>
      </c>
      <c r="P1681" s="33">
        <f>IF(Tabela1[[#This Row],[Status]]="✔️",Tabela1[[#This Row],[Peso]],IF(Tabela1[[#This Row],[Status]]="✔️✔️",Tabela1[[#This Row],[Peso]]/2,0))</f>
        <v>3</v>
      </c>
      <c r="Q168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681" s="33" t="s">
        <v>130</v>
      </c>
      <c r="S1681" s="33" t="s">
        <v>349</v>
      </c>
    </row>
    <row r="1682" spans="8:19" ht="27.6" x14ac:dyDescent="0.3">
      <c r="H1682" s="32" t="s">
        <v>55</v>
      </c>
      <c r="I1682" s="33" t="s">
        <v>10</v>
      </c>
      <c r="J1682" s="34" t="s">
        <v>440</v>
      </c>
      <c r="K1682" s="35" t="s">
        <v>1</v>
      </c>
      <c r="L1682" s="33"/>
      <c r="M1682" s="33"/>
      <c r="N1682" s="36"/>
      <c r="O1682" s="33">
        <v>3</v>
      </c>
      <c r="P1682" s="33">
        <f>IF(Tabela1[[#This Row],[Status]]="✔️",Tabela1[[#This Row],[Peso]],IF(Tabela1[[#This Row],[Status]]="✔️✔️",Tabela1[[#This Row],[Peso]]/2,0))</f>
        <v>0</v>
      </c>
      <c r="Q168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682" s="33" t="s">
        <v>130</v>
      </c>
      <c r="S1682" s="33" t="s">
        <v>349</v>
      </c>
    </row>
    <row r="1683" spans="8:19" ht="27.6" x14ac:dyDescent="0.3">
      <c r="H1683" s="32" t="s">
        <v>55</v>
      </c>
      <c r="I1683" s="33" t="s">
        <v>12</v>
      </c>
      <c r="J1683" s="34" t="s">
        <v>13</v>
      </c>
      <c r="K1683" s="35" t="s">
        <v>0</v>
      </c>
      <c r="L1683" s="33"/>
      <c r="M1683" s="33"/>
      <c r="N1683" s="36"/>
      <c r="O1683" s="33">
        <v>2</v>
      </c>
      <c r="P1683" s="33">
        <f>IF(Tabela1[[#This Row],[Status]]="✔️",Tabela1[[#This Row],[Peso]],IF(Tabela1[[#This Row],[Status]]="✔️✔️",Tabela1[[#This Row],[Peso]]/2,0))</f>
        <v>2</v>
      </c>
      <c r="Q1683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683" s="33" t="s">
        <v>130</v>
      </c>
      <c r="S1683" s="33" t="s">
        <v>349</v>
      </c>
    </row>
    <row r="1684" spans="8:19" ht="27.6" x14ac:dyDescent="0.3">
      <c r="H1684" s="32" t="s">
        <v>55</v>
      </c>
      <c r="I1684" s="33" t="s">
        <v>14</v>
      </c>
      <c r="J1684" s="34" t="s">
        <v>15</v>
      </c>
      <c r="K1684" s="35" t="s">
        <v>290</v>
      </c>
      <c r="L1684" s="33" t="s">
        <v>165</v>
      </c>
      <c r="M1684" s="33">
        <v>5405</v>
      </c>
      <c r="N1684" s="36"/>
      <c r="O1684" s="33">
        <v>3</v>
      </c>
      <c r="P1684" s="33">
        <f>IF(Tabela1[[#This Row],[Status]]="✔️",Tabela1[[#This Row],[Peso]],IF(Tabela1[[#This Row],[Status]]="✔️✔️",Tabela1[[#This Row],[Peso]]/2,0))</f>
        <v>0</v>
      </c>
      <c r="Q168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684" s="33" t="s">
        <v>130</v>
      </c>
      <c r="S1684" s="33" t="s">
        <v>349</v>
      </c>
    </row>
    <row r="1685" spans="8:19" ht="27.6" x14ac:dyDescent="0.3">
      <c r="H1685" s="32" t="s">
        <v>55</v>
      </c>
      <c r="I1685" s="33" t="s">
        <v>14</v>
      </c>
      <c r="J1685" s="34" t="s">
        <v>16</v>
      </c>
      <c r="K1685" s="35" t="s">
        <v>290</v>
      </c>
      <c r="L1685" s="33" t="s">
        <v>165</v>
      </c>
      <c r="M1685" s="33">
        <v>5405</v>
      </c>
      <c r="N1685" s="36"/>
      <c r="O1685" s="33">
        <v>1</v>
      </c>
      <c r="P1685" s="33">
        <f>IF(Tabela1[[#This Row],[Status]]="✔️",Tabela1[[#This Row],[Peso]],IF(Tabela1[[#This Row],[Status]]="✔️✔️",Tabela1[[#This Row],[Peso]]/2,0))</f>
        <v>0</v>
      </c>
      <c r="Q168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685" s="33" t="s">
        <v>130</v>
      </c>
      <c r="S1685" s="33" t="s">
        <v>349</v>
      </c>
    </row>
    <row r="1686" spans="8:19" ht="27.6" x14ac:dyDescent="0.3">
      <c r="H1686" s="32" t="s">
        <v>55</v>
      </c>
      <c r="I1686" s="33" t="s">
        <v>17</v>
      </c>
      <c r="J1686" s="34" t="s">
        <v>18</v>
      </c>
      <c r="K1686" s="35" t="s">
        <v>0</v>
      </c>
      <c r="L1686" s="33"/>
      <c r="M1686" s="33"/>
      <c r="N1686" s="36"/>
      <c r="O1686" s="33">
        <v>3</v>
      </c>
      <c r="P1686" s="33">
        <f>IF(Tabela1[[#This Row],[Status]]="✔️",Tabela1[[#This Row],[Peso]],IF(Tabela1[[#This Row],[Status]]="✔️✔️",Tabela1[[#This Row],[Peso]]/2,0))</f>
        <v>3</v>
      </c>
      <c r="Q168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686" s="33" t="s">
        <v>130</v>
      </c>
      <c r="S1686" s="33" t="s">
        <v>349</v>
      </c>
    </row>
    <row r="1687" spans="8:19" ht="27.6" x14ac:dyDescent="0.3">
      <c r="H1687" s="32" t="s">
        <v>55</v>
      </c>
      <c r="I1687" s="33" t="s">
        <v>17</v>
      </c>
      <c r="J1687" s="34" t="s">
        <v>19</v>
      </c>
      <c r="K1687" s="35" t="s">
        <v>1</v>
      </c>
      <c r="L1687" s="33"/>
      <c r="M1687" s="33"/>
      <c r="N1687" s="36"/>
      <c r="O1687" s="33">
        <v>3</v>
      </c>
      <c r="P1687" s="33">
        <f>IF(Tabela1[[#This Row],[Status]]="✔️",Tabela1[[#This Row],[Peso]],IF(Tabela1[[#This Row],[Status]]="✔️✔️",Tabela1[[#This Row],[Peso]]/2,0))</f>
        <v>0</v>
      </c>
      <c r="Q168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687" s="33" t="s">
        <v>130</v>
      </c>
      <c r="S1687" s="33" t="s">
        <v>349</v>
      </c>
    </row>
    <row r="1688" spans="8:19" ht="27.6" x14ac:dyDescent="0.3">
      <c r="H1688" s="32" t="s">
        <v>55</v>
      </c>
      <c r="I1688" s="33" t="s">
        <v>20</v>
      </c>
      <c r="J1688" s="34" t="s">
        <v>21</v>
      </c>
      <c r="K1688" s="35" t="s">
        <v>1</v>
      </c>
      <c r="L1688" s="33"/>
      <c r="M1688" s="33"/>
      <c r="N1688" s="36"/>
      <c r="O1688" s="33">
        <v>3</v>
      </c>
      <c r="P1688" s="33">
        <f>IF(Tabela1[[#This Row],[Status]]="✔️",Tabela1[[#This Row],[Peso]],IF(Tabela1[[#This Row],[Status]]="✔️✔️",Tabela1[[#This Row],[Peso]]/2,0))</f>
        <v>0</v>
      </c>
      <c r="Q168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688" s="33" t="s">
        <v>130</v>
      </c>
      <c r="S1688" s="33" t="s">
        <v>349</v>
      </c>
    </row>
    <row r="1689" spans="8:19" ht="27.6" x14ac:dyDescent="0.3">
      <c r="H1689" s="32" t="s">
        <v>55</v>
      </c>
      <c r="I1689" s="33" t="s">
        <v>20</v>
      </c>
      <c r="J1689" s="34" t="s">
        <v>441</v>
      </c>
      <c r="K1689" s="35" t="s">
        <v>1</v>
      </c>
      <c r="L1689" s="33"/>
      <c r="M1689" s="33"/>
      <c r="N1689" s="36"/>
      <c r="O1689" s="33">
        <v>1</v>
      </c>
      <c r="P1689" s="33">
        <f>IF(Tabela1[[#This Row],[Status]]="✔️",Tabela1[[#This Row],[Peso]],IF(Tabela1[[#This Row],[Status]]="✔️✔️",Tabela1[[#This Row],[Peso]]/2,0))</f>
        <v>0</v>
      </c>
      <c r="Q168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689" s="33" t="s">
        <v>130</v>
      </c>
      <c r="S1689" s="33" t="s">
        <v>349</v>
      </c>
    </row>
    <row r="1690" spans="8:19" ht="27.6" x14ac:dyDescent="0.3">
      <c r="H1690" s="32" t="s">
        <v>55</v>
      </c>
      <c r="I1690" s="33" t="s">
        <v>25</v>
      </c>
      <c r="J1690" s="34" t="s">
        <v>28</v>
      </c>
      <c r="K1690" s="35" t="s">
        <v>0</v>
      </c>
      <c r="L1690" s="33"/>
      <c r="M1690" s="33"/>
      <c r="N1690" s="36"/>
      <c r="O1690" s="33">
        <v>3</v>
      </c>
      <c r="P1690" s="33">
        <f>IF(Tabela1[[#This Row],[Status]]="✔️",Tabela1[[#This Row],[Peso]],IF(Tabela1[[#This Row],[Status]]="✔️✔️",Tabela1[[#This Row],[Peso]]/2,0))</f>
        <v>3</v>
      </c>
      <c r="Q169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690" s="33" t="s">
        <v>130</v>
      </c>
      <c r="S1690" s="33" t="s">
        <v>349</v>
      </c>
    </row>
    <row r="1691" spans="8:19" ht="27.6" x14ac:dyDescent="0.3">
      <c r="H1691" s="32" t="s">
        <v>55</v>
      </c>
      <c r="I1691" s="33" t="s">
        <v>25</v>
      </c>
      <c r="J1691" s="34" t="s">
        <v>29</v>
      </c>
      <c r="K1691" s="35" t="s">
        <v>0</v>
      </c>
      <c r="L1691" s="33"/>
      <c r="M1691" s="33"/>
      <c r="N1691" s="36"/>
      <c r="O1691" s="33">
        <v>3</v>
      </c>
      <c r="P1691" s="33">
        <f>IF(Tabela1[[#This Row],[Status]]="✔️",Tabela1[[#This Row],[Peso]],IF(Tabela1[[#This Row],[Status]]="✔️✔️",Tabela1[[#This Row],[Peso]]/2,0))</f>
        <v>3</v>
      </c>
      <c r="Q169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691" s="33" t="s">
        <v>130</v>
      </c>
      <c r="S1691" s="33" t="s">
        <v>349</v>
      </c>
    </row>
    <row r="1692" spans="8:19" ht="27.6" x14ac:dyDescent="0.3">
      <c r="H1692" s="32" t="s">
        <v>55</v>
      </c>
      <c r="I1692" s="33" t="s">
        <v>25</v>
      </c>
      <c r="J1692" s="34" t="s">
        <v>449</v>
      </c>
      <c r="K1692" s="35" t="s">
        <v>0</v>
      </c>
      <c r="L1692" s="33"/>
      <c r="M1692" s="33"/>
      <c r="N1692" s="36"/>
      <c r="O1692" s="33">
        <v>3</v>
      </c>
      <c r="P1692" s="33">
        <f>IF(Tabela1[[#This Row],[Status]]="✔️",Tabela1[[#This Row],[Peso]],IF(Tabela1[[#This Row],[Status]]="✔️✔️",Tabela1[[#This Row],[Peso]]/2,0))</f>
        <v>3</v>
      </c>
      <c r="Q169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692" s="33" t="s">
        <v>130</v>
      </c>
      <c r="S1692" s="33" t="s">
        <v>349</v>
      </c>
    </row>
    <row r="1693" spans="8:19" ht="41.4" x14ac:dyDescent="0.3">
      <c r="H1693" s="32" t="s">
        <v>55</v>
      </c>
      <c r="I1693" s="33" t="s">
        <v>41</v>
      </c>
      <c r="J1693" s="34" t="s">
        <v>442</v>
      </c>
      <c r="K1693" s="35" t="s">
        <v>291</v>
      </c>
      <c r="L1693" s="33" t="s">
        <v>47</v>
      </c>
      <c r="M1693" s="33">
        <v>3184</v>
      </c>
      <c r="N1693" s="36"/>
      <c r="O1693" s="33">
        <v>3</v>
      </c>
      <c r="P1693" s="33">
        <f>IF(Tabela1[[#This Row],[Status]]="✔️",Tabela1[[#This Row],[Peso]],IF(Tabela1[[#This Row],[Status]]="✔️✔️",Tabela1[[#This Row],[Peso]]/2,0))</f>
        <v>1.5</v>
      </c>
      <c r="Q1693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693" s="33" t="s">
        <v>130</v>
      </c>
      <c r="S1693" s="33" t="s">
        <v>349</v>
      </c>
    </row>
    <row r="1694" spans="8:19" ht="41.4" x14ac:dyDescent="0.3">
      <c r="H1694" s="32" t="s">
        <v>55</v>
      </c>
      <c r="I1694" s="33" t="s">
        <v>41</v>
      </c>
      <c r="J1694" s="34" t="s">
        <v>443</v>
      </c>
      <c r="K1694" s="35" t="s">
        <v>291</v>
      </c>
      <c r="L1694" s="33" t="s">
        <v>47</v>
      </c>
      <c r="M1694" s="33">
        <v>3184</v>
      </c>
      <c r="N1694" s="36"/>
      <c r="O1694" s="33">
        <v>2</v>
      </c>
      <c r="P1694" s="33">
        <f>IF(Tabela1[[#This Row],[Status]]="✔️",Tabela1[[#This Row],[Peso]],IF(Tabela1[[#This Row],[Status]]="✔️✔️",Tabela1[[#This Row],[Peso]]/2,0))</f>
        <v>1</v>
      </c>
      <c r="Q169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694" s="33" t="s">
        <v>130</v>
      </c>
      <c r="S1694" s="33" t="s">
        <v>349</v>
      </c>
    </row>
    <row r="1695" spans="8:19" ht="27.6" x14ac:dyDescent="0.3">
      <c r="H1695" s="32" t="s">
        <v>133</v>
      </c>
      <c r="I1695" s="33" t="s">
        <v>30</v>
      </c>
      <c r="J1695" s="34" t="s">
        <v>438</v>
      </c>
      <c r="K1695" s="35" t="s">
        <v>0</v>
      </c>
      <c r="L1695" s="33"/>
      <c r="M1695" s="33"/>
      <c r="N1695" s="36"/>
      <c r="O1695" s="33">
        <v>3</v>
      </c>
      <c r="P1695" s="33">
        <v>0</v>
      </c>
      <c r="Q1695" s="33">
        <v>0</v>
      </c>
      <c r="R1695" s="33" t="s">
        <v>130</v>
      </c>
      <c r="S1695" s="37" t="s">
        <v>349</v>
      </c>
    </row>
    <row r="1696" spans="8:19" ht="27.6" x14ac:dyDescent="0.3">
      <c r="H1696" s="32" t="s">
        <v>133</v>
      </c>
      <c r="I1696" s="33" t="s">
        <v>10</v>
      </c>
      <c r="J1696" s="34" t="s">
        <v>11</v>
      </c>
      <c r="K1696" s="35" t="s">
        <v>290</v>
      </c>
      <c r="L1696" s="33" t="s">
        <v>164</v>
      </c>
      <c r="M1696" s="33">
        <v>6808</v>
      </c>
      <c r="N1696" s="36"/>
      <c r="O1696" s="33">
        <v>3</v>
      </c>
      <c r="P1696" s="33">
        <v>0</v>
      </c>
      <c r="Q1696" s="33">
        <v>3</v>
      </c>
      <c r="R1696" s="33" t="s">
        <v>130</v>
      </c>
      <c r="S1696" s="37" t="s">
        <v>349</v>
      </c>
    </row>
    <row r="1697" spans="8:19" ht="27.6" x14ac:dyDescent="0.3">
      <c r="H1697" s="32" t="s">
        <v>133</v>
      </c>
      <c r="I1697" s="33" t="s">
        <v>10</v>
      </c>
      <c r="J1697" s="34" t="s">
        <v>444</v>
      </c>
      <c r="K1697" s="35" t="s">
        <v>0</v>
      </c>
      <c r="L1697" s="33" t="s">
        <v>167</v>
      </c>
      <c r="M1697" s="33"/>
      <c r="N1697" s="36"/>
      <c r="O1697" s="33">
        <v>3</v>
      </c>
      <c r="P1697" s="33">
        <v>3</v>
      </c>
      <c r="Q1697" s="33">
        <v>3</v>
      </c>
      <c r="R1697" s="33" t="s">
        <v>130</v>
      </c>
      <c r="S1697" s="37" t="s">
        <v>349</v>
      </c>
    </row>
    <row r="1698" spans="8:19" ht="27.6" x14ac:dyDescent="0.3">
      <c r="H1698" s="32" t="s">
        <v>83</v>
      </c>
      <c r="I1698" s="33" t="s">
        <v>14</v>
      </c>
      <c r="J1698" s="34" t="s">
        <v>15</v>
      </c>
      <c r="K1698" s="35" t="s">
        <v>0</v>
      </c>
      <c r="L1698" s="33"/>
      <c r="M1698" s="33"/>
      <c r="N1698" s="36"/>
      <c r="O1698" s="33">
        <v>3</v>
      </c>
      <c r="P1698" s="33">
        <v>3</v>
      </c>
      <c r="Q1698" s="33">
        <v>3</v>
      </c>
      <c r="R1698" s="33" t="s">
        <v>130</v>
      </c>
      <c r="S1698" s="33" t="s">
        <v>349</v>
      </c>
    </row>
    <row r="1699" spans="8:19" ht="27.6" x14ac:dyDescent="0.3">
      <c r="H1699" s="32" t="s">
        <v>83</v>
      </c>
      <c r="I1699" s="33" t="s">
        <v>14</v>
      </c>
      <c r="J1699" s="34" t="s">
        <v>16</v>
      </c>
      <c r="K1699" s="35" t="s">
        <v>0</v>
      </c>
      <c r="L1699" s="33"/>
      <c r="M1699" s="33"/>
      <c r="N1699" s="36"/>
      <c r="O1699" s="33">
        <v>1</v>
      </c>
      <c r="P1699" s="33">
        <v>1</v>
      </c>
      <c r="Q1699" s="33">
        <v>1</v>
      </c>
      <c r="R1699" s="33" t="s">
        <v>130</v>
      </c>
      <c r="S1699" s="33" t="s">
        <v>349</v>
      </c>
    </row>
    <row r="1700" spans="8:19" ht="27.6" x14ac:dyDescent="0.3">
      <c r="H1700" s="32" t="s">
        <v>83</v>
      </c>
      <c r="I1700" s="33" t="s">
        <v>10</v>
      </c>
      <c r="J1700" s="34" t="s">
        <v>11</v>
      </c>
      <c r="K1700" s="35" t="s">
        <v>290</v>
      </c>
      <c r="L1700" s="33" t="s">
        <v>176</v>
      </c>
      <c r="M1700" s="33">
        <v>8775</v>
      </c>
      <c r="N1700" s="36"/>
      <c r="O1700" s="33">
        <v>3</v>
      </c>
      <c r="P1700" s="33">
        <v>0</v>
      </c>
      <c r="Q1700" s="33">
        <v>3</v>
      </c>
      <c r="R1700" s="33" t="s">
        <v>130</v>
      </c>
      <c r="S1700" s="33" t="s">
        <v>349</v>
      </c>
    </row>
    <row r="1701" spans="8:19" ht="27.6" x14ac:dyDescent="0.3">
      <c r="H1701" s="32" t="s">
        <v>83</v>
      </c>
      <c r="I1701" s="33" t="s">
        <v>10</v>
      </c>
      <c r="J1701" s="34" t="s">
        <v>316</v>
      </c>
      <c r="K1701" s="35" t="s">
        <v>0</v>
      </c>
      <c r="L1701" s="33"/>
      <c r="M1701" s="33"/>
      <c r="N1701" s="36"/>
      <c r="O1701" s="33">
        <v>3</v>
      </c>
      <c r="P1701" s="33">
        <v>3</v>
      </c>
      <c r="Q1701" s="33">
        <v>3</v>
      </c>
      <c r="R1701" s="33" t="s">
        <v>130</v>
      </c>
      <c r="S1701" s="33" t="s">
        <v>349</v>
      </c>
    </row>
    <row r="1702" spans="8:19" ht="27.6" x14ac:dyDescent="0.3">
      <c r="H1702" s="32" t="s">
        <v>83</v>
      </c>
      <c r="I1702" s="33" t="s">
        <v>10</v>
      </c>
      <c r="J1702" s="34" t="s">
        <v>444</v>
      </c>
      <c r="K1702" s="35" t="s">
        <v>290</v>
      </c>
      <c r="L1702" s="33"/>
      <c r="M1702" s="33">
        <v>8775</v>
      </c>
      <c r="N1702" s="36"/>
      <c r="O1702" s="33">
        <v>3</v>
      </c>
      <c r="P1702" s="33">
        <v>0</v>
      </c>
      <c r="Q1702" s="33">
        <v>3</v>
      </c>
      <c r="R1702" s="33" t="s">
        <v>130</v>
      </c>
      <c r="S1702" s="33" t="s">
        <v>349</v>
      </c>
    </row>
    <row r="1703" spans="8:19" ht="27.6" x14ac:dyDescent="0.3">
      <c r="H1703" s="32" t="s">
        <v>83</v>
      </c>
      <c r="I1703" s="33" t="s">
        <v>10</v>
      </c>
      <c r="J1703" s="34" t="s">
        <v>393</v>
      </c>
      <c r="K1703" s="60" t="s">
        <v>0</v>
      </c>
      <c r="L1703" s="33"/>
      <c r="M1703" s="33"/>
      <c r="N1703" s="36"/>
      <c r="O1703" s="33">
        <v>2</v>
      </c>
      <c r="P1703" s="33">
        <v>2</v>
      </c>
      <c r="Q1703" s="33">
        <v>2</v>
      </c>
      <c r="R1703" s="33" t="s">
        <v>130</v>
      </c>
      <c r="S1703" s="33" t="s">
        <v>349</v>
      </c>
    </row>
    <row r="1704" spans="8:19" ht="27.6" x14ac:dyDescent="0.3">
      <c r="H1704" s="32" t="s">
        <v>83</v>
      </c>
      <c r="I1704" s="33" t="s">
        <v>10</v>
      </c>
      <c r="J1704" s="34" t="s">
        <v>440</v>
      </c>
      <c r="K1704" s="35" t="s">
        <v>0</v>
      </c>
      <c r="L1704" s="33"/>
      <c r="M1704" s="33"/>
      <c r="N1704" s="36"/>
      <c r="O1704" s="33">
        <v>3</v>
      </c>
      <c r="P1704" s="33">
        <v>3</v>
      </c>
      <c r="Q1704" s="33">
        <v>3</v>
      </c>
      <c r="R1704" s="33" t="s">
        <v>130</v>
      </c>
      <c r="S1704" s="33" t="s">
        <v>349</v>
      </c>
    </row>
    <row r="1705" spans="8:19" ht="27.6" x14ac:dyDescent="0.3">
      <c r="H1705" s="32" t="s">
        <v>83</v>
      </c>
      <c r="I1705" s="33" t="s">
        <v>12</v>
      </c>
      <c r="J1705" s="34" t="s">
        <v>13</v>
      </c>
      <c r="K1705" s="35" t="s">
        <v>0</v>
      </c>
      <c r="L1705" s="33"/>
      <c r="M1705" s="33"/>
      <c r="N1705" s="36"/>
      <c r="O1705" s="33">
        <v>2</v>
      </c>
      <c r="P1705" s="33">
        <v>0</v>
      </c>
      <c r="Q1705" s="33">
        <v>2</v>
      </c>
      <c r="R1705" s="33" t="s">
        <v>130</v>
      </c>
      <c r="S1705" s="33" t="s">
        <v>349</v>
      </c>
    </row>
    <row r="1706" spans="8:19" ht="27.6" x14ac:dyDescent="0.3">
      <c r="H1706" s="32" t="s">
        <v>83</v>
      </c>
      <c r="I1706" s="33" t="s">
        <v>17</v>
      </c>
      <c r="J1706" s="34" t="s">
        <v>18</v>
      </c>
      <c r="K1706" s="35" t="s">
        <v>0</v>
      </c>
      <c r="L1706" s="33"/>
      <c r="M1706" s="33"/>
      <c r="N1706" s="36"/>
      <c r="O1706" s="33">
        <v>3</v>
      </c>
      <c r="P1706" s="33">
        <v>3</v>
      </c>
      <c r="Q1706" s="33">
        <v>3</v>
      </c>
      <c r="R1706" s="33" t="s">
        <v>130</v>
      </c>
      <c r="S1706" s="33" t="s">
        <v>349</v>
      </c>
    </row>
    <row r="1707" spans="8:19" ht="27" customHeight="1" x14ac:dyDescent="0.3">
      <c r="H1707" s="32" t="s">
        <v>83</v>
      </c>
      <c r="I1707" s="33" t="s">
        <v>17</v>
      </c>
      <c r="J1707" s="34" t="s">
        <v>19</v>
      </c>
      <c r="K1707" s="35" t="s">
        <v>291</v>
      </c>
      <c r="L1707" s="33" t="s">
        <v>178</v>
      </c>
      <c r="M1707" s="33">
        <v>8775</v>
      </c>
      <c r="N1707" s="36"/>
      <c r="O1707" s="33">
        <v>1</v>
      </c>
      <c r="P1707" s="33">
        <v>1</v>
      </c>
      <c r="Q1707" s="33">
        <v>1</v>
      </c>
      <c r="R1707" s="33" t="s">
        <v>130</v>
      </c>
      <c r="S1707" s="33" t="s">
        <v>349</v>
      </c>
    </row>
    <row r="1708" spans="8:19" ht="27" customHeight="1" x14ac:dyDescent="0.3">
      <c r="H1708" s="32" t="s">
        <v>83</v>
      </c>
      <c r="I1708" s="33" t="s">
        <v>20</v>
      </c>
      <c r="J1708" s="34" t="s">
        <v>441</v>
      </c>
      <c r="K1708" s="35" t="s">
        <v>291</v>
      </c>
      <c r="L1708" s="33"/>
      <c r="M1708" s="33">
        <v>8775</v>
      </c>
      <c r="N1708" s="36"/>
      <c r="O1708" s="33">
        <v>1</v>
      </c>
      <c r="P1708" s="33">
        <v>1</v>
      </c>
      <c r="Q1708" s="33">
        <v>1</v>
      </c>
      <c r="R1708" s="33" t="s">
        <v>130</v>
      </c>
      <c r="S1708" s="33" t="s">
        <v>349</v>
      </c>
    </row>
    <row r="1709" spans="8:19" ht="27" customHeight="1" x14ac:dyDescent="0.3">
      <c r="H1709" s="32" t="s">
        <v>83</v>
      </c>
      <c r="I1709" s="33" t="s">
        <v>25</v>
      </c>
      <c r="J1709" s="34" t="s">
        <v>472</v>
      </c>
      <c r="K1709" s="35" t="s">
        <v>291</v>
      </c>
      <c r="L1709" s="33"/>
      <c r="M1709" s="33">
        <v>9884</v>
      </c>
      <c r="N1709" s="36"/>
      <c r="O1709" s="33">
        <v>3</v>
      </c>
      <c r="P1709" s="33">
        <v>0</v>
      </c>
      <c r="Q1709" s="33">
        <v>3</v>
      </c>
      <c r="R1709" s="33" t="s">
        <v>130</v>
      </c>
      <c r="S1709" s="33" t="s">
        <v>349</v>
      </c>
    </row>
    <row r="1710" spans="8:19" ht="27" customHeight="1" x14ac:dyDescent="0.3">
      <c r="H1710" s="32" t="s">
        <v>83</v>
      </c>
      <c r="I1710" s="33" t="s">
        <v>25</v>
      </c>
      <c r="J1710" s="34" t="s">
        <v>320</v>
      </c>
      <c r="K1710" s="35" t="s">
        <v>0</v>
      </c>
      <c r="L1710" s="33"/>
      <c r="M1710" s="33"/>
      <c r="N1710" s="36"/>
      <c r="O1710" s="33">
        <v>3</v>
      </c>
      <c r="P1710" s="33">
        <v>3</v>
      </c>
      <c r="Q1710" s="33">
        <v>3</v>
      </c>
      <c r="R1710" s="33" t="s">
        <v>130</v>
      </c>
      <c r="S1710" s="33" t="s">
        <v>349</v>
      </c>
    </row>
    <row r="1711" spans="8:19" ht="27" customHeight="1" x14ac:dyDescent="0.3">
      <c r="H1711" s="32" t="s">
        <v>83</v>
      </c>
      <c r="I1711" s="33" t="s">
        <v>30</v>
      </c>
      <c r="J1711" s="34" t="s">
        <v>470</v>
      </c>
      <c r="K1711" s="35" t="s">
        <v>0</v>
      </c>
      <c r="L1711" s="33"/>
      <c r="M1711" s="33"/>
      <c r="N1711" s="36"/>
      <c r="O1711" s="33">
        <v>3</v>
      </c>
      <c r="P1711" s="33">
        <v>3</v>
      </c>
      <c r="Q1711" s="33">
        <v>3</v>
      </c>
      <c r="R1711" s="33" t="s">
        <v>130</v>
      </c>
      <c r="S1711" s="33" t="s">
        <v>349</v>
      </c>
    </row>
    <row r="1712" spans="8:19" ht="27" customHeight="1" x14ac:dyDescent="0.3">
      <c r="H1712" s="32" t="s">
        <v>83</v>
      </c>
      <c r="I1712" s="33" t="s">
        <v>25</v>
      </c>
      <c r="J1712" s="34" t="s">
        <v>449</v>
      </c>
      <c r="K1712" s="35" t="s">
        <v>0</v>
      </c>
      <c r="L1712" s="33"/>
      <c r="M1712" s="33"/>
      <c r="N1712" s="36"/>
      <c r="O1712" s="33">
        <v>3</v>
      </c>
      <c r="P1712" s="33">
        <v>3</v>
      </c>
      <c r="Q1712" s="33">
        <v>3</v>
      </c>
      <c r="R1712" s="33" t="s">
        <v>130</v>
      </c>
      <c r="S1712" s="33" t="s">
        <v>349</v>
      </c>
    </row>
    <row r="1713" spans="1:19" ht="41.4" x14ac:dyDescent="0.3">
      <c r="H1713" s="32" t="s">
        <v>83</v>
      </c>
      <c r="I1713" s="33" t="s">
        <v>41</v>
      </c>
      <c r="J1713" s="34" t="s">
        <v>442</v>
      </c>
      <c r="K1713" s="35" t="s">
        <v>291</v>
      </c>
      <c r="L1713" s="33" t="s">
        <v>423</v>
      </c>
      <c r="M1713" s="33">
        <v>8785</v>
      </c>
      <c r="N1713" s="36"/>
      <c r="O1713" s="33">
        <v>3</v>
      </c>
      <c r="P1713" s="33">
        <v>0</v>
      </c>
      <c r="Q1713" s="33">
        <v>1.5</v>
      </c>
      <c r="R1713" s="33" t="s">
        <v>130</v>
      </c>
      <c r="S1713" s="33" t="s">
        <v>349</v>
      </c>
    </row>
    <row r="1714" spans="1:19" ht="41.4" x14ac:dyDescent="0.3">
      <c r="H1714" s="32" t="s">
        <v>83</v>
      </c>
      <c r="I1714" s="53" t="s">
        <v>41</v>
      </c>
      <c r="J1714" s="34" t="s">
        <v>443</v>
      </c>
      <c r="K1714" s="54" t="s">
        <v>291</v>
      </c>
      <c r="L1714" s="53" t="s">
        <v>423</v>
      </c>
      <c r="M1714" s="53">
        <v>8785</v>
      </c>
      <c r="N1714" s="55"/>
      <c r="O1714" s="53">
        <v>2</v>
      </c>
      <c r="P1714" s="53">
        <v>0</v>
      </c>
      <c r="Q1714" s="33">
        <v>2</v>
      </c>
      <c r="R1714" s="33" t="s">
        <v>130</v>
      </c>
      <c r="S1714" s="33" t="s">
        <v>349</v>
      </c>
    </row>
    <row r="1715" spans="1:19" ht="36" customHeight="1" x14ac:dyDescent="0.3">
      <c r="H1715" s="33" t="s">
        <v>42</v>
      </c>
      <c r="I1715" s="33" t="s">
        <v>14</v>
      </c>
      <c r="J1715" s="34" t="s">
        <v>15</v>
      </c>
      <c r="K1715" s="35" t="s">
        <v>0</v>
      </c>
      <c r="L1715" s="33"/>
      <c r="M1715" s="33"/>
      <c r="N1715" s="36"/>
      <c r="O1715" s="33">
        <v>3</v>
      </c>
      <c r="P1715" s="33">
        <f>IF(Tabela1[[#This Row],[Status]]="✔️",Tabela1[[#This Row],[Peso]],IF(Tabela1[[#This Row],[Status]]="✔️✔️",Tabela1[[#This Row],[Peso]]/2,0))</f>
        <v>3</v>
      </c>
      <c r="Q171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15" s="33" t="s">
        <v>187</v>
      </c>
      <c r="S1715" s="33" t="s">
        <v>349</v>
      </c>
    </row>
    <row r="1716" spans="1:19" ht="36" customHeight="1" x14ac:dyDescent="0.3">
      <c r="H1716" s="33" t="s">
        <v>42</v>
      </c>
      <c r="I1716" s="33" t="s">
        <v>14</v>
      </c>
      <c r="J1716" s="34" t="s">
        <v>16</v>
      </c>
      <c r="K1716" s="35" t="s">
        <v>0</v>
      </c>
      <c r="L1716" s="33"/>
      <c r="M1716" s="33"/>
      <c r="N1716" s="36"/>
      <c r="O1716" s="33">
        <v>1</v>
      </c>
      <c r="P1716" s="33">
        <f>IF(Tabela1[[#This Row],[Status]]="✔️",Tabela1[[#This Row],[Peso]],IF(Tabela1[[#This Row],[Status]]="✔️✔️",Tabela1[[#This Row],[Peso]]/2,0))</f>
        <v>1</v>
      </c>
      <c r="Q171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716" s="33" t="s">
        <v>187</v>
      </c>
      <c r="S1716" s="33" t="s">
        <v>349</v>
      </c>
    </row>
    <row r="1717" spans="1:19" ht="36" customHeight="1" x14ac:dyDescent="0.3">
      <c r="H1717" s="33" t="s">
        <v>42</v>
      </c>
      <c r="I1717" s="33" t="s">
        <v>10</v>
      </c>
      <c r="J1717" s="34" t="s">
        <v>11</v>
      </c>
      <c r="K1717" s="35" t="s">
        <v>290</v>
      </c>
      <c r="L1717" s="33" t="s">
        <v>341</v>
      </c>
      <c r="M1717" s="33">
        <v>3944</v>
      </c>
      <c r="N1717" s="36"/>
      <c r="O1717" s="33">
        <v>2</v>
      </c>
      <c r="P1717" s="33">
        <f>IF(Tabela1[[#This Row],[Status]]="✔️",Tabela1[[#This Row],[Peso]],IF(Tabela1[[#This Row],[Status]]="✔️✔️",Tabela1[[#This Row],[Peso]]/2,0))</f>
        <v>0</v>
      </c>
      <c r="Q171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717" s="33" t="s">
        <v>187</v>
      </c>
      <c r="S1717" s="33" t="s">
        <v>349</v>
      </c>
    </row>
    <row r="1718" spans="1:19" ht="36" customHeight="1" x14ac:dyDescent="0.3">
      <c r="H1718" s="33" t="s">
        <v>42</v>
      </c>
      <c r="I1718" s="33" t="s">
        <v>10</v>
      </c>
      <c r="J1718" s="34" t="s">
        <v>316</v>
      </c>
      <c r="K1718" s="35" t="s">
        <v>0</v>
      </c>
      <c r="L1718" s="33"/>
      <c r="M1718" s="33"/>
      <c r="N1718" s="36"/>
      <c r="O1718" s="33">
        <v>3</v>
      </c>
      <c r="P1718" s="33">
        <f>IF(Tabela1[[#This Row],[Status]]="✔️",Tabela1[[#This Row],[Peso]],IF(Tabela1[[#This Row],[Status]]="✔️✔️",Tabela1[[#This Row],[Peso]]/2,0))</f>
        <v>3</v>
      </c>
      <c r="Q171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18" s="33" t="s">
        <v>187</v>
      </c>
      <c r="S1718" s="33" t="s">
        <v>349</v>
      </c>
    </row>
    <row r="1719" spans="1:19" ht="36" customHeight="1" x14ac:dyDescent="0.3">
      <c r="H1719" s="33" t="s">
        <v>42</v>
      </c>
      <c r="I1719" s="33" t="s">
        <v>10</v>
      </c>
      <c r="J1719" s="34" t="s">
        <v>444</v>
      </c>
      <c r="K1719" s="35" t="s">
        <v>290</v>
      </c>
      <c r="L1719" s="33" t="s">
        <v>428</v>
      </c>
      <c r="M1719" s="33">
        <v>3944</v>
      </c>
      <c r="N1719" s="36"/>
      <c r="O1719" s="33">
        <v>3</v>
      </c>
      <c r="P1719" s="33">
        <f>IF(Tabela1[[#This Row],[Status]]="✔️",Tabela1[[#This Row],[Peso]],IF(Tabela1[[#This Row],[Status]]="✔️✔️",Tabela1[[#This Row],[Peso]]/2,0))</f>
        <v>0</v>
      </c>
      <c r="Q171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19" s="33" t="s">
        <v>187</v>
      </c>
      <c r="S1719" s="33" t="s">
        <v>349</v>
      </c>
    </row>
    <row r="1720" spans="1:19" ht="36" customHeight="1" x14ac:dyDescent="0.3">
      <c r="A1720" s="13"/>
      <c r="B1720" s="13"/>
      <c r="C1720" s="13"/>
      <c r="D1720" s="13"/>
      <c r="E1720" s="13"/>
      <c r="F1720" s="13"/>
      <c r="G1720" s="13"/>
      <c r="H1720" s="33" t="s">
        <v>42</v>
      </c>
      <c r="I1720" s="33" t="s">
        <v>10</v>
      </c>
      <c r="J1720" s="34" t="s">
        <v>393</v>
      </c>
      <c r="K1720" s="60" t="s">
        <v>0</v>
      </c>
      <c r="L1720" s="33"/>
      <c r="M1720" s="33"/>
      <c r="N1720" s="36"/>
      <c r="O1720" s="33">
        <v>2</v>
      </c>
      <c r="P1720" s="33">
        <f>IF(Tabela1[[#This Row],[Status]]="✔️",Tabela1[[#This Row],[Peso]],IF(Tabela1[[#This Row],[Status]]="✔️✔️",Tabela1[[#This Row],[Peso]]/2,0))</f>
        <v>2</v>
      </c>
      <c r="Q1720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720" s="33" t="s">
        <v>187</v>
      </c>
      <c r="S1720" s="33" t="s">
        <v>349</v>
      </c>
    </row>
    <row r="1721" spans="1:19" ht="36" customHeight="1" x14ac:dyDescent="0.3">
      <c r="H1721" s="33" t="s">
        <v>42</v>
      </c>
      <c r="I1721" s="33" t="s">
        <v>10</v>
      </c>
      <c r="J1721" s="34" t="s">
        <v>440</v>
      </c>
      <c r="K1721" s="35" t="s">
        <v>1</v>
      </c>
      <c r="L1721" s="33"/>
      <c r="M1721" s="33"/>
      <c r="N1721" s="36"/>
      <c r="O1721" s="33">
        <v>3</v>
      </c>
      <c r="P1721" s="33">
        <f>IF(Tabela1[[#This Row],[Status]]="✔️",Tabela1[[#This Row],[Peso]],IF(Tabela1[[#This Row],[Status]]="✔️✔️",Tabela1[[#This Row],[Peso]]/2,0))</f>
        <v>0</v>
      </c>
      <c r="Q172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21" s="33" t="s">
        <v>187</v>
      </c>
      <c r="S1721" s="33" t="s">
        <v>349</v>
      </c>
    </row>
    <row r="1722" spans="1:19" ht="36" customHeight="1" x14ac:dyDescent="0.3">
      <c r="H1722" s="33" t="s">
        <v>42</v>
      </c>
      <c r="I1722" s="33" t="s">
        <v>12</v>
      </c>
      <c r="J1722" s="34" t="s">
        <v>13</v>
      </c>
      <c r="K1722" s="35" t="s">
        <v>0</v>
      </c>
      <c r="L1722" s="33"/>
      <c r="M1722" s="33"/>
      <c r="N1722" s="36"/>
      <c r="O1722" s="33">
        <v>2</v>
      </c>
      <c r="P1722" s="33">
        <f>IF(Tabela1[[#This Row],[Status]]="✔️",Tabela1[[#This Row],[Peso]],IF(Tabela1[[#This Row],[Status]]="✔️✔️",Tabela1[[#This Row],[Peso]]/2,0))</f>
        <v>2</v>
      </c>
      <c r="Q1722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722" s="33" t="s">
        <v>187</v>
      </c>
      <c r="S1722" s="33" t="s">
        <v>349</v>
      </c>
    </row>
    <row r="1723" spans="1:19" ht="36" customHeight="1" x14ac:dyDescent="0.3">
      <c r="H1723" s="33" t="s">
        <v>42</v>
      </c>
      <c r="I1723" s="33" t="s">
        <v>17</v>
      </c>
      <c r="J1723" s="34" t="s">
        <v>18</v>
      </c>
      <c r="K1723" s="35" t="s">
        <v>0</v>
      </c>
      <c r="L1723" s="33"/>
      <c r="M1723" s="33"/>
      <c r="N1723" s="36"/>
      <c r="O1723" s="33">
        <v>3</v>
      </c>
      <c r="P1723" s="33">
        <f>IF(Tabela1[[#This Row],[Status]]="✔️",Tabela1[[#This Row],[Peso]],IF(Tabela1[[#This Row],[Status]]="✔️✔️",Tabela1[[#This Row],[Peso]]/2,0))</f>
        <v>3</v>
      </c>
      <c r="Q172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23" s="33" t="s">
        <v>187</v>
      </c>
      <c r="S1723" s="33" t="s">
        <v>349</v>
      </c>
    </row>
    <row r="1724" spans="1:19" ht="36" customHeight="1" x14ac:dyDescent="0.3">
      <c r="H1724" s="33" t="s">
        <v>42</v>
      </c>
      <c r="I1724" s="33" t="s">
        <v>17</v>
      </c>
      <c r="J1724" s="34" t="s">
        <v>19</v>
      </c>
      <c r="K1724" s="35" t="s">
        <v>0</v>
      </c>
      <c r="L1724" s="33"/>
      <c r="M1724" s="33"/>
      <c r="N1724" s="36"/>
      <c r="O1724" s="33">
        <v>3</v>
      </c>
      <c r="P1724" s="33">
        <f>IF(Tabela1[[#This Row],[Status]]="✔️",Tabela1[[#This Row],[Peso]],IF(Tabela1[[#This Row],[Status]]="✔️✔️",Tabela1[[#This Row],[Peso]]/2,0))</f>
        <v>3</v>
      </c>
      <c r="Q172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24" s="33" t="s">
        <v>187</v>
      </c>
      <c r="S1724" s="33" t="s">
        <v>349</v>
      </c>
    </row>
    <row r="1725" spans="1:19" ht="36" customHeight="1" x14ac:dyDescent="0.3">
      <c r="H1725" s="33" t="s">
        <v>42</v>
      </c>
      <c r="I1725" s="33" t="s">
        <v>20</v>
      </c>
      <c r="J1725" s="34" t="s">
        <v>21</v>
      </c>
      <c r="K1725" s="35" t="s">
        <v>1</v>
      </c>
      <c r="L1725" s="33"/>
      <c r="M1725" s="33"/>
      <c r="N1725" s="36"/>
      <c r="O1725" s="33">
        <v>3</v>
      </c>
      <c r="P1725" s="33">
        <f>IF(Tabela1[[#This Row],[Status]]="✔️",Tabela1[[#This Row],[Peso]],IF(Tabela1[[#This Row],[Status]]="✔️✔️",Tabela1[[#This Row],[Peso]]/2,0))</f>
        <v>0</v>
      </c>
      <c r="Q172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25" s="33" t="s">
        <v>187</v>
      </c>
      <c r="S1725" s="33" t="s">
        <v>349</v>
      </c>
    </row>
    <row r="1726" spans="1:19" ht="36" customHeight="1" x14ac:dyDescent="0.3">
      <c r="H1726" s="33" t="s">
        <v>42</v>
      </c>
      <c r="I1726" s="33" t="s">
        <v>20</v>
      </c>
      <c r="J1726" s="34" t="s">
        <v>441</v>
      </c>
      <c r="K1726" s="35" t="s">
        <v>290</v>
      </c>
      <c r="L1726" s="33" t="s">
        <v>427</v>
      </c>
      <c r="M1726" s="33">
        <v>2456</v>
      </c>
      <c r="N1726" s="36"/>
      <c r="O1726" s="33">
        <v>1</v>
      </c>
      <c r="P1726" s="33">
        <f>IF(Tabela1[[#This Row],[Status]]="✔️",Tabela1[[#This Row],[Peso]],IF(Tabela1[[#This Row],[Status]]="✔️✔️",Tabela1[[#This Row],[Peso]]/2,0))</f>
        <v>0</v>
      </c>
      <c r="Q172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726" s="33" t="s">
        <v>187</v>
      </c>
      <c r="S1726" s="33" t="s">
        <v>349</v>
      </c>
    </row>
    <row r="1727" spans="1:19" ht="36" customHeight="1" x14ac:dyDescent="0.3">
      <c r="H1727" s="33" t="s">
        <v>42</v>
      </c>
      <c r="I1727" s="33" t="s">
        <v>30</v>
      </c>
      <c r="J1727" s="34" t="s">
        <v>470</v>
      </c>
      <c r="K1727" s="35" t="s">
        <v>290</v>
      </c>
      <c r="L1727" s="33" t="s">
        <v>425</v>
      </c>
      <c r="M1727" s="33">
        <v>6069</v>
      </c>
      <c r="N1727" s="36"/>
      <c r="O1727" s="33">
        <v>3</v>
      </c>
      <c r="P1727" s="33">
        <f>IF(Tabela1[[#This Row],[Status]]="✔️",Tabela1[[#This Row],[Peso]],IF(Tabela1[[#This Row],[Status]]="✔️✔️",Tabela1[[#This Row],[Peso]]/2,0))</f>
        <v>0</v>
      </c>
      <c r="Q172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27" s="33" t="s">
        <v>187</v>
      </c>
      <c r="S1727" s="33" t="s">
        <v>349</v>
      </c>
    </row>
    <row r="1728" spans="1:19" ht="36" customHeight="1" x14ac:dyDescent="0.3">
      <c r="H1728" s="33" t="s">
        <v>42</v>
      </c>
      <c r="I1728" s="33" t="s">
        <v>43</v>
      </c>
      <c r="J1728" s="34" t="s">
        <v>44</v>
      </c>
      <c r="K1728" s="35" t="s">
        <v>0</v>
      </c>
      <c r="L1728" s="33"/>
      <c r="M1728" s="33"/>
      <c r="N1728" s="36"/>
      <c r="O1728" s="33">
        <v>3</v>
      </c>
      <c r="P1728" s="33">
        <f>IF(Tabela1[[#This Row],[Status]]="✔️",Tabela1[[#This Row],[Peso]],IF(Tabela1[[#This Row],[Status]]="✔️✔️",Tabela1[[#This Row],[Peso]]/2,0))</f>
        <v>3</v>
      </c>
      <c r="Q172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28" s="33" t="s">
        <v>187</v>
      </c>
      <c r="S1728" s="33" t="s">
        <v>349</v>
      </c>
    </row>
    <row r="1729" spans="8:19" ht="36" customHeight="1" x14ac:dyDescent="0.3">
      <c r="H1729" s="33" t="s">
        <v>42</v>
      </c>
      <c r="I1729" s="33" t="s">
        <v>45</v>
      </c>
      <c r="J1729" s="34" t="s">
        <v>46</v>
      </c>
      <c r="K1729" s="35" t="s">
        <v>290</v>
      </c>
      <c r="L1729" s="33" t="s">
        <v>429</v>
      </c>
      <c r="M1729" s="33">
        <v>5446</v>
      </c>
      <c r="N1729" s="36"/>
      <c r="O1729" s="33">
        <v>3</v>
      </c>
      <c r="P1729" s="33">
        <f>IF(Tabela1[[#This Row],[Status]]="✔️",Tabela1[[#This Row],[Peso]],IF(Tabela1[[#This Row],[Status]]="✔️✔️",Tabela1[[#This Row],[Peso]]/2,0))</f>
        <v>0</v>
      </c>
      <c r="Q172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29" s="33" t="s">
        <v>187</v>
      </c>
      <c r="S1729" s="33" t="s">
        <v>349</v>
      </c>
    </row>
    <row r="1730" spans="8:19" ht="36" customHeight="1" x14ac:dyDescent="0.3">
      <c r="H1730" s="33" t="s">
        <v>42</v>
      </c>
      <c r="I1730" s="33" t="s">
        <v>22</v>
      </c>
      <c r="J1730" s="34" t="s">
        <v>23</v>
      </c>
      <c r="K1730" s="60" t="s">
        <v>1</v>
      </c>
      <c r="L1730" s="33"/>
      <c r="M1730" s="33"/>
      <c r="N1730" s="36"/>
      <c r="O1730" s="33">
        <v>1</v>
      </c>
      <c r="P1730" s="33">
        <f>IF(Tabela1[[#This Row],[Status]]="✔️",Tabela1[[#This Row],[Peso]],IF(Tabela1[[#This Row],[Status]]="✔️✔️",Tabela1[[#This Row],[Peso]]/2,0))</f>
        <v>0</v>
      </c>
      <c r="Q173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30" s="33" t="s">
        <v>187</v>
      </c>
      <c r="S1730" s="33" t="s">
        <v>349</v>
      </c>
    </row>
    <row r="1731" spans="8:19" ht="36" customHeight="1" x14ac:dyDescent="0.3">
      <c r="H1731" s="33" t="s">
        <v>42</v>
      </c>
      <c r="I1731" s="33" t="s">
        <v>22</v>
      </c>
      <c r="J1731" s="34" t="s">
        <v>468</v>
      </c>
      <c r="K1731" s="60" t="s">
        <v>1</v>
      </c>
      <c r="L1731" s="33"/>
      <c r="M1731" s="33"/>
      <c r="N1731" s="36"/>
      <c r="O1731" s="33">
        <v>1</v>
      </c>
      <c r="P1731" s="33">
        <f>IF(Tabela1[[#This Row],[Status]]="✔️",Tabela1[[#This Row],[Peso]],IF(Tabela1[[#This Row],[Status]]="✔️✔️",Tabela1[[#This Row],[Peso]]/2,0))</f>
        <v>0</v>
      </c>
      <c r="Q173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31" s="33" t="s">
        <v>187</v>
      </c>
      <c r="S1731" s="33" t="s">
        <v>349</v>
      </c>
    </row>
    <row r="1732" spans="8:19" ht="36" customHeight="1" x14ac:dyDescent="0.3">
      <c r="H1732" s="33" t="s">
        <v>42</v>
      </c>
      <c r="I1732" s="33" t="s">
        <v>25</v>
      </c>
      <c r="J1732" s="34" t="s">
        <v>28</v>
      </c>
      <c r="K1732" s="35" t="s">
        <v>290</v>
      </c>
      <c r="L1732" s="33" t="s">
        <v>424</v>
      </c>
      <c r="M1732" s="33">
        <v>5547</v>
      </c>
      <c r="N1732" s="36"/>
      <c r="O1732" s="33">
        <v>3</v>
      </c>
      <c r="P1732" s="33">
        <f>IF(Tabela1[[#This Row],[Status]]="✔️",Tabela1[[#This Row],[Peso]],IF(Tabela1[[#This Row],[Status]]="✔️✔️",Tabela1[[#This Row],[Peso]]/2,0))</f>
        <v>0</v>
      </c>
      <c r="Q173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32" s="33" t="s">
        <v>187</v>
      </c>
      <c r="S1732" s="33" t="s">
        <v>349</v>
      </c>
    </row>
    <row r="1733" spans="8:19" ht="36" customHeight="1" x14ac:dyDescent="0.3">
      <c r="H1733" s="33" t="s">
        <v>42</v>
      </c>
      <c r="I1733" s="33" t="s">
        <v>25</v>
      </c>
      <c r="J1733" s="34" t="s">
        <v>29</v>
      </c>
      <c r="K1733" s="35" t="s">
        <v>290</v>
      </c>
      <c r="L1733" s="33" t="s">
        <v>426</v>
      </c>
      <c r="M1733" s="33">
        <v>5547</v>
      </c>
      <c r="N1733" s="36"/>
      <c r="O1733" s="33">
        <v>3</v>
      </c>
      <c r="P1733" s="33">
        <f>IF(Tabela1[[#This Row],[Status]]="✔️",Tabela1[[#This Row],[Peso]],IF(Tabela1[[#This Row],[Status]]="✔️✔️",Tabela1[[#This Row],[Peso]]/2,0))</f>
        <v>0</v>
      </c>
      <c r="Q173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33" s="33" t="s">
        <v>187</v>
      </c>
      <c r="S1733" s="33" t="s">
        <v>349</v>
      </c>
    </row>
    <row r="1734" spans="8:19" ht="36" customHeight="1" x14ac:dyDescent="0.3">
      <c r="H1734" s="33" t="s">
        <v>42</v>
      </c>
      <c r="I1734" s="33" t="s">
        <v>41</v>
      </c>
      <c r="J1734" s="34" t="s">
        <v>442</v>
      </c>
      <c r="K1734" s="35" t="s">
        <v>0</v>
      </c>
      <c r="L1734" s="33"/>
      <c r="M1734" s="33"/>
      <c r="N1734" s="36"/>
      <c r="O1734" s="33">
        <v>3</v>
      </c>
      <c r="P1734" s="33">
        <f>IF(Tabela1[[#This Row],[Status]]="✔️",Tabela1[[#This Row],[Peso]],IF(Tabela1[[#This Row],[Status]]="✔️✔️",Tabela1[[#This Row],[Peso]]/2,0))</f>
        <v>3</v>
      </c>
      <c r="Q173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34" s="33" t="s">
        <v>187</v>
      </c>
      <c r="S1734" s="33" t="s">
        <v>349</v>
      </c>
    </row>
    <row r="1735" spans="8:19" ht="36" customHeight="1" x14ac:dyDescent="0.3">
      <c r="H1735" s="33" t="s">
        <v>42</v>
      </c>
      <c r="I1735" s="53" t="s">
        <v>41</v>
      </c>
      <c r="J1735" s="34" t="s">
        <v>443</v>
      </c>
      <c r="K1735" s="54" t="s">
        <v>0</v>
      </c>
      <c r="L1735" s="53"/>
      <c r="M1735" s="53"/>
      <c r="N1735" s="55"/>
      <c r="O1735" s="53">
        <v>2</v>
      </c>
      <c r="P1735" s="33">
        <f>IF(Tabela1[[#This Row],[Status]]="✔️",Tabela1[[#This Row],[Peso]],IF(Tabela1[[#This Row],[Status]]="✔️✔️",Tabela1[[#This Row],[Peso]]/2,0))</f>
        <v>2</v>
      </c>
      <c r="Q1735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735" s="33" t="s">
        <v>187</v>
      </c>
      <c r="S1735" s="33" t="s">
        <v>349</v>
      </c>
    </row>
    <row r="1736" spans="8:19" ht="34.799999999999997" customHeight="1" x14ac:dyDescent="0.3">
      <c r="H1736" s="32" t="s">
        <v>48</v>
      </c>
      <c r="I1736" s="33" t="s">
        <v>14</v>
      </c>
      <c r="J1736" s="34" t="s">
        <v>15</v>
      </c>
      <c r="K1736" s="35" t="s">
        <v>290</v>
      </c>
      <c r="L1736" s="33" t="s">
        <v>432</v>
      </c>
      <c r="M1736" s="33">
        <v>7759</v>
      </c>
      <c r="N1736" s="36"/>
      <c r="O1736" s="33">
        <v>3</v>
      </c>
      <c r="P1736" s="33">
        <f>IF(Tabela1[[#This Row],[Status]]="✔️",Tabela1[[#This Row],[Peso]],IF(Tabela1[[#This Row],[Status]]="✔️✔️",Tabela1[[#This Row],[Peso]]/2,0))</f>
        <v>0</v>
      </c>
      <c r="Q173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36" s="33" t="s">
        <v>187</v>
      </c>
      <c r="S1736" s="33" t="s">
        <v>349</v>
      </c>
    </row>
    <row r="1737" spans="8:19" ht="34.799999999999997" customHeight="1" x14ac:dyDescent="0.3">
      <c r="H1737" s="32" t="s">
        <v>48</v>
      </c>
      <c r="I1737" s="33" t="s">
        <v>14</v>
      </c>
      <c r="J1737" s="34" t="s">
        <v>16</v>
      </c>
      <c r="K1737" s="35" t="s">
        <v>290</v>
      </c>
      <c r="L1737" s="33" t="s">
        <v>433</v>
      </c>
      <c r="M1737" s="33">
        <v>9134</v>
      </c>
      <c r="N1737" s="36"/>
      <c r="O1737" s="33">
        <v>1</v>
      </c>
      <c r="P1737" s="33">
        <f>IF(Tabela1[[#This Row],[Status]]="✔️",Tabela1[[#This Row],[Peso]],IF(Tabela1[[#This Row],[Status]]="✔️✔️",Tabela1[[#This Row],[Peso]]/2,0))</f>
        <v>0</v>
      </c>
      <c r="Q173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737" s="33" t="s">
        <v>187</v>
      </c>
      <c r="S1737" s="33" t="s">
        <v>349</v>
      </c>
    </row>
    <row r="1738" spans="8:19" ht="34.799999999999997" customHeight="1" x14ac:dyDescent="0.3">
      <c r="H1738" s="32" t="s">
        <v>48</v>
      </c>
      <c r="I1738" s="33" t="s">
        <v>10</v>
      </c>
      <c r="J1738" s="34" t="s">
        <v>11</v>
      </c>
      <c r="K1738" s="35" t="s">
        <v>290</v>
      </c>
      <c r="L1738" s="33" t="s">
        <v>434</v>
      </c>
      <c r="M1738" s="33">
        <v>5145</v>
      </c>
      <c r="N1738" s="36"/>
      <c r="O1738" s="33">
        <v>3</v>
      </c>
      <c r="P1738" s="33">
        <f>IF(Tabela1[[#This Row],[Status]]="✔️",Tabela1[[#This Row],[Peso]],IF(Tabela1[[#This Row],[Status]]="✔️✔️",Tabela1[[#This Row],[Peso]]/2,0))</f>
        <v>0</v>
      </c>
      <c r="Q173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38" s="33" t="s">
        <v>187</v>
      </c>
      <c r="S1738" s="33" t="s">
        <v>349</v>
      </c>
    </row>
    <row r="1739" spans="8:19" ht="34.799999999999997" customHeight="1" x14ac:dyDescent="0.3">
      <c r="H1739" s="32" t="s">
        <v>48</v>
      </c>
      <c r="I1739" s="33" t="s">
        <v>10</v>
      </c>
      <c r="J1739" s="34" t="s">
        <v>316</v>
      </c>
      <c r="K1739" s="35" t="s">
        <v>0</v>
      </c>
      <c r="L1739" s="33"/>
      <c r="M1739" s="33"/>
      <c r="N1739" s="36"/>
      <c r="O1739" s="33">
        <v>3</v>
      </c>
      <c r="P1739" s="33">
        <f>IF(Tabela1[[#This Row],[Status]]="✔️",Tabela1[[#This Row],[Peso]],IF(Tabela1[[#This Row],[Status]]="✔️✔️",Tabela1[[#This Row],[Peso]]/2,0))</f>
        <v>3</v>
      </c>
      <c r="Q173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39" s="33" t="s">
        <v>187</v>
      </c>
      <c r="S1739" s="33" t="s">
        <v>349</v>
      </c>
    </row>
    <row r="1740" spans="8:19" ht="34.200000000000003" customHeight="1" x14ac:dyDescent="0.3">
      <c r="H1740" s="32" t="s">
        <v>48</v>
      </c>
      <c r="I1740" s="33" t="s">
        <v>10</v>
      </c>
      <c r="J1740" s="34" t="s">
        <v>444</v>
      </c>
      <c r="K1740" s="35" t="s">
        <v>1</v>
      </c>
      <c r="L1740" s="33"/>
      <c r="M1740" s="33"/>
      <c r="N1740" s="36"/>
      <c r="O1740" s="33">
        <v>3</v>
      </c>
      <c r="P1740" s="33">
        <f>IF(Tabela1[[#This Row],[Status]]="✔️",Tabela1[[#This Row],[Peso]],IF(Tabela1[[#This Row],[Status]]="✔️✔️",Tabela1[[#This Row],[Peso]]/2,0))</f>
        <v>0</v>
      </c>
      <c r="Q174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40" s="33" t="s">
        <v>187</v>
      </c>
      <c r="S1740" s="33" t="s">
        <v>349</v>
      </c>
    </row>
    <row r="1741" spans="8:19" ht="34.799999999999997" customHeight="1" x14ac:dyDescent="0.3">
      <c r="H1741" s="32" t="s">
        <v>48</v>
      </c>
      <c r="I1741" s="33" t="s">
        <v>10</v>
      </c>
      <c r="J1741" s="34" t="s">
        <v>393</v>
      </c>
      <c r="K1741" s="60" t="s">
        <v>0</v>
      </c>
      <c r="L1741" s="33"/>
      <c r="M1741" s="33"/>
      <c r="N1741" s="36"/>
      <c r="O1741" s="33">
        <v>2</v>
      </c>
      <c r="P1741" s="33">
        <f>IF(Tabela1[[#This Row],[Status]]="✔️",Tabela1[[#This Row],[Peso]],IF(Tabela1[[#This Row],[Status]]="✔️✔️",Tabela1[[#This Row],[Peso]]/2,0))</f>
        <v>2</v>
      </c>
      <c r="Q174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741" s="33" t="s">
        <v>187</v>
      </c>
      <c r="S1741" s="33" t="s">
        <v>349</v>
      </c>
    </row>
    <row r="1742" spans="8:19" ht="34.799999999999997" customHeight="1" x14ac:dyDescent="0.3">
      <c r="H1742" s="32" t="s">
        <v>48</v>
      </c>
      <c r="I1742" s="33" t="s">
        <v>10</v>
      </c>
      <c r="J1742" s="34" t="s">
        <v>440</v>
      </c>
      <c r="K1742" s="35" t="s">
        <v>0</v>
      </c>
      <c r="L1742" s="33"/>
      <c r="M1742" s="33"/>
      <c r="N1742" s="36"/>
      <c r="O1742" s="33">
        <v>3</v>
      </c>
      <c r="P1742" s="33">
        <f>IF(Tabela1[[#This Row],[Status]]="✔️",Tabela1[[#This Row],[Peso]],IF(Tabela1[[#This Row],[Status]]="✔️✔️",Tabela1[[#This Row],[Peso]]/2,0))</f>
        <v>3</v>
      </c>
      <c r="Q174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42" s="33" t="s">
        <v>187</v>
      </c>
      <c r="S1742" s="33" t="s">
        <v>349</v>
      </c>
    </row>
    <row r="1743" spans="8:19" ht="34.799999999999997" customHeight="1" x14ac:dyDescent="0.3">
      <c r="H1743" s="32" t="s">
        <v>48</v>
      </c>
      <c r="I1743" s="33" t="s">
        <v>12</v>
      </c>
      <c r="J1743" s="34" t="s">
        <v>13</v>
      </c>
      <c r="K1743" s="35" t="s">
        <v>0</v>
      </c>
      <c r="L1743" s="33"/>
      <c r="M1743" s="33"/>
      <c r="N1743" s="36"/>
      <c r="O1743" s="33">
        <v>2</v>
      </c>
      <c r="P1743" s="33">
        <f>IF(Tabela1[[#This Row],[Status]]="✔️",Tabela1[[#This Row],[Peso]],IF(Tabela1[[#This Row],[Status]]="✔️✔️",Tabela1[[#This Row],[Peso]]/2,0))</f>
        <v>2</v>
      </c>
      <c r="Q1743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743" s="33" t="s">
        <v>187</v>
      </c>
      <c r="S1743" s="33" t="s">
        <v>349</v>
      </c>
    </row>
    <row r="1744" spans="8:19" ht="34.799999999999997" customHeight="1" x14ac:dyDescent="0.3">
      <c r="H1744" s="32" t="s">
        <v>48</v>
      </c>
      <c r="I1744" s="33" t="s">
        <v>17</v>
      </c>
      <c r="J1744" s="34" t="s">
        <v>18</v>
      </c>
      <c r="K1744" s="35" t="s">
        <v>0</v>
      </c>
      <c r="L1744" s="33"/>
      <c r="M1744" s="33"/>
      <c r="N1744" s="36"/>
      <c r="O1744" s="33">
        <v>3</v>
      </c>
      <c r="P1744" s="33">
        <f>IF(Tabela1[[#This Row],[Status]]="✔️",Tabela1[[#This Row],[Peso]],IF(Tabela1[[#This Row],[Status]]="✔️✔️",Tabela1[[#This Row],[Peso]]/2,0))</f>
        <v>3</v>
      </c>
      <c r="Q174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44" s="33" t="s">
        <v>187</v>
      </c>
      <c r="S1744" s="33" t="s">
        <v>349</v>
      </c>
    </row>
    <row r="1745" spans="8:19" ht="34.799999999999997" customHeight="1" x14ac:dyDescent="0.3">
      <c r="H1745" s="32" t="s">
        <v>48</v>
      </c>
      <c r="I1745" s="33" t="s">
        <v>17</v>
      </c>
      <c r="J1745" s="34" t="s">
        <v>19</v>
      </c>
      <c r="K1745" s="35" t="s">
        <v>0</v>
      </c>
      <c r="L1745" s="33"/>
      <c r="M1745" s="33"/>
      <c r="N1745" s="36"/>
      <c r="O1745" s="33">
        <v>1</v>
      </c>
      <c r="P1745" s="33">
        <f>IF(Tabela1[[#This Row],[Status]]="✔️",Tabela1[[#This Row],[Peso]],IF(Tabela1[[#This Row],[Status]]="✔️✔️",Tabela1[[#This Row],[Peso]]/2,0))</f>
        <v>1</v>
      </c>
      <c r="Q174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745" s="33" t="s">
        <v>187</v>
      </c>
      <c r="S1745" s="33" t="s">
        <v>349</v>
      </c>
    </row>
    <row r="1746" spans="8:19" ht="34.799999999999997" customHeight="1" x14ac:dyDescent="0.3">
      <c r="H1746" s="32" t="s">
        <v>48</v>
      </c>
      <c r="I1746" s="33" t="s">
        <v>25</v>
      </c>
      <c r="J1746" s="34" t="s">
        <v>472</v>
      </c>
      <c r="K1746" s="35" t="s">
        <v>0</v>
      </c>
      <c r="L1746" s="33"/>
      <c r="M1746" s="33"/>
      <c r="N1746" s="36"/>
      <c r="O1746" s="33">
        <v>3</v>
      </c>
      <c r="P1746" s="33">
        <f>IF(Tabela1[[#This Row],[Status]]="✔️",Tabela1[[#This Row],[Peso]],IF(Tabela1[[#This Row],[Status]]="✔️✔️",Tabela1[[#This Row],[Peso]]/2,0))</f>
        <v>3</v>
      </c>
      <c r="Q174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46" s="33" t="s">
        <v>187</v>
      </c>
      <c r="S1746" s="33" t="s">
        <v>349</v>
      </c>
    </row>
    <row r="1747" spans="8:19" ht="34.799999999999997" customHeight="1" x14ac:dyDescent="0.3">
      <c r="H1747" s="32" t="s">
        <v>48</v>
      </c>
      <c r="I1747" s="33" t="s">
        <v>25</v>
      </c>
      <c r="J1747" s="34" t="s">
        <v>320</v>
      </c>
      <c r="K1747" s="35" t="s">
        <v>0</v>
      </c>
      <c r="L1747" s="33"/>
      <c r="M1747" s="33"/>
      <c r="N1747" s="36"/>
      <c r="O1747" s="33">
        <v>3</v>
      </c>
      <c r="P1747" s="33">
        <f>IF(Tabela1[[#This Row],[Status]]="✔️",Tabela1[[#This Row],[Peso]],IF(Tabela1[[#This Row],[Status]]="✔️✔️",Tabela1[[#This Row],[Peso]]/2,0))</f>
        <v>3</v>
      </c>
      <c r="Q174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47" s="33" t="s">
        <v>187</v>
      </c>
      <c r="S1747" s="33" t="s">
        <v>349</v>
      </c>
    </row>
    <row r="1748" spans="8:19" ht="34.799999999999997" customHeight="1" x14ac:dyDescent="0.3">
      <c r="H1748" s="32" t="s">
        <v>48</v>
      </c>
      <c r="I1748" s="33" t="s">
        <v>30</v>
      </c>
      <c r="J1748" s="34" t="s">
        <v>470</v>
      </c>
      <c r="K1748" s="35" t="s">
        <v>290</v>
      </c>
      <c r="L1748" s="33" t="s">
        <v>435</v>
      </c>
      <c r="M1748" s="33">
        <v>4762</v>
      </c>
      <c r="N1748" s="36"/>
      <c r="O1748" s="33">
        <v>3</v>
      </c>
      <c r="P1748" s="33">
        <f>IF(Tabela1[[#This Row],[Status]]="✔️",Tabela1[[#This Row],[Peso]],IF(Tabela1[[#This Row],[Status]]="✔️✔️",Tabela1[[#This Row],[Peso]]/2,0))</f>
        <v>0</v>
      </c>
      <c r="Q174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48" s="33" t="s">
        <v>187</v>
      </c>
      <c r="S1748" s="33" t="s">
        <v>349</v>
      </c>
    </row>
    <row r="1749" spans="8:19" ht="34.799999999999997" customHeight="1" x14ac:dyDescent="0.3">
      <c r="H1749" s="32" t="s">
        <v>48</v>
      </c>
      <c r="I1749" s="33" t="s">
        <v>25</v>
      </c>
      <c r="J1749" s="34" t="s">
        <v>449</v>
      </c>
      <c r="K1749" s="35" t="s">
        <v>290</v>
      </c>
      <c r="L1749" s="33" t="s">
        <v>436</v>
      </c>
      <c r="M1749" s="33" t="s">
        <v>431</v>
      </c>
      <c r="N1749" s="36"/>
      <c r="O1749" s="33">
        <v>3</v>
      </c>
      <c r="P1749" s="33">
        <f>IF(Tabela1[[#This Row],[Status]]="✔️",Tabela1[[#This Row],[Peso]],IF(Tabela1[[#This Row],[Status]]="✔️✔️",Tabela1[[#This Row],[Peso]]/2,0))</f>
        <v>0</v>
      </c>
      <c r="Q174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49" s="33" t="s">
        <v>187</v>
      </c>
      <c r="S1749" s="33" t="s">
        <v>349</v>
      </c>
    </row>
    <row r="1750" spans="8:19" ht="34.799999999999997" customHeight="1" x14ac:dyDescent="0.3">
      <c r="H1750" s="32" t="s">
        <v>48</v>
      </c>
      <c r="I1750" s="33" t="s">
        <v>41</v>
      </c>
      <c r="J1750" s="34" t="s">
        <v>442</v>
      </c>
      <c r="K1750" s="35" t="s">
        <v>290</v>
      </c>
      <c r="L1750" s="33" t="s">
        <v>437</v>
      </c>
      <c r="M1750" s="33">
        <v>9106</v>
      </c>
      <c r="N1750" s="36"/>
      <c r="O1750" s="33">
        <v>3</v>
      </c>
      <c r="P1750" s="33">
        <f>IF(Tabela1[[#This Row],[Status]]="✔️",Tabela1[[#This Row],[Peso]],IF(Tabela1[[#This Row],[Status]]="✔️✔️",Tabela1[[#This Row],[Peso]]/2,0))</f>
        <v>0</v>
      </c>
      <c r="Q175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50" s="33" t="s">
        <v>187</v>
      </c>
      <c r="S1750" s="33" t="s">
        <v>349</v>
      </c>
    </row>
    <row r="1751" spans="8:19" ht="34.799999999999997" customHeight="1" x14ac:dyDescent="0.3">
      <c r="H1751" s="32" t="s">
        <v>48</v>
      </c>
      <c r="I1751" s="53" t="s">
        <v>41</v>
      </c>
      <c r="J1751" s="34" t="s">
        <v>443</v>
      </c>
      <c r="K1751" s="54" t="s">
        <v>290</v>
      </c>
      <c r="L1751" s="53" t="s">
        <v>437</v>
      </c>
      <c r="M1751" s="53">
        <v>9106</v>
      </c>
      <c r="N1751" s="55"/>
      <c r="O1751" s="53">
        <v>2</v>
      </c>
      <c r="P1751" s="33">
        <f>IF(Tabela1[[#This Row],[Status]]="✔️",Tabela1[[#This Row],[Peso]],IF(Tabela1[[#This Row],[Status]]="✔️✔️",Tabela1[[#This Row],[Peso]]/2,0))</f>
        <v>0</v>
      </c>
      <c r="Q175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751" s="33" t="s">
        <v>187</v>
      </c>
      <c r="S1751" s="33" t="s">
        <v>349</v>
      </c>
    </row>
    <row r="1752" spans="8:19" ht="40.200000000000003" customHeight="1" x14ac:dyDescent="0.3">
      <c r="H1752" s="32" t="s">
        <v>55</v>
      </c>
      <c r="I1752" s="33" t="s">
        <v>14</v>
      </c>
      <c r="J1752" s="34" t="s">
        <v>15</v>
      </c>
      <c r="K1752" s="35" t="s">
        <v>0</v>
      </c>
      <c r="L1752" s="33"/>
      <c r="M1752" s="33"/>
      <c r="N1752" s="36"/>
      <c r="O1752" s="33">
        <v>3</v>
      </c>
      <c r="P1752" s="33">
        <f>IF(Tabela1[[#This Row],[Status]]="✔️",Tabela1[[#This Row],[Peso]],IF(Tabela1[[#This Row],[Status]]="✔️✔️",Tabela1[[#This Row],[Peso]]/2,0))</f>
        <v>3</v>
      </c>
      <c r="Q175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52" s="33" t="s">
        <v>187</v>
      </c>
      <c r="S1752" s="33" t="s">
        <v>349</v>
      </c>
    </row>
    <row r="1753" spans="8:19" ht="40.200000000000003" customHeight="1" x14ac:dyDescent="0.3">
      <c r="H1753" s="32" t="s">
        <v>55</v>
      </c>
      <c r="I1753" s="33" t="s">
        <v>14</v>
      </c>
      <c r="J1753" s="34" t="s">
        <v>16</v>
      </c>
      <c r="K1753" s="35" t="s">
        <v>0</v>
      </c>
      <c r="L1753" s="33"/>
      <c r="M1753" s="33"/>
      <c r="N1753" s="36"/>
      <c r="O1753" s="33">
        <v>1</v>
      </c>
      <c r="P1753" s="33">
        <f>IF(Tabela1[[#This Row],[Status]]="✔️",Tabela1[[#This Row],[Peso]],IF(Tabela1[[#This Row],[Status]]="✔️✔️",Tabela1[[#This Row],[Peso]]/2,0))</f>
        <v>1</v>
      </c>
      <c r="Q175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753" s="33" t="s">
        <v>187</v>
      </c>
      <c r="S1753" s="33" t="s">
        <v>349</v>
      </c>
    </row>
    <row r="1754" spans="8:19" ht="40.200000000000003" customHeight="1" x14ac:dyDescent="0.3">
      <c r="H1754" s="32" t="s">
        <v>55</v>
      </c>
      <c r="I1754" s="33" t="s">
        <v>10</v>
      </c>
      <c r="J1754" s="34" t="s">
        <v>11</v>
      </c>
      <c r="K1754" s="35"/>
      <c r="L1754" s="33"/>
      <c r="M1754" s="33"/>
      <c r="N1754" s="36"/>
      <c r="O1754" s="33">
        <v>3</v>
      </c>
      <c r="P1754" s="33">
        <f>IF(Tabela1[[#This Row],[Status]]="✔️",Tabela1[[#This Row],[Peso]],IF(Tabela1[[#This Row],[Status]]="✔️✔️",Tabela1[[#This Row],[Peso]]/2,0))</f>
        <v>0</v>
      </c>
      <c r="Q175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54" s="33" t="s">
        <v>187</v>
      </c>
      <c r="S1754" s="33" t="s">
        <v>349</v>
      </c>
    </row>
    <row r="1755" spans="8:19" ht="40.200000000000003" customHeight="1" x14ac:dyDescent="0.3">
      <c r="H1755" s="32" t="s">
        <v>55</v>
      </c>
      <c r="I1755" s="33" t="s">
        <v>10</v>
      </c>
      <c r="J1755" s="70" t="s">
        <v>316</v>
      </c>
      <c r="K1755" s="35" t="s">
        <v>0</v>
      </c>
      <c r="L1755" s="33"/>
      <c r="M1755" s="33"/>
      <c r="N1755" s="36"/>
      <c r="O1755" s="33">
        <v>3</v>
      </c>
      <c r="P1755" s="33">
        <f>IF(Tabela1[[#This Row],[Status]]="✔️",Tabela1[[#This Row],[Peso]],IF(Tabela1[[#This Row],[Status]]="✔️✔️",Tabela1[[#This Row],[Peso]]/2,0))</f>
        <v>3</v>
      </c>
      <c r="Q175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55" s="33" t="s">
        <v>187</v>
      </c>
      <c r="S1755" s="33" t="s">
        <v>349</v>
      </c>
    </row>
    <row r="1756" spans="8:19" ht="40.200000000000003" customHeight="1" x14ac:dyDescent="0.3">
      <c r="H1756" s="32" t="s">
        <v>55</v>
      </c>
      <c r="I1756" s="33" t="s">
        <v>10</v>
      </c>
      <c r="J1756" s="34" t="s">
        <v>444</v>
      </c>
      <c r="K1756" s="35" t="s">
        <v>1</v>
      </c>
      <c r="L1756" s="33"/>
      <c r="M1756" s="33"/>
      <c r="N1756" s="36"/>
      <c r="O1756" s="33">
        <v>3</v>
      </c>
      <c r="P1756" s="33">
        <f>IF(Tabela1[[#This Row],[Status]]="✔️",Tabela1[[#This Row],[Peso]],IF(Tabela1[[#This Row],[Status]]="✔️✔️",Tabela1[[#This Row],[Peso]]/2,0))</f>
        <v>0</v>
      </c>
      <c r="Q175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56" s="33" t="s">
        <v>187</v>
      </c>
      <c r="S1756" s="33" t="s">
        <v>349</v>
      </c>
    </row>
    <row r="1757" spans="8:19" ht="40.200000000000003" customHeight="1" x14ac:dyDescent="0.3">
      <c r="H1757" s="32" t="s">
        <v>55</v>
      </c>
      <c r="I1757" s="33" t="s">
        <v>10</v>
      </c>
      <c r="J1757" s="34" t="s">
        <v>393</v>
      </c>
      <c r="K1757" s="63" t="s">
        <v>0</v>
      </c>
      <c r="L1757" s="61"/>
      <c r="M1757" s="61"/>
      <c r="N1757" s="64"/>
      <c r="O1757" s="33">
        <v>2</v>
      </c>
      <c r="P1757" s="33">
        <f>IF(Tabela1[[#This Row],[Status]]="✔️",Tabela1[[#This Row],[Peso]],IF(Tabela1[[#This Row],[Status]]="✔️✔️",Tabela1[[#This Row],[Peso]]/2,0))</f>
        <v>2</v>
      </c>
      <c r="Q175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757" s="33" t="s">
        <v>187</v>
      </c>
      <c r="S1757" s="33" t="s">
        <v>349</v>
      </c>
    </row>
    <row r="1758" spans="8:19" ht="40.200000000000003" customHeight="1" x14ac:dyDescent="0.3">
      <c r="H1758" s="32" t="s">
        <v>55</v>
      </c>
      <c r="I1758" s="33" t="s">
        <v>10</v>
      </c>
      <c r="J1758" s="34" t="s">
        <v>440</v>
      </c>
      <c r="K1758" s="35" t="s">
        <v>1</v>
      </c>
      <c r="L1758" s="33"/>
      <c r="M1758" s="33"/>
      <c r="N1758" s="36"/>
      <c r="O1758" s="33">
        <v>3</v>
      </c>
      <c r="P1758" s="33">
        <f>IF(Tabela1[[#This Row],[Status]]="✔️",Tabela1[[#This Row],[Peso]],IF(Tabela1[[#This Row],[Status]]="✔️✔️",Tabela1[[#This Row],[Peso]]/2,0))</f>
        <v>0</v>
      </c>
      <c r="Q175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58" s="33" t="s">
        <v>187</v>
      </c>
      <c r="S1758" s="33" t="s">
        <v>349</v>
      </c>
    </row>
    <row r="1759" spans="8:19" ht="40.200000000000003" customHeight="1" x14ac:dyDescent="0.3">
      <c r="H1759" s="32" t="s">
        <v>55</v>
      </c>
      <c r="I1759" s="33" t="s">
        <v>12</v>
      </c>
      <c r="J1759" s="34" t="s">
        <v>13</v>
      </c>
      <c r="K1759" s="35" t="s">
        <v>0</v>
      </c>
      <c r="L1759" s="33"/>
      <c r="M1759" s="33"/>
      <c r="N1759" s="36"/>
      <c r="O1759" s="33">
        <v>2</v>
      </c>
      <c r="P1759" s="33">
        <f>IF(Tabela1[[#This Row],[Status]]="✔️",Tabela1[[#This Row],[Peso]],IF(Tabela1[[#This Row],[Status]]="✔️✔️",Tabela1[[#This Row],[Peso]]/2,0))</f>
        <v>2</v>
      </c>
      <c r="Q175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759" s="33" t="s">
        <v>187</v>
      </c>
      <c r="S1759" s="33" t="s">
        <v>349</v>
      </c>
    </row>
    <row r="1760" spans="8:19" ht="40.200000000000003" customHeight="1" x14ac:dyDescent="0.3">
      <c r="H1760" s="32" t="s">
        <v>55</v>
      </c>
      <c r="I1760" s="33" t="s">
        <v>17</v>
      </c>
      <c r="J1760" s="34" t="s">
        <v>18</v>
      </c>
      <c r="K1760" s="35" t="s">
        <v>0</v>
      </c>
      <c r="L1760" s="33"/>
      <c r="M1760" s="33"/>
      <c r="N1760" s="36"/>
      <c r="O1760" s="33">
        <v>3</v>
      </c>
      <c r="P1760" s="33">
        <f>IF(Tabela1[[#This Row],[Status]]="✔️",Tabela1[[#This Row],[Peso]],IF(Tabela1[[#This Row],[Status]]="✔️✔️",Tabela1[[#This Row],[Peso]]/2,0))</f>
        <v>3</v>
      </c>
      <c r="Q176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60" s="33" t="s">
        <v>187</v>
      </c>
      <c r="S1760" s="33" t="s">
        <v>349</v>
      </c>
    </row>
    <row r="1761" spans="8:19" ht="40.200000000000003" customHeight="1" x14ac:dyDescent="0.3">
      <c r="H1761" s="32" t="s">
        <v>55</v>
      </c>
      <c r="I1761" s="33" t="s">
        <v>17</v>
      </c>
      <c r="J1761" s="34" t="s">
        <v>19</v>
      </c>
      <c r="K1761" s="35" t="s">
        <v>1</v>
      </c>
      <c r="L1761" s="33"/>
      <c r="M1761" s="33"/>
      <c r="N1761" s="36"/>
      <c r="O1761" s="33">
        <v>1</v>
      </c>
      <c r="P1761" s="33">
        <f>IF(Tabela1[[#This Row],[Status]]="✔️",Tabela1[[#This Row],[Peso]],IF(Tabela1[[#This Row],[Status]]="✔️✔️",Tabela1[[#This Row],[Peso]]/2,0))</f>
        <v>0</v>
      </c>
      <c r="Q176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61" s="33" t="s">
        <v>187</v>
      </c>
      <c r="S1761" s="33" t="s">
        <v>349</v>
      </c>
    </row>
    <row r="1762" spans="8:19" ht="40.200000000000003" customHeight="1" x14ac:dyDescent="0.3">
      <c r="H1762" s="32" t="s">
        <v>55</v>
      </c>
      <c r="I1762" s="33" t="s">
        <v>20</v>
      </c>
      <c r="J1762" s="34" t="s">
        <v>21</v>
      </c>
      <c r="K1762" s="35" t="s">
        <v>1</v>
      </c>
      <c r="L1762" s="33"/>
      <c r="M1762" s="33"/>
      <c r="N1762" s="36"/>
      <c r="O1762" s="33">
        <v>3</v>
      </c>
      <c r="P1762" s="33">
        <f>IF(Tabela1[[#This Row],[Status]]="✔️",Tabela1[[#This Row],[Peso]],IF(Tabela1[[#This Row],[Status]]="✔️✔️",Tabela1[[#This Row],[Peso]]/2,0))</f>
        <v>0</v>
      </c>
      <c r="Q176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62" s="33" t="s">
        <v>187</v>
      </c>
      <c r="S1762" s="33" t="s">
        <v>349</v>
      </c>
    </row>
    <row r="1763" spans="8:19" ht="40.200000000000003" customHeight="1" x14ac:dyDescent="0.3">
      <c r="H1763" s="32" t="s">
        <v>55</v>
      </c>
      <c r="I1763" s="33" t="s">
        <v>20</v>
      </c>
      <c r="J1763" s="34" t="s">
        <v>441</v>
      </c>
      <c r="K1763" s="35" t="s">
        <v>1</v>
      </c>
      <c r="L1763" s="33"/>
      <c r="M1763" s="33"/>
      <c r="N1763" s="36"/>
      <c r="O1763" s="33">
        <v>1</v>
      </c>
      <c r="P1763" s="33">
        <f>IF(Tabela1[[#This Row],[Status]]="✔️",Tabela1[[#This Row],[Peso]],IF(Tabela1[[#This Row],[Status]]="✔️✔️",Tabela1[[#This Row],[Peso]]/2,0))</f>
        <v>0</v>
      </c>
      <c r="Q176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63" s="33" t="s">
        <v>187</v>
      </c>
      <c r="S1763" s="33" t="s">
        <v>349</v>
      </c>
    </row>
    <row r="1764" spans="8:19" ht="40.200000000000003" customHeight="1" x14ac:dyDescent="0.3">
      <c r="H1764" s="32" t="s">
        <v>55</v>
      </c>
      <c r="I1764" s="33" t="s">
        <v>22</v>
      </c>
      <c r="J1764" s="34" t="s">
        <v>23</v>
      </c>
      <c r="K1764" s="60" t="s">
        <v>1</v>
      </c>
      <c r="L1764" s="33"/>
      <c r="M1764" s="33"/>
      <c r="N1764" s="36"/>
      <c r="O1764" s="33">
        <v>1</v>
      </c>
      <c r="P1764" s="33">
        <f>IF(Tabela1[[#This Row],[Status]]="✔️",Tabela1[[#This Row],[Peso]],IF(Tabela1[[#This Row],[Status]]="✔️✔️",Tabela1[[#This Row],[Peso]]/2,0))</f>
        <v>0</v>
      </c>
      <c r="Q176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64" s="33" t="s">
        <v>187</v>
      </c>
      <c r="S1764" s="33" t="s">
        <v>349</v>
      </c>
    </row>
    <row r="1765" spans="8:19" ht="40.200000000000003" customHeight="1" x14ac:dyDescent="0.3">
      <c r="H1765" s="32" t="s">
        <v>55</v>
      </c>
      <c r="I1765" s="33" t="s">
        <v>22</v>
      </c>
      <c r="J1765" s="34" t="s">
        <v>468</v>
      </c>
      <c r="K1765" s="60" t="s">
        <v>1</v>
      </c>
      <c r="L1765" s="33"/>
      <c r="M1765" s="33"/>
      <c r="N1765" s="36"/>
      <c r="O1765" s="33">
        <v>1</v>
      </c>
      <c r="P1765" s="33">
        <f>IF(Tabela1[[#This Row],[Status]]="✔️",Tabela1[[#This Row],[Peso]],IF(Tabela1[[#This Row],[Status]]="✔️✔️",Tabela1[[#This Row],[Peso]]/2,0))</f>
        <v>0</v>
      </c>
      <c r="Q176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65" s="33" t="s">
        <v>187</v>
      </c>
      <c r="S1765" s="33" t="s">
        <v>349</v>
      </c>
    </row>
    <row r="1766" spans="8:19" ht="40.200000000000003" customHeight="1" x14ac:dyDescent="0.3">
      <c r="H1766" s="32" t="s">
        <v>55</v>
      </c>
      <c r="I1766" s="33" t="s">
        <v>25</v>
      </c>
      <c r="J1766" s="34" t="s">
        <v>472</v>
      </c>
      <c r="K1766" s="35" t="s">
        <v>0</v>
      </c>
      <c r="L1766" s="33"/>
      <c r="M1766" s="33"/>
      <c r="N1766" s="36"/>
      <c r="O1766" s="33">
        <v>3</v>
      </c>
      <c r="P1766" s="33">
        <f>IF(Tabela1[[#This Row],[Status]]="✔️",Tabela1[[#This Row],[Peso]],IF(Tabela1[[#This Row],[Status]]="✔️✔️",Tabela1[[#This Row],[Peso]]/2,0))</f>
        <v>3</v>
      </c>
      <c r="Q176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66" s="33" t="s">
        <v>187</v>
      </c>
      <c r="S1766" s="33" t="s">
        <v>349</v>
      </c>
    </row>
    <row r="1767" spans="8:19" ht="40.200000000000003" customHeight="1" x14ac:dyDescent="0.3">
      <c r="H1767" s="32" t="s">
        <v>55</v>
      </c>
      <c r="I1767" s="33" t="s">
        <v>25</v>
      </c>
      <c r="J1767" s="34" t="s">
        <v>320</v>
      </c>
      <c r="K1767" s="35" t="s">
        <v>0</v>
      </c>
      <c r="L1767" s="33"/>
      <c r="M1767" s="33"/>
      <c r="N1767" s="36"/>
      <c r="O1767" s="33">
        <v>3</v>
      </c>
      <c r="P1767" s="33">
        <f>IF(Tabela1[[#This Row],[Status]]="✔️",Tabela1[[#This Row],[Peso]],IF(Tabela1[[#This Row],[Status]]="✔️✔️",Tabela1[[#This Row],[Peso]]/2,0))</f>
        <v>3</v>
      </c>
      <c r="Q176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67" s="33" t="s">
        <v>187</v>
      </c>
      <c r="S1767" s="33" t="s">
        <v>349</v>
      </c>
    </row>
    <row r="1768" spans="8:19" ht="40.200000000000003" customHeight="1" x14ac:dyDescent="0.3">
      <c r="H1768" s="32" t="s">
        <v>55</v>
      </c>
      <c r="I1768" s="33" t="s">
        <v>30</v>
      </c>
      <c r="J1768" s="34" t="s">
        <v>470</v>
      </c>
      <c r="K1768" s="35" t="s">
        <v>0</v>
      </c>
      <c r="L1768" s="33"/>
      <c r="M1768" s="33"/>
      <c r="N1768" s="36"/>
      <c r="O1768" s="33">
        <v>3</v>
      </c>
      <c r="P1768" s="33">
        <f>IF(Tabela1[[#This Row],[Status]]="✔️",Tabela1[[#This Row],[Peso]],IF(Tabela1[[#This Row],[Status]]="✔️✔️",Tabela1[[#This Row],[Peso]]/2,0))</f>
        <v>3</v>
      </c>
      <c r="Q176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68" s="33" t="s">
        <v>187</v>
      </c>
      <c r="S1768" s="33" t="s">
        <v>349</v>
      </c>
    </row>
    <row r="1769" spans="8:19" ht="40.200000000000003" customHeight="1" x14ac:dyDescent="0.3">
      <c r="H1769" s="32" t="s">
        <v>55</v>
      </c>
      <c r="I1769" s="33" t="s">
        <v>25</v>
      </c>
      <c r="J1769" s="34" t="s">
        <v>449</v>
      </c>
      <c r="K1769" s="35" t="s">
        <v>0</v>
      </c>
      <c r="L1769" s="33"/>
      <c r="M1769" s="33"/>
      <c r="N1769" s="36"/>
      <c r="O1769" s="33">
        <v>3</v>
      </c>
      <c r="P1769" s="33">
        <f>IF(Tabela1[[#This Row],[Status]]="✔️",Tabela1[[#This Row],[Peso]],IF(Tabela1[[#This Row],[Status]]="✔️✔️",Tabela1[[#This Row],[Peso]]/2,0))</f>
        <v>3</v>
      </c>
      <c r="Q176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69" s="33" t="s">
        <v>187</v>
      </c>
      <c r="S1769" s="33" t="s">
        <v>349</v>
      </c>
    </row>
    <row r="1770" spans="8:19" ht="40.200000000000003" customHeight="1" x14ac:dyDescent="0.3">
      <c r="H1770" s="32" t="s">
        <v>55</v>
      </c>
      <c r="I1770" s="33" t="s">
        <v>41</v>
      </c>
      <c r="J1770" s="34" t="s">
        <v>442</v>
      </c>
      <c r="K1770" s="54" t="s">
        <v>1</v>
      </c>
      <c r="L1770" s="33"/>
      <c r="M1770" s="33"/>
      <c r="N1770" s="36"/>
      <c r="O1770" s="33">
        <v>3</v>
      </c>
      <c r="P1770" s="33">
        <f>IF(Tabela1[[#This Row],[Status]]="✔️",Tabela1[[#This Row],[Peso]],IF(Tabela1[[#This Row],[Status]]="✔️✔️",Tabela1[[#This Row],[Peso]]/2,0))</f>
        <v>0</v>
      </c>
      <c r="Q177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70" s="33" t="s">
        <v>187</v>
      </c>
      <c r="S1770" s="33" t="s">
        <v>349</v>
      </c>
    </row>
    <row r="1771" spans="8:19" ht="40.200000000000003" customHeight="1" x14ac:dyDescent="0.3">
      <c r="H1771" s="32" t="s">
        <v>55</v>
      </c>
      <c r="I1771" s="53" t="s">
        <v>41</v>
      </c>
      <c r="J1771" s="34" t="s">
        <v>443</v>
      </c>
      <c r="K1771" s="35" t="s">
        <v>1</v>
      </c>
      <c r="L1771" s="33"/>
      <c r="M1771" s="33"/>
      <c r="N1771" s="36"/>
      <c r="O1771" s="33">
        <v>2</v>
      </c>
      <c r="P1771" s="33">
        <f>IF(Tabela1[[#This Row],[Status]]="✔️",Tabela1[[#This Row],[Peso]],IF(Tabela1[[#This Row],[Status]]="✔️✔️",Tabela1[[#This Row],[Peso]]/2,0))</f>
        <v>0</v>
      </c>
      <c r="Q177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71" s="33" t="s">
        <v>187</v>
      </c>
      <c r="S1771" s="33" t="s">
        <v>349</v>
      </c>
    </row>
    <row r="1772" spans="8:19" ht="40.799999999999997" customHeight="1" x14ac:dyDescent="0.3">
      <c r="H1772" s="32" t="s">
        <v>69</v>
      </c>
      <c r="I1772" s="33" t="s">
        <v>14</v>
      </c>
      <c r="J1772" s="34" t="s">
        <v>15</v>
      </c>
      <c r="K1772" s="35" t="s">
        <v>0</v>
      </c>
      <c r="L1772" s="33"/>
      <c r="M1772" s="33"/>
      <c r="N1772" s="36"/>
      <c r="O1772" s="33">
        <v>3</v>
      </c>
      <c r="P1772" s="33">
        <f>IF(Tabela1[[#This Row],[Status]]="✔️",Tabela1[[#This Row],[Peso]],IF(Tabela1[[#This Row],[Status]]="✔️✔️",Tabela1[[#This Row],[Peso]]/2,0))</f>
        <v>3</v>
      </c>
      <c r="Q177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72" s="33" t="s">
        <v>187</v>
      </c>
      <c r="S1772" s="33" t="s">
        <v>349</v>
      </c>
    </row>
    <row r="1773" spans="8:19" ht="40.799999999999997" customHeight="1" x14ac:dyDescent="0.3">
      <c r="H1773" s="32" t="s">
        <v>69</v>
      </c>
      <c r="I1773" s="33" t="s">
        <v>14</v>
      </c>
      <c r="J1773" s="34" t="s">
        <v>16</v>
      </c>
      <c r="K1773" s="35" t="s">
        <v>0</v>
      </c>
      <c r="L1773" s="33"/>
      <c r="M1773" s="33"/>
      <c r="N1773" s="36"/>
      <c r="O1773" s="33">
        <v>1</v>
      </c>
      <c r="P1773" s="33">
        <f>IF(Tabela1[[#This Row],[Status]]="✔️",Tabela1[[#This Row],[Peso]],IF(Tabela1[[#This Row],[Status]]="✔️✔️",Tabela1[[#This Row],[Peso]]/2,0))</f>
        <v>1</v>
      </c>
      <c r="Q177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773" s="33" t="s">
        <v>187</v>
      </c>
      <c r="S1773" s="33" t="s">
        <v>349</v>
      </c>
    </row>
    <row r="1774" spans="8:19" ht="40.799999999999997" customHeight="1" x14ac:dyDescent="0.3">
      <c r="H1774" s="32" t="s">
        <v>69</v>
      </c>
      <c r="I1774" s="33" t="s">
        <v>10</v>
      </c>
      <c r="J1774" s="34" t="s">
        <v>11</v>
      </c>
      <c r="K1774" s="35" t="s">
        <v>290</v>
      </c>
      <c r="L1774" s="33"/>
      <c r="M1774" s="33"/>
      <c r="N1774" s="36"/>
      <c r="O1774" s="33">
        <v>3</v>
      </c>
      <c r="P1774" s="33">
        <f>IF(Tabela1[[#This Row],[Status]]="✔️",Tabela1[[#This Row],[Peso]],IF(Tabela1[[#This Row],[Status]]="✔️✔️",Tabela1[[#This Row],[Peso]]/2,0))</f>
        <v>0</v>
      </c>
      <c r="Q177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74" s="33" t="s">
        <v>187</v>
      </c>
      <c r="S1774" s="33" t="s">
        <v>349</v>
      </c>
    </row>
    <row r="1775" spans="8:19" ht="40.799999999999997" customHeight="1" x14ac:dyDescent="0.3">
      <c r="H1775" s="32" t="s">
        <v>69</v>
      </c>
      <c r="I1775" s="33" t="s">
        <v>10</v>
      </c>
      <c r="J1775" s="34" t="s">
        <v>316</v>
      </c>
      <c r="K1775" s="35" t="s">
        <v>0</v>
      </c>
      <c r="L1775" s="33"/>
      <c r="M1775" s="33"/>
      <c r="N1775" s="36"/>
      <c r="O1775" s="33">
        <v>3</v>
      </c>
      <c r="P1775" s="33">
        <f>IF(Tabela1[[#This Row],[Status]]="✔️",Tabela1[[#This Row],[Peso]],IF(Tabela1[[#This Row],[Status]]="✔️✔️",Tabela1[[#This Row],[Peso]]/2,0))</f>
        <v>3</v>
      </c>
      <c r="Q177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75" s="33" t="s">
        <v>187</v>
      </c>
      <c r="S1775" s="33" t="s">
        <v>349</v>
      </c>
    </row>
    <row r="1776" spans="8:19" ht="40.799999999999997" customHeight="1" x14ac:dyDescent="0.3">
      <c r="H1776" s="32" t="s">
        <v>69</v>
      </c>
      <c r="I1776" s="33" t="s">
        <v>10</v>
      </c>
      <c r="J1776" s="34" t="s">
        <v>444</v>
      </c>
      <c r="K1776" s="35" t="s">
        <v>290</v>
      </c>
      <c r="L1776" s="33"/>
      <c r="M1776" s="33"/>
      <c r="N1776" s="36"/>
      <c r="O1776" s="33">
        <v>3</v>
      </c>
      <c r="P1776" s="33">
        <f>IF(Tabela1[[#This Row],[Status]]="✔️",Tabela1[[#This Row],[Peso]],IF(Tabela1[[#This Row],[Status]]="✔️✔️",Tabela1[[#This Row],[Peso]]/2,0))</f>
        <v>0</v>
      </c>
      <c r="Q177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76" s="33" t="s">
        <v>187</v>
      </c>
      <c r="S1776" s="33" t="s">
        <v>349</v>
      </c>
    </row>
    <row r="1777" spans="8:19" ht="40.799999999999997" customHeight="1" x14ac:dyDescent="0.3">
      <c r="H1777" s="32" t="s">
        <v>69</v>
      </c>
      <c r="I1777" s="33" t="s">
        <v>10</v>
      </c>
      <c r="J1777" s="34" t="s">
        <v>393</v>
      </c>
      <c r="K1777" s="60" t="s">
        <v>0</v>
      </c>
      <c r="L1777" s="33"/>
      <c r="M1777" s="33"/>
      <c r="N1777" s="36"/>
      <c r="O1777" s="33">
        <v>2</v>
      </c>
      <c r="P1777" s="33">
        <f>IF(Tabela1[[#This Row],[Status]]="✔️",Tabela1[[#This Row],[Peso]],IF(Tabela1[[#This Row],[Status]]="✔️✔️",Tabela1[[#This Row],[Peso]]/2,0))</f>
        <v>2</v>
      </c>
      <c r="Q177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777" s="33" t="s">
        <v>187</v>
      </c>
      <c r="S1777" s="33" t="s">
        <v>349</v>
      </c>
    </row>
    <row r="1778" spans="8:19" ht="40.799999999999997" customHeight="1" x14ac:dyDescent="0.3">
      <c r="H1778" s="32" t="s">
        <v>69</v>
      </c>
      <c r="I1778" s="33" t="s">
        <v>10</v>
      </c>
      <c r="J1778" s="34" t="s">
        <v>440</v>
      </c>
      <c r="K1778" s="35" t="s">
        <v>1</v>
      </c>
      <c r="L1778" s="33"/>
      <c r="M1778" s="33"/>
      <c r="N1778" s="36"/>
      <c r="O1778" s="33">
        <v>3</v>
      </c>
      <c r="P1778" s="33">
        <f>IF(Tabela1[[#This Row],[Status]]="✔️",Tabela1[[#This Row],[Peso]],IF(Tabela1[[#This Row],[Status]]="✔️✔️",Tabela1[[#This Row],[Peso]]/2,0))</f>
        <v>0</v>
      </c>
      <c r="Q177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78" s="33" t="s">
        <v>187</v>
      </c>
      <c r="S1778" s="33" t="s">
        <v>349</v>
      </c>
    </row>
    <row r="1779" spans="8:19" ht="40.799999999999997" customHeight="1" x14ac:dyDescent="0.3">
      <c r="H1779" s="32" t="s">
        <v>69</v>
      </c>
      <c r="I1779" s="33" t="s">
        <v>12</v>
      </c>
      <c r="J1779" s="34" t="s">
        <v>13</v>
      </c>
      <c r="K1779" s="35" t="s">
        <v>0</v>
      </c>
      <c r="L1779" s="33"/>
      <c r="M1779" s="33"/>
      <c r="N1779" s="36"/>
      <c r="O1779" s="33">
        <v>2</v>
      </c>
      <c r="P1779" s="33">
        <f>IF(Tabela1[[#This Row],[Status]]="✔️",Tabela1[[#This Row],[Peso]],IF(Tabela1[[#This Row],[Status]]="✔️✔️",Tabela1[[#This Row],[Peso]]/2,0))</f>
        <v>2</v>
      </c>
      <c r="Q177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779" s="33" t="s">
        <v>187</v>
      </c>
      <c r="S1779" s="33" t="s">
        <v>349</v>
      </c>
    </row>
    <row r="1780" spans="8:19" ht="40.799999999999997" customHeight="1" x14ac:dyDescent="0.3">
      <c r="H1780" s="32" t="s">
        <v>69</v>
      </c>
      <c r="I1780" s="33" t="s">
        <v>17</v>
      </c>
      <c r="J1780" s="34" t="s">
        <v>18</v>
      </c>
      <c r="K1780" s="35" t="s">
        <v>0</v>
      </c>
      <c r="L1780" s="33"/>
      <c r="M1780" s="33"/>
      <c r="N1780" s="36"/>
      <c r="O1780" s="33">
        <v>3</v>
      </c>
      <c r="P1780" s="33">
        <f>IF(Tabela1[[#This Row],[Status]]="✔️",Tabela1[[#This Row],[Peso]],IF(Tabela1[[#This Row],[Status]]="✔️✔️",Tabela1[[#This Row],[Peso]]/2,0))</f>
        <v>3</v>
      </c>
      <c r="Q178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80" s="33" t="s">
        <v>187</v>
      </c>
      <c r="S1780" s="33" t="s">
        <v>349</v>
      </c>
    </row>
    <row r="1781" spans="8:19" ht="40.799999999999997" customHeight="1" x14ac:dyDescent="0.3">
      <c r="H1781" s="32" t="s">
        <v>69</v>
      </c>
      <c r="I1781" s="33" t="s">
        <v>17</v>
      </c>
      <c r="J1781" s="34" t="s">
        <v>19</v>
      </c>
      <c r="K1781" s="35" t="s">
        <v>0</v>
      </c>
      <c r="L1781" s="33"/>
      <c r="M1781" s="33"/>
      <c r="N1781" s="36"/>
      <c r="O1781" s="33">
        <v>1</v>
      </c>
      <c r="P1781" s="33">
        <f>IF(Tabela1[[#This Row],[Status]]="✔️",Tabela1[[#This Row],[Peso]],IF(Tabela1[[#This Row],[Status]]="✔️✔️",Tabela1[[#This Row],[Peso]]/2,0))</f>
        <v>1</v>
      </c>
      <c r="Q178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781" s="33" t="s">
        <v>187</v>
      </c>
      <c r="S1781" s="33" t="s">
        <v>349</v>
      </c>
    </row>
    <row r="1782" spans="8:19" ht="40.799999999999997" customHeight="1" x14ac:dyDescent="0.3">
      <c r="H1782" s="32" t="s">
        <v>69</v>
      </c>
      <c r="I1782" s="33" t="s">
        <v>20</v>
      </c>
      <c r="J1782" s="34" t="s">
        <v>21</v>
      </c>
      <c r="K1782" s="35" t="s">
        <v>1</v>
      </c>
      <c r="L1782" s="33"/>
      <c r="M1782" s="33"/>
      <c r="N1782" s="36"/>
      <c r="O1782" s="33">
        <v>3</v>
      </c>
      <c r="P1782" s="33">
        <f>IF(Tabela1[[#This Row],[Status]]="✔️",Tabela1[[#This Row],[Peso]],IF(Tabela1[[#This Row],[Status]]="✔️✔️",Tabela1[[#This Row],[Peso]]/2,0))</f>
        <v>0</v>
      </c>
      <c r="Q178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82" s="33" t="s">
        <v>187</v>
      </c>
      <c r="S1782" s="33" t="s">
        <v>349</v>
      </c>
    </row>
    <row r="1783" spans="8:19" ht="40.799999999999997" customHeight="1" x14ac:dyDescent="0.3">
      <c r="H1783" s="32" t="s">
        <v>69</v>
      </c>
      <c r="I1783" s="33" t="s">
        <v>20</v>
      </c>
      <c r="J1783" s="34" t="s">
        <v>441</v>
      </c>
      <c r="K1783" s="35" t="s">
        <v>0</v>
      </c>
      <c r="L1783" s="33"/>
      <c r="M1783" s="33"/>
      <c r="N1783" s="36"/>
      <c r="O1783" s="33">
        <v>1</v>
      </c>
      <c r="P1783" s="33">
        <f>IF(Tabela1[[#This Row],[Status]]="✔️",Tabela1[[#This Row],[Peso]],IF(Tabela1[[#This Row],[Status]]="✔️✔️",Tabela1[[#This Row],[Peso]]/2,0))</f>
        <v>1</v>
      </c>
      <c r="Q178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783" s="33" t="s">
        <v>187</v>
      </c>
      <c r="S1783" s="33" t="s">
        <v>349</v>
      </c>
    </row>
    <row r="1784" spans="8:19" ht="40.799999999999997" customHeight="1" x14ac:dyDescent="0.3">
      <c r="H1784" s="32" t="s">
        <v>69</v>
      </c>
      <c r="I1784" s="33" t="s">
        <v>22</v>
      </c>
      <c r="J1784" s="34" t="s">
        <v>23</v>
      </c>
      <c r="K1784" s="60" t="s">
        <v>1</v>
      </c>
      <c r="L1784" s="33"/>
      <c r="M1784" s="33"/>
      <c r="N1784" s="36"/>
      <c r="O1784" s="33">
        <v>1</v>
      </c>
      <c r="P1784" s="33">
        <f>IF(Tabela1[[#This Row],[Status]]="✔️",Tabela1[[#This Row],[Peso]],IF(Tabela1[[#This Row],[Status]]="✔️✔️",Tabela1[[#This Row],[Peso]]/2,0))</f>
        <v>0</v>
      </c>
      <c r="Q178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84" s="33" t="s">
        <v>187</v>
      </c>
      <c r="S1784" s="33" t="s">
        <v>349</v>
      </c>
    </row>
    <row r="1785" spans="8:19" ht="40.799999999999997" customHeight="1" x14ac:dyDescent="0.3">
      <c r="H1785" s="32" t="s">
        <v>69</v>
      </c>
      <c r="I1785" s="33" t="s">
        <v>22</v>
      </c>
      <c r="J1785" s="34" t="s">
        <v>468</v>
      </c>
      <c r="K1785" s="60" t="s">
        <v>1</v>
      </c>
      <c r="L1785" s="33"/>
      <c r="M1785" s="33"/>
      <c r="N1785" s="36"/>
      <c r="O1785" s="33">
        <v>1</v>
      </c>
      <c r="P1785" s="33">
        <f>IF(Tabela1[[#This Row],[Status]]="✔️",Tabela1[[#This Row],[Peso]],IF(Tabela1[[#This Row],[Status]]="✔️✔️",Tabela1[[#This Row],[Peso]]/2,0))</f>
        <v>0</v>
      </c>
      <c r="Q178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85" s="33" t="s">
        <v>187</v>
      </c>
      <c r="S1785" s="33" t="s">
        <v>349</v>
      </c>
    </row>
    <row r="1786" spans="8:19" ht="40.799999999999997" customHeight="1" x14ac:dyDescent="0.3">
      <c r="H1786" s="32" t="s">
        <v>69</v>
      </c>
      <c r="I1786" s="33" t="s">
        <v>25</v>
      </c>
      <c r="J1786" s="34" t="s">
        <v>472</v>
      </c>
      <c r="K1786" s="35" t="s">
        <v>0</v>
      </c>
      <c r="L1786" s="33"/>
      <c r="M1786" s="33"/>
      <c r="N1786" s="36"/>
      <c r="O1786" s="33">
        <v>3</v>
      </c>
      <c r="P1786" s="33">
        <f>IF(Tabela1[[#This Row],[Status]]="✔️",Tabela1[[#This Row],[Peso]],IF(Tabela1[[#This Row],[Status]]="✔️✔️",Tabela1[[#This Row],[Peso]]/2,0))</f>
        <v>3</v>
      </c>
      <c r="Q178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86" s="33" t="s">
        <v>187</v>
      </c>
      <c r="S1786" s="33" t="s">
        <v>349</v>
      </c>
    </row>
    <row r="1787" spans="8:19" ht="40.799999999999997" customHeight="1" x14ac:dyDescent="0.3">
      <c r="H1787" s="32" t="s">
        <v>69</v>
      </c>
      <c r="I1787" s="33" t="s">
        <v>25</v>
      </c>
      <c r="J1787" s="34" t="s">
        <v>320</v>
      </c>
      <c r="K1787" s="35" t="s">
        <v>0</v>
      </c>
      <c r="L1787" s="33"/>
      <c r="M1787" s="33"/>
      <c r="N1787" s="36"/>
      <c r="O1787" s="33">
        <v>3</v>
      </c>
      <c r="P1787" s="33">
        <f>IF(Tabela1[[#This Row],[Status]]="✔️",Tabela1[[#This Row],[Peso]],IF(Tabela1[[#This Row],[Status]]="✔️✔️",Tabela1[[#This Row],[Peso]]/2,0))</f>
        <v>3</v>
      </c>
      <c r="Q178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87" s="33" t="s">
        <v>187</v>
      </c>
      <c r="S1787" s="33" t="s">
        <v>349</v>
      </c>
    </row>
    <row r="1788" spans="8:19" ht="40.799999999999997" customHeight="1" x14ac:dyDescent="0.3">
      <c r="H1788" s="32" t="s">
        <v>69</v>
      </c>
      <c r="I1788" s="33" t="s">
        <v>30</v>
      </c>
      <c r="J1788" s="34" t="s">
        <v>470</v>
      </c>
      <c r="K1788" s="35" t="s">
        <v>0</v>
      </c>
      <c r="L1788" s="33"/>
      <c r="M1788" s="33"/>
      <c r="N1788" s="36"/>
      <c r="O1788" s="33">
        <v>3</v>
      </c>
      <c r="P1788" s="33">
        <f>IF(Tabela1[[#This Row],[Status]]="✔️",Tabela1[[#This Row],[Peso]],IF(Tabela1[[#This Row],[Status]]="✔️✔️",Tabela1[[#This Row],[Peso]]/2,0))</f>
        <v>3</v>
      </c>
      <c r="Q178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88" s="33" t="s">
        <v>187</v>
      </c>
      <c r="S1788" s="33" t="s">
        <v>349</v>
      </c>
    </row>
    <row r="1789" spans="8:19" ht="40.799999999999997" customHeight="1" x14ac:dyDescent="0.3">
      <c r="H1789" s="32" t="s">
        <v>69</v>
      </c>
      <c r="I1789" s="33" t="s">
        <v>25</v>
      </c>
      <c r="J1789" s="34" t="s">
        <v>449</v>
      </c>
      <c r="K1789" s="35" t="s">
        <v>0</v>
      </c>
      <c r="L1789" s="33"/>
      <c r="M1789" s="33"/>
      <c r="N1789" s="36"/>
      <c r="O1789" s="33">
        <v>3</v>
      </c>
      <c r="P1789" s="33">
        <f>IF(Tabela1[[#This Row],[Status]]="✔️",Tabela1[[#This Row],[Peso]],IF(Tabela1[[#This Row],[Status]]="✔️✔️",Tabela1[[#This Row],[Peso]]/2,0))</f>
        <v>3</v>
      </c>
      <c r="Q178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89" s="33" t="s">
        <v>187</v>
      </c>
      <c r="S1789" s="33" t="s">
        <v>349</v>
      </c>
    </row>
    <row r="1790" spans="8:19" ht="40.799999999999997" customHeight="1" x14ac:dyDescent="0.3">
      <c r="H1790" s="32" t="s">
        <v>69</v>
      </c>
      <c r="I1790" s="33" t="s">
        <v>41</v>
      </c>
      <c r="J1790" s="34" t="s">
        <v>442</v>
      </c>
      <c r="K1790" s="35" t="s">
        <v>1</v>
      </c>
      <c r="L1790" s="33"/>
      <c r="M1790" s="33"/>
      <c r="N1790" s="36"/>
      <c r="O1790" s="33">
        <v>3</v>
      </c>
      <c r="P1790" s="33">
        <f>IF(Tabela1[[#This Row],[Status]]="✔️",Tabela1[[#This Row],[Peso]],IF(Tabela1[[#This Row],[Status]]="✔️✔️",Tabela1[[#This Row],[Peso]]/2,0))</f>
        <v>0</v>
      </c>
      <c r="Q179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90" s="33" t="s">
        <v>187</v>
      </c>
      <c r="S1790" s="33" t="s">
        <v>349</v>
      </c>
    </row>
    <row r="1791" spans="8:19" ht="40.799999999999997" customHeight="1" x14ac:dyDescent="0.3">
      <c r="H1791" s="32" t="s">
        <v>69</v>
      </c>
      <c r="I1791" s="53" t="s">
        <v>41</v>
      </c>
      <c r="J1791" s="34" t="s">
        <v>443</v>
      </c>
      <c r="K1791" s="54" t="s">
        <v>1</v>
      </c>
      <c r="L1791" s="53"/>
      <c r="M1791" s="53"/>
      <c r="N1791" s="55"/>
      <c r="O1791" s="53">
        <v>2</v>
      </c>
      <c r="P1791" s="33">
        <f>IF(Tabela1[[#This Row],[Status]]="✔️",Tabela1[[#This Row],[Peso]],IF(Tabela1[[#This Row],[Status]]="✔️✔️",Tabela1[[#This Row],[Peso]]/2,0))</f>
        <v>0</v>
      </c>
      <c r="Q179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91" s="33" t="s">
        <v>187</v>
      </c>
      <c r="S1791" s="33" t="s">
        <v>349</v>
      </c>
    </row>
    <row r="1792" spans="8:19" ht="38.4" customHeight="1" x14ac:dyDescent="0.3">
      <c r="H1792" s="32" t="s">
        <v>62</v>
      </c>
      <c r="I1792" s="33" t="s">
        <v>14</v>
      </c>
      <c r="J1792" s="34" t="s">
        <v>15</v>
      </c>
      <c r="K1792" s="35" t="s">
        <v>0</v>
      </c>
      <c r="L1792" s="33"/>
      <c r="M1792" s="33"/>
      <c r="N1792" s="36"/>
      <c r="O1792" s="33">
        <v>3</v>
      </c>
      <c r="P1792" s="33">
        <f>IF(Tabela1[[#This Row],[Status]]="✔️",Tabela1[[#This Row],[Peso]],IF(Tabela1[[#This Row],[Status]]="✔️✔️",Tabela1[[#This Row],[Peso]]/2,0))</f>
        <v>3</v>
      </c>
      <c r="Q179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92" s="33" t="s">
        <v>187</v>
      </c>
      <c r="S1792" s="33" t="s">
        <v>349</v>
      </c>
    </row>
    <row r="1793" spans="8:19" ht="38.4" customHeight="1" x14ac:dyDescent="0.3">
      <c r="H1793" s="32" t="s">
        <v>62</v>
      </c>
      <c r="I1793" s="33" t="s">
        <v>14</v>
      </c>
      <c r="J1793" s="34" t="s">
        <v>16</v>
      </c>
      <c r="K1793" s="35" t="s">
        <v>0</v>
      </c>
      <c r="L1793" s="33"/>
      <c r="M1793" s="33"/>
      <c r="N1793" s="36"/>
      <c r="O1793" s="33">
        <v>1</v>
      </c>
      <c r="P1793" s="33">
        <f>IF(Tabela1[[#This Row],[Status]]="✔️",Tabela1[[#This Row],[Peso]],IF(Tabela1[[#This Row],[Status]]="✔️✔️",Tabela1[[#This Row],[Peso]]/2,0))</f>
        <v>1</v>
      </c>
      <c r="Q179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793" s="33" t="s">
        <v>187</v>
      </c>
      <c r="S1793" s="33" t="s">
        <v>349</v>
      </c>
    </row>
    <row r="1794" spans="8:19" ht="38.4" customHeight="1" x14ac:dyDescent="0.3">
      <c r="H1794" s="32" t="s">
        <v>62</v>
      </c>
      <c r="I1794" s="33" t="s">
        <v>10</v>
      </c>
      <c r="J1794" s="34" t="s">
        <v>11</v>
      </c>
      <c r="K1794" s="35" t="s">
        <v>0</v>
      </c>
      <c r="L1794" s="33"/>
      <c r="M1794" s="33"/>
      <c r="N1794" s="36"/>
      <c r="O1794" s="33">
        <v>3</v>
      </c>
      <c r="P1794" s="33">
        <f>IF(Tabela1[[#This Row],[Status]]="✔️",Tabela1[[#This Row],[Peso]],IF(Tabela1[[#This Row],[Status]]="✔️✔️",Tabela1[[#This Row],[Peso]]/2,0))</f>
        <v>3</v>
      </c>
      <c r="Q179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94" s="33" t="s">
        <v>187</v>
      </c>
      <c r="S1794" s="33" t="s">
        <v>349</v>
      </c>
    </row>
    <row r="1795" spans="8:19" ht="38.4" customHeight="1" x14ac:dyDescent="0.3">
      <c r="H1795" s="32" t="s">
        <v>62</v>
      </c>
      <c r="I1795" s="33" t="s">
        <v>10</v>
      </c>
      <c r="J1795" s="34" t="s">
        <v>316</v>
      </c>
      <c r="K1795" s="35" t="s">
        <v>0</v>
      </c>
      <c r="L1795" s="33"/>
      <c r="M1795" s="33"/>
      <c r="N1795" s="36"/>
      <c r="O1795" s="33">
        <v>3</v>
      </c>
      <c r="P1795" s="33">
        <f>IF(Tabela1[[#This Row],[Status]]="✔️",Tabela1[[#This Row],[Peso]],IF(Tabela1[[#This Row],[Status]]="✔️✔️",Tabela1[[#This Row],[Peso]]/2,0))</f>
        <v>3</v>
      </c>
      <c r="Q179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95" s="33" t="s">
        <v>187</v>
      </c>
      <c r="S1795" s="33" t="s">
        <v>349</v>
      </c>
    </row>
    <row r="1796" spans="8:19" ht="38.4" customHeight="1" x14ac:dyDescent="0.3">
      <c r="H1796" s="32" t="s">
        <v>62</v>
      </c>
      <c r="I1796" s="33" t="s">
        <v>10</v>
      </c>
      <c r="J1796" s="34" t="s">
        <v>444</v>
      </c>
      <c r="K1796" s="35" t="s">
        <v>290</v>
      </c>
      <c r="L1796" s="33"/>
      <c r="M1796" s="33"/>
      <c r="N1796" s="36"/>
      <c r="O1796" s="33">
        <v>3</v>
      </c>
      <c r="P1796" s="33">
        <f>IF(Tabela1[[#This Row],[Status]]="✔️",Tabela1[[#This Row],[Peso]],IF(Tabela1[[#This Row],[Status]]="✔️✔️",Tabela1[[#This Row],[Peso]]/2,0))</f>
        <v>0</v>
      </c>
      <c r="Q179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96" s="33" t="s">
        <v>187</v>
      </c>
      <c r="S1796" s="33" t="s">
        <v>349</v>
      </c>
    </row>
    <row r="1797" spans="8:19" ht="38.4" customHeight="1" x14ac:dyDescent="0.3">
      <c r="H1797" s="32" t="s">
        <v>62</v>
      </c>
      <c r="I1797" s="33" t="s">
        <v>10</v>
      </c>
      <c r="J1797" s="34" t="s">
        <v>393</v>
      </c>
      <c r="K1797" s="60" t="s">
        <v>0</v>
      </c>
      <c r="L1797" s="33"/>
      <c r="M1797" s="33"/>
      <c r="N1797" s="36"/>
      <c r="O1797" s="33">
        <v>2</v>
      </c>
      <c r="P1797" s="33">
        <f>IF(Tabela1[[#This Row],[Status]]="✔️",Tabela1[[#This Row],[Peso]],IF(Tabela1[[#This Row],[Status]]="✔️✔️",Tabela1[[#This Row],[Peso]]/2,0))</f>
        <v>2</v>
      </c>
      <c r="Q179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797" s="33" t="s">
        <v>187</v>
      </c>
      <c r="S1797" s="33" t="s">
        <v>349</v>
      </c>
    </row>
    <row r="1798" spans="8:19" ht="38.4" customHeight="1" x14ac:dyDescent="0.3">
      <c r="H1798" s="32" t="s">
        <v>62</v>
      </c>
      <c r="I1798" s="33" t="s">
        <v>10</v>
      </c>
      <c r="J1798" s="34" t="s">
        <v>440</v>
      </c>
      <c r="K1798" s="35" t="s">
        <v>0</v>
      </c>
      <c r="L1798" s="33"/>
      <c r="M1798" s="33"/>
      <c r="N1798" s="36"/>
      <c r="O1798" s="33">
        <v>3</v>
      </c>
      <c r="P1798" s="33">
        <f>IF(Tabela1[[#This Row],[Status]]="✔️",Tabela1[[#This Row],[Peso]],IF(Tabela1[[#This Row],[Status]]="✔️✔️",Tabela1[[#This Row],[Peso]]/2,0))</f>
        <v>3</v>
      </c>
      <c r="Q179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98" s="33" t="s">
        <v>187</v>
      </c>
      <c r="S1798" s="33" t="s">
        <v>349</v>
      </c>
    </row>
    <row r="1799" spans="8:19" ht="38.4" customHeight="1" x14ac:dyDescent="0.3">
      <c r="H1799" s="32" t="s">
        <v>62</v>
      </c>
      <c r="I1799" s="33" t="s">
        <v>12</v>
      </c>
      <c r="J1799" s="34" t="s">
        <v>13</v>
      </c>
      <c r="K1799" s="35" t="s">
        <v>0</v>
      </c>
      <c r="L1799" s="33"/>
      <c r="M1799" s="33"/>
      <c r="N1799" s="36"/>
      <c r="O1799" s="33">
        <v>2</v>
      </c>
      <c r="P1799" s="33">
        <f>IF(Tabela1[[#This Row],[Status]]="✔️",Tabela1[[#This Row],[Peso]],IF(Tabela1[[#This Row],[Status]]="✔️✔️",Tabela1[[#This Row],[Peso]]/2,0))</f>
        <v>2</v>
      </c>
      <c r="Q179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799" s="33" t="s">
        <v>187</v>
      </c>
      <c r="S1799" s="33" t="s">
        <v>349</v>
      </c>
    </row>
    <row r="1800" spans="8:19" ht="38.4" customHeight="1" x14ac:dyDescent="0.3">
      <c r="H1800" s="32" t="s">
        <v>62</v>
      </c>
      <c r="I1800" s="33" t="s">
        <v>17</v>
      </c>
      <c r="J1800" s="34" t="s">
        <v>18</v>
      </c>
      <c r="K1800" s="35" t="s">
        <v>0</v>
      </c>
      <c r="L1800" s="33"/>
      <c r="M1800" s="33"/>
      <c r="N1800" s="36"/>
      <c r="O1800" s="33">
        <v>3</v>
      </c>
      <c r="P1800" s="33">
        <f>IF(Tabela1[[#This Row],[Status]]="✔️",Tabela1[[#This Row],[Peso]],IF(Tabela1[[#This Row],[Status]]="✔️✔️",Tabela1[[#This Row],[Peso]]/2,0))</f>
        <v>3</v>
      </c>
      <c r="Q180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00" s="33" t="s">
        <v>187</v>
      </c>
      <c r="S1800" s="33" t="s">
        <v>349</v>
      </c>
    </row>
    <row r="1801" spans="8:19" ht="38.4" customHeight="1" x14ac:dyDescent="0.3">
      <c r="H1801" s="32" t="s">
        <v>62</v>
      </c>
      <c r="I1801" s="33" t="s">
        <v>17</v>
      </c>
      <c r="J1801" s="34" t="s">
        <v>19</v>
      </c>
      <c r="K1801" s="35" t="s">
        <v>0</v>
      </c>
      <c r="L1801" s="33"/>
      <c r="M1801" s="33"/>
      <c r="N1801" s="36"/>
      <c r="O1801" s="33">
        <v>1</v>
      </c>
      <c r="P1801" s="33">
        <f>IF(Tabela1[[#This Row],[Status]]="✔️",Tabela1[[#This Row],[Peso]],IF(Tabela1[[#This Row],[Status]]="✔️✔️",Tabela1[[#This Row],[Peso]]/2,0))</f>
        <v>1</v>
      </c>
      <c r="Q180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01" s="33" t="s">
        <v>187</v>
      </c>
      <c r="S1801" s="33" t="s">
        <v>349</v>
      </c>
    </row>
    <row r="1802" spans="8:19" ht="38.4" customHeight="1" x14ac:dyDescent="0.3">
      <c r="H1802" s="32" t="s">
        <v>62</v>
      </c>
      <c r="I1802" s="33" t="s">
        <v>20</v>
      </c>
      <c r="J1802" s="34" t="s">
        <v>21</v>
      </c>
      <c r="K1802" s="35" t="s">
        <v>290</v>
      </c>
      <c r="L1802" s="33"/>
      <c r="M1802" s="33"/>
      <c r="N1802" s="36"/>
      <c r="O1802" s="33">
        <v>3</v>
      </c>
      <c r="P1802" s="33">
        <f>IF(Tabela1[[#This Row],[Status]]="✔️",Tabela1[[#This Row],[Peso]],IF(Tabela1[[#This Row],[Status]]="✔️✔️",Tabela1[[#This Row],[Peso]]/2,0))</f>
        <v>0</v>
      </c>
      <c r="Q180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02" s="33" t="s">
        <v>187</v>
      </c>
      <c r="S1802" s="33" t="s">
        <v>349</v>
      </c>
    </row>
    <row r="1803" spans="8:19" ht="38.4" customHeight="1" x14ac:dyDescent="0.3">
      <c r="H1803" s="32" t="s">
        <v>62</v>
      </c>
      <c r="I1803" s="33" t="s">
        <v>20</v>
      </c>
      <c r="J1803" s="34" t="s">
        <v>441</v>
      </c>
      <c r="K1803" s="35" t="s">
        <v>0</v>
      </c>
      <c r="L1803" s="33"/>
      <c r="M1803" s="33"/>
      <c r="N1803" s="36"/>
      <c r="O1803" s="33">
        <v>1</v>
      </c>
      <c r="P1803" s="33">
        <f>IF(Tabela1[[#This Row],[Status]]="✔️",Tabela1[[#This Row],[Peso]],IF(Tabela1[[#This Row],[Status]]="✔️✔️",Tabela1[[#This Row],[Peso]]/2,0))</f>
        <v>1</v>
      </c>
      <c r="Q180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03" s="33" t="s">
        <v>187</v>
      </c>
      <c r="S1803" s="33" t="s">
        <v>349</v>
      </c>
    </row>
    <row r="1804" spans="8:19" ht="38.4" customHeight="1" x14ac:dyDescent="0.3">
      <c r="H1804" s="32" t="s">
        <v>62</v>
      </c>
      <c r="I1804" s="33" t="s">
        <v>22</v>
      </c>
      <c r="J1804" s="34" t="s">
        <v>23</v>
      </c>
      <c r="K1804" s="60" t="s">
        <v>290</v>
      </c>
      <c r="L1804" s="33"/>
      <c r="M1804" s="33"/>
      <c r="N1804" s="36"/>
      <c r="O1804" s="33">
        <v>1</v>
      </c>
      <c r="P1804" s="33">
        <f>IF(Tabela1[[#This Row],[Status]]="✔️",Tabela1[[#This Row],[Peso]],IF(Tabela1[[#This Row],[Status]]="✔️✔️",Tabela1[[#This Row],[Peso]]/2,0))</f>
        <v>0</v>
      </c>
      <c r="Q180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04" s="33" t="s">
        <v>187</v>
      </c>
      <c r="S1804" s="33" t="s">
        <v>349</v>
      </c>
    </row>
    <row r="1805" spans="8:19" ht="38.4" customHeight="1" x14ac:dyDescent="0.3">
      <c r="H1805" s="32" t="s">
        <v>62</v>
      </c>
      <c r="I1805" s="33" t="s">
        <v>22</v>
      </c>
      <c r="J1805" s="34" t="s">
        <v>468</v>
      </c>
      <c r="K1805" s="60" t="s">
        <v>0</v>
      </c>
      <c r="L1805" s="33"/>
      <c r="M1805" s="33"/>
      <c r="N1805" s="36"/>
      <c r="O1805" s="33">
        <v>1</v>
      </c>
      <c r="P1805" s="33">
        <f>IF(Tabela1[[#This Row],[Status]]="✔️",Tabela1[[#This Row],[Peso]],IF(Tabela1[[#This Row],[Status]]="✔️✔️",Tabela1[[#This Row],[Peso]]/2,0))</f>
        <v>1</v>
      </c>
      <c r="Q180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05" s="33" t="s">
        <v>187</v>
      </c>
      <c r="S1805" s="33" t="s">
        <v>349</v>
      </c>
    </row>
    <row r="1806" spans="8:19" ht="38.4" customHeight="1" x14ac:dyDescent="0.3">
      <c r="H1806" s="32" t="s">
        <v>62</v>
      </c>
      <c r="I1806" s="33" t="s">
        <v>25</v>
      </c>
      <c r="J1806" s="34" t="s">
        <v>472</v>
      </c>
      <c r="K1806" s="35" t="s">
        <v>0</v>
      </c>
      <c r="L1806" s="33"/>
      <c r="M1806" s="33"/>
      <c r="N1806" s="36"/>
      <c r="O1806" s="33">
        <v>3</v>
      </c>
      <c r="P1806" s="33">
        <f>IF(Tabela1[[#This Row],[Status]]="✔️",Tabela1[[#This Row],[Peso]],IF(Tabela1[[#This Row],[Status]]="✔️✔️",Tabela1[[#This Row],[Peso]]/2,0))</f>
        <v>3</v>
      </c>
      <c r="Q180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06" s="33" t="s">
        <v>187</v>
      </c>
      <c r="S1806" s="33" t="s">
        <v>349</v>
      </c>
    </row>
    <row r="1807" spans="8:19" ht="38.4" customHeight="1" x14ac:dyDescent="0.3">
      <c r="H1807" s="32" t="s">
        <v>62</v>
      </c>
      <c r="I1807" s="33" t="s">
        <v>25</v>
      </c>
      <c r="J1807" s="34" t="s">
        <v>320</v>
      </c>
      <c r="K1807" s="35" t="s">
        <v>0</v>
      </c>
      <c r="L1807" s="33"/>
      <c r="M1807" s="33"/>
      <c r="N1807" s="36"/>
      <c r="O1807" s="33">
        <v>3</v>
      </c>
      <c r="P1807" s="33">
        <f>IF(Tabela1[[#This Row],[Status]]="✔️",Tabela1[[#This Row],[Peso]],IF(Tabela1[[#This Row],[Status]]="✔️✔️",Tabela1[[#This Row],[Peso]]/2,0))</f>
        <v>3</v>
      </c>
      <c r="Q180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07" s="33" t="s">
        <v>187</v>
      </c>
      <c r="S1807" s="33" t="s">
        <v>349</v>
      </c>
    </row>
    <row r="1808" spans="8:19" ht="38.4" customHeight="1" x14ac:dyDescent="0.3">
      <c r="H1808" s="32" t="s">
        <v>62</v>
      </c>
      <c r="I1808" s="33" t="s">
        <v>30</v>
      </c>
      <c r="J1808" s="34" t="s">
        <v>470</v>
      </c>
      <c r="K1808" s="35" t="s">
        <v>0</v>
      </c>
      <c r="L1808" s="33"/>
      <c r="M1808" s="33"/>
      <c r="N1808" s="36"/>
      <c r="O1808" s="33">
        <v>3</v>
      </c>
      <c r="P1808" s="33">
        <f>IF(Tabela1[[#This Row],[Status]]="✔️",Tabela1[[#This Row],[Peso]],IF(Tabela1[[#This Row],[Status]]="✔️✔️",Tabela1[[#This Row],[Peso]]/2,0))</f>
        <v>3</v>
      </c>
      <c r="Q180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08" s="33" t="s">
        <v>187</v>
      </c>
      <c r="S1808" s="33" t="s">
        <v>349</v>
      </c>
    </row>
    <row r="1809" spans="8:19" ht="38.4" customHeight="1" x14ac:dyDescent="0.3">
      <c r="H1809" s="32" t="s">
        <v>62</v>
      </c>
      <c r="I1809" s="33" t="s">
        <v>25</v>
      </c>
      <c r="J1809" s="34" t="s">
        <v>449</v>
      </c>
      <c r="K1809" s="35" t="s">
        <v>0</v>
      </c>
      <c r="L1809" s="33"/>
      <c r="M1809" s="33"/>
      <c r="N1809" s="36"/>
      <c r="O1809" s="33">
        <v>3</v>
      </c>
      <c r="P1809" s="33">
        <f>IF(Tabela1[[#This Row],[Status]]="✔️",Tabela1[[#This Row],[Peso]],IF(Tabela1[[#This Row],[Status]]="✔️✔️",Tabela1[[#This Row],[Peso]]/2,0))</f>
        <v>3</v>
      </c>
      <c r="Q180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09" s="33" t="s">
        <v>187</v>
      </c>
      <c r="S1809" s="33" t="s">
        <v>349</v>
      </c>
    </row>
    <row r="1810" spans="8:19" ht="38.4" customHeight="1" x14ac:dyDescent="0.3">
      <c r="H1810" s="32" t="s">
        <v>62</v>
      </c>
      <c r="I1810" s="33" t="s">
        <v>41</v>
      </c>
      <c r="J1810" s="34" t="s">
        <v>442</v>
      </c>
      <c r="K1810" s="35" t="s">
        <v>290</v>
      </c>
      <c r="L1810" s="33"/>
      <c r="M1810" s="33"/>
      <c r="N1810" s="36"/>
      <c r="O1810" s="33">
        <v>3</v>
      </c>
      <c r="P1810" s="33">
        <f>IF(Tabela1[[#This Row],[Status]]="✔️",Tabela1[[#This Row],[Peso]],IF(Tabela1[[#This Row],[Status]]="✔️✔️",Tabela1[[#This Row],[Peso]]/2,0))</f>
        <v>0</v>
      </c>
      <c r="Q181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10" s="33" t="s">
        <v>187</v>
      </c>
      <c r="S1810" s="33" t="s">
        <v>349</v>
      </c>
    </row>
    <row r="1811" spans="8:19" ht="38.4" customHeight="1" x14ac:dyDescent="0.3">
      <c r="H1811" s="32" t="s">
        <v>62</v>
      </c>
      <c r="I1811" s="53" t="s">
        <v>41</v>
      </c>
      <c r="J1811" s="34" t="s">
        <v>443</v>
      </c>
      <c r="K1811" s="54" t="s">
        <v>290</v>
      </c>
      <c r="L1811" s="53"/>
      <c r="M1811" s="53"/>
      <c r="N1811" s="55"/>
      <c r="O1811" s="53">
        <v>2</v>
      </c>
      <c r="P1811" s="33">
        <f>IF(Tabela1[[#This Row],[Status]]="✔️",Tabela1[[#This Row],[Peso]],IF(Tabela1[[#This Row],[Status]]="✔️✔️",Tabela1[[#This Row],[Peso]]/2,0))</f>
        <v>0</v>
      </c>
      <c r="Q181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811" s="33" t="s">
        <v>187</v>
      </c>
      <c r="S1811" s="33" t="s">
        <v>349</v>
      </c>
    </row>
    <row r="1812" spans="8:19" ht="41.4" x14ac:dyDescent="0.3">
      <c r="H1812" s="32" t="s">
        <v>56</v>
      </c>
      <c r="I1812" s="33" t="s">
        <v>14</v>
      </c>
      <c r="J1812" s="34" t="s">
        <v>15</v>
      </c>
      <c r="K1812" s="35" t="s">
        <v>0</v>
      </c>
      <c r="L1812" s="33"/>
      <c r="M1812" s="33"/>
      <c r="N1812" s="36"/>
      <c r="O1812" s="33">
        <v>3</v>
      </c>
      <c r="P1812" s="33">
        <f>IF(Tabela1[[#This Row],[Status]]="✔️",Tabela1[[#This Row],[Peso]],IF(Tabela1[[#This Row],[Status]]="✔️✔️",Tabela1[[#This Row],[Peso]]/2,0))</f>
        <v>3</v>
      </c>
      <c r="Q181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12" s="33" t="s">
        <v>187</v>
      </c>
      <c r="S1812" s="33" t="s">
        <v>349</v>
      </c>
    </row>
    <row r="1813" spans="8:19" ht="41.4" x14ac:dyDescent="0.3">
      <c r="H1813" s="32" t="s">
        <v>56</v>
      </c>
      <c r="I1813" s="33" t="s">
        <v>14</v>
      </c>
      <c r="J1813" s="34" t="s">
        <v>16</v>
      </c>
      <c r="K1813" s="35" t="s">
        <v>0</v>
      </c>
      <c r="L1813" s="33"/>
      <c r="M1813" s="33"/>
      <c r="N1813" s="36"/>
      <c r="O1813" s="33">
        <v>1</v>
      </c>
      <c r="P1813" s="33">
        <f>IF(Tabela1[[#This Row],[Status]]="✔️",Tabela1[[#This Row],[Peso]],IF(Tabela1[[#This Row],[Status]]="✔️✔️",Tabela1[[#This Row],[Peso]]/2,0))</f>
        <v>1</v>
      </c>
      <c r="Q181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13" s="33" t="s">
        <v>187</v>
      </c>
      <c r="S1813" s="33" t="s">
        <v>349</v>
      </c>
    </row>
    <row r="1814" spans="8:19" ht="41.4" x14ac:dyDescent="0.3">
      <c r="H1814" s="32" t="s">
        <v>56</v>
      </c>
      <c r="I1814" s="33" t="s">
        <v>10</v>
      </c>
      <c r="J1814" s="34" t="s">
        <v>11</v>
      </c>
      <c r="K1814" s="35" t="s">
        <v>0</v>
      </c>
      <c r="L1814" s="33"/>
      <c r="M1814" s="33"/>
      <c r="N1814" s="36"/>
      <c r="O1814" s="33">
        <v>3</v>
      </c>
      <c r="P1814" s="33">
        <f>IF(Tabela1[[#This Row],[Status]]="✔️",Tabela1[[#This Row],[Peso]],IF(Tabela1[[#This Row],[Status]]="✔️✔️",Tabela1[[#This Row],[Peso]]/2,0))</f>
        <v>3</v>
      </c>
      <c r="Q181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14" s="33" t="s">
        <v>187</v>
      </c>
      <c r="S1814" s="33" t="s">
        <v>349</v>
      </c>
    </row>
    <row r="1815" spans="8:19" ht="41.4" x14ac:dyDescent="0.3">
      <c r="H1815" s="32" t="s">
        <v>56</v>
      </c>
      <c r="I1815" s="33" t="s">
        <v>10</v>
      </c>
      <c r="J1815" s="34" t="s">
        <v>316</v>
      </c>
      <c r="K1815" s="35" t="s">
        <v>0</v>
      </c>
      <c r="L1815" s="33"/>
      <c r="M1815" s="33"/>
      <c r="N1815" s="36"/>
      <c r="O1815" s="33">
        <v>3</v>
      </c>
      <c r="P1815" s="33">
        <f>IF(Tabela1[[#This Row],[Status]]="✔️",Tabela1[[#This Row],[Peso]],IF(Tabela1[[#This Row],[Status]]="✔️✔️",Tabela1[[#This Row],[Peso]]/2,0))</f>
        <v>3</v>
      </c>
      <c r="Q181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15" s="33" t="s">
        <v>187</v>
      </c>
      <c r="S1815" s="33" t="s">
        <v>349</v>
      </c>
    </row>
    <row r="1816" spans="8:19" ht="41.4" x14ac:dyDescent="0.3">
      <c r="H1816" s="32" t="s">
        <v>56</v>
      </c>
      <c r="I1816" s="33" t="s">
        <v>10</v>
      </c>
      <c r="J1816" s="34" t="s">
        <v>444</v>
      </c>
      <c r="K1816" s="35" t="s">
        <v>290</v>
      </c>
      <c r="L1816" s="33"/>
      <c r="M1816" s="33"/>
      <c r="N1816" s="36"/>
      <c r="O1816" s="33">
        <v>3</v>
      </c>
      <c r="P1816" s="33">
        <f>IF(Tabela1[[#This Row],[Status]]="✔️",Tabela1[[#This Row],[Peso]],IF(Tabela1[[#This Row],[Status]]="✔️✔️",Tabela1[[#This Row],[Peso]]/2,0))</f>
        <v>0</v>
      </c>
      <c r="Q181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16" s="33" t="s">
        <v>187</v>
      </c>
      <c r="S1816" s="33" t="s">
        <v>349</v>
      </c>
    </row>
    <row r="1817" spans="8:19" ht="41.4" x14ac:dyDescent="0.3">
      <c r="H1817" s="32" t="s">
        <v>56</v>
      </c>
      <c r="I1817" s="33" t="s">
        <v>10</v>
      </c>
      <c r="J1817" s="34" t="s">
        <v>393</v>
      </c>
      <c r="K1817" s="60" t="s">
        <v>0</v>
      </c>
      <c r="L1817" s="33"/>
      <c r="M1817" s="33"/>
      <c r="N1817" s="36"/>
      <c r="O1817" s="33">
        <v>2</v>
      </c>
      <c r="P1817" s="33">
        <f>IF(Tabela1[[#This Row],[Status]]="✔️",Tabela1[[#This Row],[Peso]],IF(Tabela1[[#This Row],[Status]]="✔️✔️",Tabela1[[#This Row],[Peso]]/2,0))</f>
        <v>2</v>
      </c>
      <c r="Q181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817" s="33" t="s">
        <v>187</v>
      </c>
      <c r="S1817" s="33" t="s">
        <v>349</v>
      </c>
    </row>
    <row r="1818" spans="8:19" ht="41.4" x14ac:dyDescent="0.3">
      <c r="H1818" s="32" t="s">
        <v>56</v>
      </c>
      <c r="I1818" s="33" t="s">
        <v>10</v>
      </c>
      <c r="J1818" s="34" t="s">
        <v>440</v>
      </c>
      <c r="K1818" s="35" t="s">
        <v>0</v>
      </c>
      <c r="L1818" s="33"/>
      <c r="M1818" s="33"/>
      <c r="N1818" s="36"/>
      <c r="O1818" s="33">
        <v>3</v>
      </c>
      <c r="P1818" s="33">
        <f>IF(Tabela1[[#This Row],[Status]]="✔️",Tabela1[[#This Row],[Peso]],IF(Tabela1[[#This Row],[Status]]="✔️✔️",Tabela1[[#This Row],[Peso]]/2,0))</f>
        <v>3</v>
      </c>
      <c r="Q181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18" s="33" t="s">
        <v>187</v>
      </c>
      <c r="S1818" s="33" t="s">
        <v>349</v>
      </c>
    </row>
    <row r="1819" spans="8:19" ht="41.4" x14ac:dyDescent="0.3">
      <c r="H1819" s="32" t="s">
        <v>56</v>
      </c>
      <c r="I1819" s="33" t="s">
        <v>12</v>
      </c>
      <c r="J1819" s="34" t="s">
        <v>13</v>
      </c>
      <c r="K1819" s="35" t="s">
        <v>0</v>
      </c>
      <c r="L1819" s="33"/>
      <c r="M1819" s="33"/>
      <c r="N1819" s="36"/>
      <c r="O1819" s="33">
        <v>2</v>
      </c>
      <c r="P1819" s="33">
        <f>IF(Tabela1[[#This Row],[Status]]="✔️",Tabela1[[#This Row],[Peso]],IF(Tabela1[[#This Row],[Status]]="✔️✔️",Tabela1[[#This Row],[Peso]]/2,0))</f>
        <v>2</v>
      </c>
      <c r="Q181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819" s="33" t="s">
        <v>187</v>
      </c>
      <c r="S1819" s="33" t="s">
        <v>349</v>
      </c>
    </row>
    <row r="1820" spans="8:19" ht="41.4" x14ac:dyDescent="0.3">
      <c r="H1820" s="32" t="s">
        <v>56</v>
      </c>
      <c r="I1820" s="33" t="s">
        <v>17</v>
      </c>
      <c r="J1820" s="34" t="s">
        <v>18</v>
      </c>
      <c r="K1820" s="35" t="s">
        <v>0</v>
      </c>
      <c r="L1820" s="33"/>
      <c r="M1820" s="33"/>
      <c r="N1820" s="36"/>
      <c r="O1820" s="33">
        <v>3</v>
      </c>
      <c r="P1820" s="33">
        <f>IF(Tabela1[[#This Row],[Status]]="✔️",Tabela1[[#This Row],[Peso]],IF(Tabela1[[#This Row],[Status]]="✔️✔️",Tabela1[[#This Row],[Peso]]/2,0))</f>
        <v>3</v>
      </c>
      <c r="Q182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20" s="33" t="s">
        <v>187</v>
      </c>
      <c r="S1820" s="33" t="s">
        <v>349</v>
      </c>
    </row>
    <row r="1821" spans="8:19" ht="41.4" x14ac:dyDescent="0.3">
      <c r="H1821" s="32" t="s">
        <v>56</v>
      </c>
      <c r="I1821" s="33" t="s">
        <v>17</v>
      </c>
      <c r="J1821" s="34" t="s">
        <v>19</v>
      </c>
      <c r="K1821" s="35" t="s">
        <v>0</v>
      </c>
      <c r="L1821" s="33"/>
      <c r="M1821" s="33"/>
      <c r="N1821" s="36"/>
      <c r="O1821" s="33">
        <v>1</v>
      </c>
      <c r="P1821" s="33">
        <f>IF(Tabela1[[#This Row],[Status]]="✔️",Tabela1[[#This Row],[Peso]],IF(Tabela1[[#This Row],[Status]]="✔️✔️",Tabela1[[#This Row],[Peso]]/2,0))</f>
        <v>1</v>
      </c>
      <c r="Q182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21" s="33" t="s">
        <v>187</v>
      </c>
      <c r="S1821" s="33" t="s">
        <v>349</v>
      </c>
    </row>
    <row r="1822" spans="8:19" ht="41.4" x14ac:dyDescent="0.3">
      <c r="H1822" s="32" t="s">
        <v>56</v>
      </c>
      <c r="I1822" s="33" t="s">
        <v>20</v>
      </c>
      <c r="J1822" s="34" t="s">
        <v>21</v>
      </c>
      <c r="K1822" s="35" t="s">
        <v>290</v>
      </c>
      <c r="L1822" s="33"/>
      <c r="M1822" s="33"/>
      <c r="N1822" s="36"/>
      <c r="O1822" s="33">
        <v>3</v>
      </c>
      <c r="P1822" s="33">
        <f>IF(Tabela1[[#This Row],[Status]]="✔️",Tabela1[[#This Row],[Peso]],IF(Tabela1[[#This Row],[Status]]="✔️✔️",Tabela1[[#This Row],[Peso]]/2,0))</f>
        <v>0</v>
      </c>
      <c r="Q182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22" s="33" t="s">
        <v>187</v>
      </c>
      <c r="S1822" s="33" t="s">
        <v>349</v>
      </c>
    </row>
    <row r="1823" spans="8:19" ht="41.4" x14ac:dyDescent="0.3">
      <c r="H1823" s="32" t="s">
        <v>56</v>
      </c>
      <c r="I1823" s="33" t="s">
        <v>20</v>
      </c>
      <c r="J1823" s="34" t="s">
        <v>441</v>
      </c>
      <c r="K1823" s="35" t="s">
        <v>0</v>
      </c>
      <c r="L1823" s="33"/>
      <c r="M1823" s="33"/>
      <c r="N1823" s="36"/>
      <c r="O1823" s="33">
        <v>1</v>
      </c>
      <c r="P1823" s="33">
        <f>IF(Tabela1[[#This Row],[Status]]="✔️",Tabela1[[#This Row],[Peso]],IF(Tabela1[[#This Row],[Status]]="✔️✔️",Tabela1[[#This Row],[Peso]]/2,0))</f>
        <v>1</v>
      </c>
      <c r="Q182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23" s="33" t="s">
        <v>187</v>
      </c>
      <c r="S1823" s="33" t="s">
        <v>349</v>
      </c>
    </row>
    <row r="1824" spans="8:19" ht="41.4" x14ac:dyDescent="0.3">
      <c r="H1824" s="32" t="s">
        <v>56</v>
      </c>
      <c r="I1824" s="33" t="s">
        <v>22</v>
      </c>
      <c r="J1824" s="34" t="s">
        <v>23</v>
      </c>
      <c r="K1824" s="60" t="s">
        <v>290</v>
      </c>
      <c r="L1824" s="33"/>
      <c r="M1824" s="33"/>
      <c r="N1824" s="36"/>
      <c r="O1824" s="33">
        <v>1</v>
      </c>
      <c r="P1824" s="33">
        <f>IF(Tabela1[[#This Row],[Status]]="✔️",Tabela1[[#This Row],[Peso]],IF(Tabela1[[#This Row],[Status]]="✔️✔️",Tabela1[[#This Row],[Peso]]/2,0))</f>
        <v>0</v>
      </c>
      <c r="Q182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24" s="33" t="s">
        <v>187</v>
      </c>
      <c r="S1824" s="33" t="s">
        <v>349</v>
      </c>
    </row>
    <row r="1825" spans="8:19" ht="41.4" x14ac:dyDescent="0.3">
      <c r="H1825" s="32" t="s">
        <v>56</v>
      </c>
      <c r="I1825" s="33" t="s">
        <v>22</v>
      </c>
      <c r="J1825" s="34" t="s">
        <v>468</v>
      </c>
      <c r="K1825" s="60" t="s">
        <v>0</v>
      </c>
      <c r="L1825" s="33"/>
      <c r="M1825" s="33"/>
      <c r="N1825" s="36"/>
      <c r="O1825" s="33">
        <v>1</v>
      </c>
      <c r="P1825" s="33">
        <f>IF(Tabela1[[#This Row],[Status]]="✔️",Tabela1[[#This Row],[Peso]],IF(Tabela1[[#This Row],[Status]]="✔️✔️",Tabela1[[#This Row],[Peso]]/2,0))</f>
        <v>1</v>
      </c>
      <c r="Q182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25" s="33" t="s">
        <v>187</v>
      </c>
      <c r="S1825" s="33" t="s">
        <v>349</v>
      </c>
    </row>
    <row r="1826" spans="8:19" ht="41.4" x14ac:dyDescent="0.3">
      <c r="H1826" s="32" t="s">
        <v>56</v>
      </c>
      <c r="I1826" s="33" t="s">
        <v>25</v>
      </c>
      <c r="J1826" s="34" t="s">
        <v>472</v>
      </c>
      <c r="K1826" s="35" t="s">
        <v>0</v>
      </c>
      <c r="L1826" s="33"/>
      <c r="M1826" s="33"/>
      <c r="N1826" s="36"/>
      <c r="O1826" s="33">
        <v>3</v>
      </c>
      <c r="P1826" s="33">
        <f>IF(Tabela1[[#This Row],[Status]]="✔️",Tabela1[[#This Row],[Peso]],IF(Tabela1[[#This Row],[Status]]="✔️✔️",Tabela1[[#This Row],[Peso]]/2,0))</f>
        <v>3</v>
      </c>
      <c r="Q182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26" s="33" t="s">
        <v>187</v>
      </c>
      <c r="S1826" s="33" t="s">
        <v>349</v>
      </c>
    </row>
    <row r="1827" spans="8:19" ht="41.4" x14ac:dyDescent="0.3">
      <c r="H1827" s="32" t="s">
        <v>56</v>
      </c>
      <c r="I1827" s="33" t="s">
        <v>25</v>
      </c>
      <c r="J1827" s="34" t="s">
        <v>320</v>
      </c>
      <c r="K1827" s="35" t="s">
        <v>0</v>
      </c>
      <c r="L1827" s="33"/>
      <c r="M1827" s="33"/>
      <c r="N1827" s="36"/>
      <c r="O1827" s="33">
        <v>3</v>
      </c>
      <c r="P1827" s="33">
        <f>IF(Tabela1[[#This Row],[Status]]="✔️",Tabela1[[#This Row],[Peso]],IF(Tabela1[[#This Row],[Status]]="✔️✔️",Tabela1[[#This Row],[Peso]]/2,0))</f>
        <v>3</v>
      </c>
      <c r="Q182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27" s="33" t="s">
        <v>187</v>
      </c>
      <c r="S1827" s="33" t="s">
        <v>349</v>
      </c>
    </row>
    <row r="1828" spans="8:19" ht="41.4" x14ac:dyDescent="0.3">
      <c r="H1828" s="32" t="s">
        <v>56</v>
      </c>
      <c r="I1828" s="33" t="s">
        <v>30</v>
      </c>
      <c r="J1828" s="34" t="s">
        <v>470</v>
      </c>
      <c r="K1828" s="35" t="s">
        <v>0</v>
      </c>
      <c r="L1828" s="33"/>
      <c r="M1828" s="33"/>
      <c r="N1828" s="36"/>
      <c r="O1828" s="33">
        <v>3</v>
      </c>
      <c r="P1828" s="33">
        <f>IF(Tabela1[[#This Row],[Status]]="✔️",Tabela1[[#This Row],[Peso]],IF(Tabela1[[#This Row],[Status]]="✔️✔️",Tabela1[[#This Row],[Peso]]/2,0))</f>
        <v>3</v>
      </c>
      <c r="Q182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28" s="33" t="s">
        <v>187</v>
      </c>
      <c r="S1828" s="33" t="s">
        <v>349</v>
      </c>
    </row>
    <row r="1829" spans="8:19" ht="41.4" x14ac:dyDescent="0.3">
      <c r="H1829" s="32" t="s">
        <v>56</v>
      </c>
      <c r="I1829" s="33" t="s">
        <v>25</v>
      </c>
      <c r="J1829" s="34" t="s">
        <v>449</v>
      </c>
      <c r="K1829" s="35" t="s">
        <v>0</v>
      </c>
      <c r="L1829" s="33"/>
      <c r="M1829" s="33"/>
      <c r="N1829" s="36"/>
      <c r="O1829" s="33">
        <v>3</v>
      </c>
      <c r="P1829" s="33">
        <f>IF(Tabela1[[#This Row],[Status]]="✔️",Tabela1[[#This Row],[Peso]],IF(Tabela1[[#This Row],[Status]]="✔️✔️",Tabela1[[#This Row],[Peso]]/2,0))</f>
        <v>3</v>
      </c>
      <c r="Q182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29" s="33" t="s">
        <v>187</v>
      </c>
      <c r="S1829" s="33" t="s">
        <v>349</v>
      </c>
    </row>
    <row r="1830" spans="8:19" ht="41.4" x14ac:dyDescent="0.3">
      <c r="H1830" s="32" t="s">
        <v>56</v>
      </c>
      <c r="I1830" s="33" t="s">
        <v>41</v>
      </c>
      <c r="J1830" s="34" t="s">
        <v>442</v>
      </c>
      <c r="K1830" s="35" t="s">
        <v>290</v>
      </c>
      <c r="L1830" s="33"/>
      <c r="M1830" s="33"/>
      <c r="N1830" s="36"/>
      <c r="O1830" s="33">
        <v>3</v>
      </c>
      <c r="P1830" s="33">
        <f>IF(Tabela1[[#This Row],[Status]]="✔️",Tabela1[[#This Row],[Peso]],IF(Tabela1[[#This Row],[Status]]="✔️✔️",Tabela1[[#This Row],[Peso]]/2,0))</f>
        <v>0</v>
      </c>
      <c r="Q183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30" s="33" t="s">
        <v>187</v>
      </c>
      <c r="S1830" s="33" t="s">
        <v>349</v>
      </c>
    </row>
    <row r="1831" spans="8:19" ht="41.4" x14ac:dyDescent="0.3">
      <c r="H1831" s="32" t="s">
        <v>56</v>
      </c>
      <c r="I1831" s="53" t="s">
        <v>41</v>
      </c>
      <c r="J1831" s="34" t="s">
        <v>443</v>
      </c>
      <c r="K1831" s="54" t="s">
        <v>290</v>
      </c>
      <c r="L1831" s="53"/>
      <c r="M1831" s="53"/>
      <c r="N1831" s="55"/>
      <c r="O1831" s="53">
        <v>2</v>
      </c>
      <c r="P1831" s="33">
        <f>IF(Tabela1[[#This Row],[Status]]="✔️",Tabela1[[#This Row],[Peso]],IF(Tabela1[[#This Row],[Status]]="✔️✔️",Tabela1[[#This Row],[Peso]]/2,0))</f>
        <v>0</v>
      </c>
      <c r="Q183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831" s="33" t="s">
        <v>187</v>
      </c>
      <c r="S1831" s="33" t="s">
        <v>349</v>
      </c>
    </row>
    <row r="1832" spans="8:19" ht="45.6" customHeight="1" x14ac:dyDescent="0.3">
      <c r="H1832" s="32" t="s">
        <v>54</v>
      </c>
      <c r="I1832" s="33" t="s">
        <v>14</v>
      </c>
      <c r="J1832" s="34" t="s">
        <v>15</v>
      </c>
      <c r="K1832" s="35" t="s">
        <v>0</v>
      </c>
      <c r="L1832" s="33"/>
      <c r="M1832" s="33"/>
      <c r="N1832" s="36"/>
      <c r="O1832" s="33">
        <v>3</v>
      </c>
      <c r="P1832" s="33">
        <f>IF(Tabela1[[#This Row],[Status]]="✔️",Tabela1[[#This Row],[Peso]],IF(Tabela1[[#This Row],[Status]]="✔️✔️",Tabela1[[#This Row],[Peso]]/2,0))</f>
        <v>3</v>
      </c>
      <c r="Q183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32" s="33" t="s">
        <v>187</v>
      </c>
      <c r="S1832" s="33" t="s">
        <v>349</v>
      </c>
    </row>
    <row r="1833" spans="8:19" ht="45.6" customHeight="1" x14ac:dyDescent="0.3">
      <c r="H1833" s="32" t="s">
        <v>54</v>
      </c>
      <c r="I1833" s="33" t="s">
        <v>14</v>
      </c>
      <c r="J1833" s="34" t="s">
        <v>16</v>
      </c>
      <c r="K1833" s="35" t="s">
        <v>0</v>
      </c>
      <c r="L1833" s="33"/>
      <c r="M1833" s="33"/>
      <c r="N1833" s="36"/>
      <c r="O1833" s="33">
        <v>1</v>
      </c>
      <c r="P1833" s="33">
        <f>IF(Tabela1[[#This Row],[Status]]="✔️",Tabela1[[#This Row],[Peso]],IF(Tabela1[[#This Row],[Status]]="✔️✔️",Tabela1[[#This Row],[Peso]]/2,0))</f>
        <v>1</v>
      </c>
      <c r="Q183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33" s="33" t="s">
        <v>187</v>
      </c>
      <c r="S1833" s="33" t="s">
        <v>349</v>
      </c>
    </row>
    <row r="1834" spans="8:19" ht="45.6" customHeight="1" x14ac:dyDescent="0.3">
      <c r="H1834" s="32" t="s">
        <v>54</v>
      </c>
      <c r="I1834" s="33" t="s">
        <v>10</v>
      </c>
      <c r="J1834" s="34" t="s">
        <v>11</v>
      </c>
      <c r="K1834" s="35" t="s">
        <v>0</v>
      </c>
      <c r="L1834" s="33"/>
      <c r="M1834" s="33"/>
      <c r="N1834" s="36"/>
      <c r="O1834" s="33">
        <v>3</v>
      </c>
      <c r="P1834" s="33">
        <f>IF(Tabela1[[#This Row],[Status]]="✔️",Tabela1[[#This Row],[Peso]],IF(Tabela1[[#This Row],[Status]]="✔️✔️",Tabela1[[#This Row],[Peso]]/2,0))</f>
        <v>3</v>
      </c>
      <c r="Q183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34" s="33" t="s">
        <v>187</v>
      </c>
      <c r="S1834" s="33" t="s">
        <v>349</v>
      </c>
    </row>
    <row r="1835" spans="8:19" ht="45.6" customHeight="1" x14ac:dyDescent="0.3">
      <c r="H1835" s="32" t="s">
        <v>54</v>
      </c>
      <c r="I1835" s="33" t="s">
        <v>10</v>
      </c>
      <c r="J1835" s="34" t="s">
        <v>316</v>
      </c>
      <c r="K1835" s="35" t="s">
        <v>0</v>
      </c>
      <c r="L1835" s="33"/>
      <c r="M1835" s="33"/>
      <c r="N1835" s="36"/>
      <c r="O1835" s="33">
        <v>3</v>
      </c>
      <c r="P1835" s="33">
        <f>IF(Tabela1[[#This Row],[Status]]="✔️",Tabela1[[#This Row],[Peso]],IF(Tabela1[[#This Row],[Status]]="✔️✔️",Tabela1[[#This Row],[Peso]]/2,0))</f>
        <v>3</v>
      </c>
      <c r="Q183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35" s="33" t="s">
        <v>187</v>
      </c>
      <c r="S1835" s="33" t="s">
        <v>349</v>
      </c>
    </row>
    <row r="1836" spans="8:19" ht="45.6" customHeight="1" x14ac:dyDescent="0.3">
      <c r="H1836" s="32" t="s">
        <v>54</v>
      </c>
      <c r="I1836" s="33" t="s">
        <v>10</v>
      </c>
      <c r="J1836" s="34" t="s">
        <v>444</v>
      </c>
      <c r="K1836" s="35" t="s">
        <v>290</v>
      </c>
      <c r="L1836" s="33"/>
      <c r="M1836" s="33"/>
      <c r="N1836" s="36"/>
      <c r="O1836" s="33">
        <v>3</v>
      </c>
      <c r="P1836" s="33">
        <f>IF(Tabela1[[#This Row],[Status]]="✔️",Tabela1[[#This Row],[Peso]],IF(Tabela1[[#This Row],[Status]]="✔️✔️",Tabela1[[#This Row],[Peso]]/2,0))</f>
        <v>0</v>
      </c>
      <c r="Q183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36" s="33" t="s">
        <v>187</v>
      </c>
      <c r="S1836" s="33" t="s">
        <v>349</v>
      </c>
    </row>
    <row r="1837" spans="8:19" ht="45.6" customHeight="1" x14ac:dyDescent="0.3">
      <c r="H1837" s="32" t="s">
        <v>54</v>
      </c>
      <c r="I1837" s="33" t="s">
        <v>10</v>
      </c>
      <c r="J1837" s="34" t="s">
        <v>393</v>
      </c>
      <c r="K1837" s="60" t="s">
        <v>0</v>
      </c>
      <c r="L1837" s="33"/>
      <c r="M1837" s="33"/>
      <c r="N1837" s="36"/>
      <c r="O1837" s="33">
        <v>2</v>
      </c>
      <c r="P1837" s="33">
        <f>IF(Tabela1[[#This Row],[Status]]="✔️",Tabela1[[#This Row],[Peso]],IF(Tabela1[[#This Row],[Status]]="✔️✔️",Tabela1[[#This Row],[Peso]]/2,0))</f>
        <v>2</v>
      </c>
      <c r="Q183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837" s="33" t="s">
        <v>187</v>
      </c>
      <c r="S1837" s="33" t="s">
        <v>349</v>
      </c>
    </row>
    <row r="1838" spans="8:19" ht="45.6" customHeight="1" x14ac:dyDescent="0.3">
      <c r="H1838" s="32" t="s">
        <v>54</v>
      </c>
      <c r="I1838" s="33" t="s">
        <v>10</v>
      </c>
      <c r="J1838" s="34" t="s">
        <v>440</v>
      </c>
      <c r="K1838" s="35" t="s">
        <v>0</v>
      </c>
      <c r="L1838" s="33"/>
      <c r="M1838" s="33"/>
      <c r="N1838" s="36"/>
      <c r="O1838" s="33">
        <v>3</v>
      </c>
      <c r="P1838" s="33">
        <f>IF(Tabela1[[#This Row],[Status]]="✔️",Tabela1[[#This Row],[Peso]],IF(Tabela1[[#This Row],[Status]]="✔️✔️",Tabela1[[#This Row],[Peso]]/2,0))</f>
        <v>3</v>
      </c>
      <c r="Q183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38" s="33" t="s">
        <v>187</v>
      </c>
      <c r="S1838" s="33" t="s">
        <v>349</v>
      </c>
    </row>
    <row r="1839" spans="8:19" ht="45.6" customHeight="1" x14ac:dyDescent="0.3">
      <c r="H1839" s="32" t="s">
        <v>54</v>
      </c>
      <c r="I1839" s="33" t="s">
        <v>12</v>
      </c>
      <c r="J1839" s="34" t="s">
        <v>13</v>
      </c>
      <c r="K1839" s="35" t="s">
        <v>0</v>
      </c>
      <c r="L1839" s="33"/>
      <c r="M1839" s="33"/>
      <c r="N1839" s="36"/>
      <c r="O1839" s="33">
        <v>2</v>
      </c>
      <c r="P1839" s="33">
        <f>IF(Tabela1[[#This Row],[Status]]="✔️",Tabela1[[#This Row],[Peso]],IF(Tabela1[[#This Row],[Status]]="✔️✔️",Tabela1[[#This Row],[Peso]]/2,0))</f>
        <v>2</v>
      </c>
      <c r="Q183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839" s="33" t="s">
        <v>187</v>
      </c>
      <c r="S1839" s="33" t="s">
        <v>349</v>
      </c>
    </row>
    <row r="1840" spans="8:19" ht="45.6" customHeight="1" x14ac:dyDescent="0.3">
      <c r="H1840" s="32" t="s">
        <v>54</v>
      </c>
      <c r="I1840" s="33" t="s">
        <v>17</v>
      </c>
      <c r="J1840" s="34" t="s">
        <v>18</v>
      </c>
      <c r="K1840" s="35" t="s">
        <v>0</v>
      </c>
      <c r="L1840" s="33"/>
      <c r="M1840" s="33"/>
      <c r="N1840" s="36"/>
      <c r="O1840" s="33">
        <v>3</v>
      </c>
      <c r="P1840" s="33">
        <f>IF(Tabela1[[#This Row],[Status]]="✔️",Tabela1[[#This Row],[Peso]],IF(Tabela1[[#This Row],[Status]]="✔️✔️",Tabela1[[#This Row],[Peso]]/2,0))</f>
        <v>3</v>
      </c>
      <c r="Q184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40" s="33" t="s">
        <v>187</v>
      </c>
      <c r="S1840" s="33" t="s">
        <v>349</v>
      </c>
    </row>
    <row r="1841" spans="8:19" ht="45.6" customHeight="1" x14ac:dyDescent="0.3">
      <c r="H1841" s="32" t="s">
        <v>54</v>
      </c>
      <c r="I1841" s="33" t="s">
        <v>17</v>
      </c>
      <c r="J1841" s="34" t="s">
        <v>19</v>
      </c>
      <c r="K1841" s="35" t="s">
        <v>0</v>
      </c>
      <c r="L1841" s="33"/>
      <c r="M1841" s="33"/>
      <c r="N1841" s="36"/>
      <c r="O1841" s="33">
        <v>1</v>
      </c>
      <c r="P1841" s="33">
        <f>IF(Tabela1[[#This Row],[Status]]="✔️",Tabela1[[#This Row],[Peso]],IF(Tabela1[[#This Row],[Status]]="✔️✔️",Tabela1[[#This Row],[Peso]]/2,0))</f>
        <v>1</v>
      </c>
      <c r="Q184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41" s="33" t="s">
        <v>187</v>
      </c>
      <c r="S1841" s="33" t="s">
        <v>349</v>
      </c>
    </row>
    <row r="1842" spans="8:19" ht="45.6" customHeight="1" x14ac:dyDescent="0.3">
      <c r="H1842" s="32" t="s">
        <v>54</v>
      </c>
      <c r="I1842" s="33" t="s">
        <v>20</v>
      </c>
      <c r="J1842" s="34" t="s">
        <v>21</v>
      </c>
      <c r="K1842" s="35" t="s">
        <v>0</v>
      </c>
      <c r="L1842" s="33"/>
      <c r="M1842" s="33"/>
      <c r="N1842" s="36"/>
      <c r="O1842" s="33">
        <v>3</v>
      </c>
      <c r="P1842" s="33">
        <f>IF(Tabela1[[#This Row],[Status]]="✔️",Tabela1[[#This Row],[Peso]],IF(Tabela1[[#This Row],[Status]]="✔️✔️",Tabela1[[#This Row],[Peso]]/2,0))</f>
        <v>3</v>
      </c>
      <c r="Q184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42" s="33" t="s">
        <v>187</v>
      </c>
      <c r="S1842" s="33" t="s">
        <v>349</v>
      </c>
    </row>
    <row r="1843" spans="8:19" ht="45.6" customHeight="1" x14ac:dyDescent="0.3">
      <c r="H1843" s="32" t="s">
        <v>54</v>
      </c>
      <c r="I1843" s="33" t="s">
        <v>20</v>
      </c>
      <c r="J1843" s="34" t="s">
        <v>441</v>
      </c>
      <c r="K1843" s="35" t="s">
        <v>0</v>
      </c>
      <c r="L1843" s="33"/>
      <c r="M1843" s="33"/>
      <c r="N1843" s="36"/>
      <c r="O1843" s="33">
        <v>1</v>
      </c>
      <c r="P1843" s="33">
        <f>IF(Tabela1[[#This Row],[Status]]="✔️",Tabela1[[#This Row],[Peso]],IF(Tabela1[[#This Row],[Status]]="✔️✔️",Tabela1[[#This Row],[Peso]]/2,0))</f>
        <v>1</v>
      </c>
      <c r="Q184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43" s="33" t="s">
        <v>187</v>
      </c>
      <c r="S1843" s="33" t="s">
        <v>349</v>
      </c>
    </row>
    <row r="1844" spans="8:19" ht="45.6" customHeight="1" x14ac:dyDescent="0.3">
      <c r="H1844" s="32" t="s">
        <v>54</v>
      </c>
      <c r="I1844" s="33" t="s">
        <v>22</v>
      </c>
      <c r="J1844" s="34" t="s">
        <v>23</v>
      </c>
      <c r="K1844" s="60" t="s">
        <v>290</v>
      </c>
      <c r="L1844" s="33"/>
      <c r="M1844" s="33"/>
      <c r="N1844" s="36"/>
      <c r="O1844" s="33">
        <v>1</v>
      </c>
      <c r="P1844" s="33">
        <f>IF(Tabela1[[#This Row],[Status]]="✔️",Tabela1[[#This Row],[Peso]],IF(Tabela1[[#This Row],[Status]]="✔️✔️",Tabela1[[#This Row],[Peso]]/2,0))</f>
        <v>0</v>
      </c>
      <c r="Q184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44" s="33" t="s">
        <v>187</v>
      </c>
      <c r="S1844" s="33" t="s">
        <v>349</v>
      </c>
    </row>
    <row r="1845" spans="8:19" ht="45.6" customHeight="1" x14ac:dyDescent="0.3">
      <c r="H1845" s="32" t="s">
        <v>54</v>
      </c>
      <c r="I1845" s="33" t="s">
        <v>22</v>
      </c>
      <c r="J1845" s="34" t="s">
        <v>468</v>
      </c>
      <c r="K1845" s="60" t="s">
        <v>0</v>
      </c>
      <c r="L1845" s="33"/>
      <c r="M1845" s="33"/>
      <c r="N1845" s="36"/>
      <c r="O1845" s="33">
        <v>1</v>
      </c>
      <c r="P1845" s="33">
        <f>IF(Tabela1[[#This Row],[Status]]="✔️",Tabela1[[#This Row],[Peso]],IF(Tabela1[[#This Row],[Status]]="✔️✔️",Tabela1[[#This Row],[Peso]]/2,0))</f>
        <v>1</v>
      </c>
      <c r="Q184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45" s="33" t="s">
        <v>187</v>
      </c>
      <c r="S1845" s="33" t="s">
        <v>349</v>
      </c>
    </row>
    <row r="1846" spans="8:19" ht="45.6" customHeight="1" x14ac:dyDescent="0.3">
      <c r="H1846" s="32" t="s">
        <v>54</v>
      </c>
      <c r="I1846" s="33" t="s">
        <v>25</v>
      </c>
      <c r="J1846" s="34" t="s">
        <v>472</v>
      </c>
      <c r="K1846" s="35" t="s">
        <v>290</v>
      </c>
      <c r="L1846" s="33"/>
      <c r="M1846" s="33"/>
      <c r="N1846" s="36"/>
      <c r="O1846" s="33">
        <v>3</v>
      </c>
      <c r="P1846" s="33">
        <f>IF(Tabela1[[#This Row],[Status]]="✔️",Tabela1[[#This Row],[Peso]],IF(Tabela1[[#This Row],[Status]]="✔️✔️",Tabela1[[#This Row],[Peso]]/2,0))</f>
        <v>0</v>
      </c>
      <c r="Q184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46" s="33" t="s">
        <v>187</v>
      </c>
      <c r="S1846" s="33" t="s">
        <v>349</v>
      </c>
    </row>
    <row r="1847" spans="8:19" ht="45.6" customHeight="1" x14ac:dyDescent="0.3">
      <c r="H1847" s="32" t="s">
        <v>54</v>
      </c>
      <c r="I1847" s="33" t="s">
        <v>25</v>
      </c>
      <c r="J1847" s="34" t="s">
        <v>320</v>
      </c>
      <c r="K1847" s="35" t="s">
        <v>0</v>
      </c>
      <c r="L1847" s="33"/>
      <c r="M1847" s="33"/>
      <c r="N1847" s="36"/>
      <c r="O1847" s="33">
        <v>3</v>
      </c>
      <c r="P1847" s="33">
        <f>IF(Tabela1[[#This Row],[Status]]="✔️",Tabela1[[#This Row],[Peso]],IF(Tabela1[[#This Row],[Status]]="✔️✔️",Tabela1[[#This Row],[Peso]]/2,0))</f>
        <v>3</v>
      </c>
      <c r="Q184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47" s="33" t="s">
        <v>187</v>
      </c>
      <c r="S1847" s="33" t="s">
        <v>349</v>
      </c>
    </row>
    <row r="1848" spans="8:19" ht="45.6" customHeight="1" x14ac:dyDescent="0.3">
      <c r="H1848" s="32" t="s">
        <v>54</v>
      </c>
      <c r="I1848" s="33" t="s">
        <v>30</v>
      </c>
      <c r="J1848" s="34" t="s">
        <v>470</v>
      </c>
      <c r="K1848" s="35" t="s">
        <v>0</v>
      </c>
      <c r="L1848" s="33"/>
      <c r="M1848" s="33"/>
      <c r="N1848" s="36"/>
      <c r="O1848" s="33">
        <v>3</v>
      </c>
      <c r="P1848" s="33">
        <f>IF(Tabela1[[#This Row],[Status]]="✔️",Tabela1[[#This Row],[Peso]],IF(Tabela1[[#This Row],[Status]]="✔️✔️",Tabela1[[#This Row],[Peso]]/2,0))</f>
        <v>3</v>
      </c>
      <c r="Q184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48" s="33" t="s">
        <v>187</v>
      </c>
      <c r="S1848" s="33" t="s">
        <v>349</v>
      </c>
    </row>
    <row r="1849" spans="8:19" ht="45.6" customHeight="1" x14ac:dyDescent="0.3">
      <c r="H1849" s="32" t="s">
        <v>54</v>
      </c>
      <c r="I1849" s="33" t="s">
        <v>25</v>
      </c>
      <c r="J1849" s="34" t="s">
        <v>449</v>
      </c>
      <c r="K1849" s="35" t="s">
        <v>0</v>
      </c>
      <c r="L1849" s="33"/>
      <c r="M1849" s="33"/>
      <c r="N1849" s="36"/>
      <c r="O1849" s="33">
        <v>3</v>
      </c>
      <c r="P1849" s="33">
        <f>IF(Tabela1[[#This Row],[Status]]="✔️",Tabela1[[#This Row],[Peso]],IF(Tabela1[[#This Row],[Status]]="✔️✔️",Tabela1[[#This Row],[Peso]]/2,0))</f>
        <v>3</v>
      </c>
      <c r="Q184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49" s="33" t="s">
        <v>187</v>
      </c>
      <c r="S1849" s="33" t="s">
        <v>349</v>
      </c>
    </row>
    <row r="1850" spans="8:19" ht="45.6" customHeight="1" x14ac:dyDescent="0.3">
      <c r="H1850" s="32" t="s">
        <v>54</v>
      </c>
      <c r="I1850" s="33" t="s">
        <v>41</v>
      </c>
      <c r="J1850" s="34" t="s">
        <v>442</v>
      </c>
      <c r="K1850" s="35" t="s">
        <v>290</v>
      </c>
      <c r="L1850" s="33"/>
      <c r="M1850" s="33"/>
      <c r="N1850" s="36"/>
      <c r="O1850" s="33">
        <v>3</v>
      </c>
      <c r="P1850" s="33">
        <f>IF(Tabela1[[#This Row],[Status]]="✔️",Tabela1[[#This Row],[Peso]],IF(Tabela1[[#This Row],[Status]]="✔️✔️",Tabela1[[#This Row],[Peso]]/2,0))</f>
        <v>0</v>
      </c>
      <c r="Q185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50" s="33" t="s">
        <v>187</v>
      </c>
      <c r="S1850" s="33" t="s">
        <v>349</v>
      </c>
    </row>
    <row r="1851" spans="8:19" ht="45.6" customHeight="1" x14ac:dyDescent="0.3">
      <c r="H1851" s="32" t="s">
        <v>54</v>
      </c>
      <c r="I1851" s="53" t="s">
        <v>41</v>
      </c>
      <c r="J1851" s="34" t="s">
        <v>443</v>
      </c>
      <c r="K1851" s="54" t="s">
        <v>290</v>
      </c>
      <c r="L1851" s="53"/>
      <c r="M1851" s="53"/>
      <c r="N1851" s="55"/>
      <c r="O1851" s="53">
        <v>2</v>
      </c>
      <c r="P1851" s="33">
        <f>IF(Tabela1[[#This Row],[Status]]="✔️",Tabela1[[#This Row],[Peso]],IF(Tabela1[[#This Row],[Status]]="✔️✔️",Tabela1[[#This Row],[Peso]]/2,0))</f>
        <v>0</v>
      </c>
      <c r="Q185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851" s="33" t="s">
        <v>187</v>
      </c>
      <c r="S1851" s="33" t="s">
        <v>349</v>
      </c>
    </row>
    <row r="1852" spans="8:19" ht="35.4" customHeight="1" x14ac:dyDescent="0.3">
      <c r="H1852" s="32" t="s">
        <v>50</v>
      </c>
      <c r="I1852" s="33" t="s">
        <v>14</v>
      </c>
      <c r="J1852" s="34" t="s">
        <v>15</v>
      </c>
      <c r="K1852" s="35" t="s">
        <v>0</v>
      </c>
      <c r="L1852" s="33"/>
      <c r="M1852" s="33"/>
      <c r="N1852" s="36"/>
      <c r="O1852" s="33">
        <v>3</v>
      </c>
      <c r="P1852" s="33">
        <f>IF(Tabela1[[#This Row],[Status]]="✔️",Tabela1[[#This Row],[Peso]],IF(Tabela1[[#This Row],[Status]]="✔️✔️",Tabela1[[#This Row],[Peso]]/2,0))</f>
        <v>3</v>
      </c>
      <c r="Q185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52" s="33" t="s">
        <v>187</v>
      </c>
      <c r="S1852" s="33" t="s">
        <v>349</v>
      </c>
    </row>
    <row r="1853" spans="8:19" ht="35.4" customHeight="1" x14ac:dyDescent="0.3">
      <c r="H1853" s="32" t="s">
        <v>50</v>
      </c>
      <c r="I1853" s="33" t="s">
        <v>14</v>
      </c>
      <c r="J1853" s="34" t="s">
        <v>16</v>
      </c>
      <c r="K1853" s="35" t="s">
        <v>0</v>
      </c>
      <c r="L1853" s="33"/>
      <c r="M1853" s="33"/>
      <c r="N1853" s="36"/>
      <c r="O1853" s="33">
        <v>1</v>
      </c>
      <c r="P1853" s="33">
        <f>IF(Tabela1[[#This Row],[Status]]="✔️",Tabela1[[#This Row],[Peso]],IF(Tabela1[[#This Row],[Status]]="✔️✔️",Tabela1[[#This Row],[Peso]]/2,0))</f>
        <v>1</v>
      </c>
      <c r="Q185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53" s="33" t="s">
        <v>187</v>
      </c>
      <c r="S1853" s="33" t="s">
        <v>349</v>
      </c>
    </row>
    <row r="1854" spans="8:19" ht="35.4" customHeight="1" x14ac:dyDescent="0.3">
      <c r="H1854" s="32" t="s">
        <v>50</v>
      </c>
      <c r="I1854" s="33" t="s">
        <v>10</v>
      </c>
      <c r="J1854" s="34" t="s">
        <v>11</v>
      </c>
      <c r="K1854" s="35" t="s">
        <v>0</v>
      </c>
      <c r="L1854" s="33"/>
      <c r="M1854" s="33"/>
      <c r="N1854" s="36"/>
      <c r="O1854" s="33">
        <v>3</v>
      </c>
      <c r="P1854" s="33">
        <f>IF(Tabela1[[#This Row],[Status]]="✔️",Tabela1[[#This Row],[Peso]],IF(Tabela1[[#This Row],[Status]]="✔️✔️",Tabela1[[#This Row],[Peso]]/2,0))</f>
        <v>3</v>
      </c>
      <c r="Q185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54" s="33" t="s">
        <v>187</v>
      </c>
      <c r="S1854" s="33" t="s">
        <v>349</v>
      </c>
    </row>
    <row r="1855" spans="8:19" ht="35.4" customHeight="1" x14ac:dyDescent="0.3">
      <c r="H1855" s="32" t="s">
        <v>50</v>
      </c>
      <c r="I1855" s="33" t="s">
        <v>10</v>
      </c>
      <c r="J1855" s="34" t="s">
        <v>316</v>
      </c>
      <c r="K1855" s="35" t="s">
        <v>0</v>
      </c>
      <c r="L1855" s="33"/>
      <c r="M1855" s="33"/>
      <c r="N1855" s="36"/>
      <c r="O1855" s="33">
        <v>3</v>
      </c>
      <c r="P1855" s="33">
        <f>IF(Tabela1[[#This Row],[Status]]="✔️",Tabela1[[#This Row],[Peso]],IF(Tabela1[[#This Row],[Status]]="✔️✔️",Tabela1[[#This Row],[Peso]]/2,0))</f>
        <v>3</v>
      </c>
      <c r="Q185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55" s="33" t="s">
        <v>187</v>
      </c>
      <c r="S1855" s="33" t="s">
        <v>349</v>
      </c>
    </row>
    <row r="1856" spans="8:19" ht="35.4" customHeight="1" x14ac:dyDescent="0.3">
      <c r="H1856" s="32" t="s">
        <v>50</v>
      </c>
      <c r="I1856" s="33" t="s">
        <v>10</v>
      </c>
      <c r="J1856" s="34" t="s">
        <v>444</v>
      </c>
      <c r="K1856" s="35" t="s">
        <v>0</v>
      </c>
      <c r="L1856" s="33"/>
      <c r="M1856" s="33"/>
      <c r="N1856" s="36"/>
      <c r="O1856" s="33">
        <v>3</v>
      </c>
      <c r="P1856" s="33">
        <f>IF(Tabela1[[#This Row],[Status]]="✔️",Tabela1[[#This Row],[Peso]],IF(Tabela1[[#This Row],[Status]]="✔️✔️",Tabela1[[#This Row],[Peso]]/2,0))</f>
        <v>3</v>
      </c>
      <c r="Q185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56" s="33" t="s">
        <v>187</v>
      </c>
      <c r="S1856" s="33" t="s">
        <v>349</v>
      </c>
    </row>
    <row r="1857" spans="8:19" ht="35.4" customHeight="1" x14ac:dyDescent="0.3">
      <c r="H1857" s="32" t="s">
        <v>50</v>
      </c>
      <c r="I1857" s="33" t="s">
        <v>10</v>
      </c>
      <c r="J1857" s="34" t="s">
        <v>393</v>
      </c>
      <c r="K1857" s="60" t="s">
        <v>0</v>
      </c>
      <c r="L1857" s="33"/>
      <c r="M1857" s="33"/>
      <c r="N1857" s="36"/>
      <c r="O1857" s="33">
        <v>2</v>
      </c>
      <c r="P1857" s="33">
        <f>IF(Tabela1[[#This Row],[Status]]="✔️",Tabela1[[#This Row],[Peso]],IF(Tabela1[[#This Row],[Status]]="✔️✔️",Tabela1[[#This Row],[Peso]]/2,0))</f>
        <v>2</v>
      </c>
      <c r="Q185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857" s="33" t="s">
        <v>187</v>
      </c>
      <c r="S1857" s="33" t="s">
        <v>349</v>
      </c>
    </row>
    <row r="1858" spans="8:19" ht="35.4" customHeight="1" x14ac:dyDescent="0.3">
      <c r="H1858" s="32" t="s">
        <v>50</v>
      </c>
      <c r="I1858" s="33" t="s">
        <v>10</v>
      </c>
      <c r="J1858" s="34" t="s">
        <v>440</v>
      </c>
      <c r="K1858" s="35" t="s">
        <v>0</v>
      </c>
      <c r="L1858" s="33"/>
      <c r="M1858" s="33"/>
      <c r="N1858" s="36"/>
      <c r="O1858" s="33">
        <v>3</v>
      </c>
      <c r="P1858" s="33">
        <f>IF(Tabela1[[#This Row],[Status]]="✔️",Tabela1[[#This Row],[Peso]],IF(Tabela1[[#This Row],[Status]]="✔️✔️",Tabela1[[#This Row],[Peso]]/2,0))</f>
        <v>3</v>
      </c>
      <c r="Q185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58" s="33" t="s">
        <v>187</v>
      </c>
      <c r="S1858" s="33" t="s">
        <v>349</v>
      </c>
    </row>
    <row r="1859" spans="8:19" ht="35.4" customHeight="1" x14ac:dyDescent="0.3">
      <c r="H1859" s="32" t="s">
        <v>50</v>
      </c>
      <c r="I1859" s="33" t="s">
        <v>12</v>
      </c>
      <c r="J1859" s="34" t="s">
        <v>13</v>
      </c>
      <c r="K1859" s="35" t="s">
        <v>0</v>
      </c>
      <c r="L1859" s="33"/>
      <c r="M1859" s="33"/>
      <c r="N1859" s="36"/>
      <c r="O1859" s="33">
        <v>2</v>
      </c>
      <c r="P1859" s="33">
        <f>IF(Tabela1[[#This Row],[Status]]="✔️",Tabela1[[#This Row],[Peso]],IF(Tabela1[[#This Row],[Status]]="✔️✔️",Tabela1[[#This Row],[Peso]]/2,0))</f>
        <v>2</v>
      </c>
      <c r="Q185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859" s="33" t="s">
        <v>187</v>
      </c>
      <c r="S1859" s="33" t="s">
        <v>349</v>
      </c>
    </row>
    <row r="1860" spans="8:19" ht="35.4" customHeight="1" x14ac:dyDescent="0.3">
      <c r="H1860" s="32" t="s">
        <v>50</v>
      </c>
      <c r="I1860" s="33" t="s">
        <v>17</v>
      </c>
      <c r="J1860" s="34" t="s">
        <v>18</v>
      </c>
      <c r="K1860" s="35" t="s">
        <v>0</v>
      </c>
      <c r="L1860" s="33"/>
      <c r="M1860" s="33"/>
      <c r="N1860" s="36"/>
      <c r="O1860" s="33">
        <v>3</v>
      </c>
      <c r="P1860" s="33">
        <f>IF(Tabela1[[#This Row],[Status]]="✔️",Tabela1[[#This Row],[Peso]],IF(Tabela1[[#This Row],[Status]]="✔️✔️",Tabela1[[#This Row],[Peso]]/2,0))</f>
        <v>3</v>
      </c>
      <c r="Q186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60" s="33" t="s">
        <v>187</v>
      </c>
      <c r="S1860" s="33" t="s">
        <v>349</v>
      </c>
    </row>
    <row r="1861" spans="8:19" ht="35.4" customHeight="1" x14ac:dyDescent="0.3">
      <c r="H1861" s="32" t="s">
        <v>50</v>
      </c>
      <c r="I1861" s="33" t="s">
        <v>17</v>
      </c>
      <c r="J1861" s="34" t="s">
        <v>19</v>
      </c>
      <c r="K1861" s="35" t="s">
        <v>0</v>
      </c>
      <c r="L1861" s="33"/>
      <c r="M1861" s="33"/>
      <c r="N1861" s="36"/>
      <c r="O1861" s="33">
        <v>1</v>
      </c>
      <c r="P1861" s="33">
        <f>IF(Tabela1[[#This Row],[Status]]="✔️",Tabela1[[#This Row],[Peso]],IF(Tabela1[[#This Row],[Status]]="✔️✔️",Tabela1[[#This Row],[Peso]]/2,0))</f>
        <v>1</v>
      </c>
      <c r="Q186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61" s="33" t="s">
        <v>187</v>
      </c>
      <c r="S1861" s="33" t="s">
        <v>349</v>
      </c>
    </row>
    <row r="1862" spans="8:19" ht="35.4" customHeight="1" x14ac:dyDescent="0.3">
      <c r="H1862" s="32" t="s">
        <v>50</v>
      </c>
      <c r="I1862" s="33" t="s">
        <v>20</v>
      </c>
      <c r="J1862" s="34" t="s">
        <v>21</v>
      </c>
      <c r="K1862" s="35" t="s">
        <v>0</v>
      </c>
      <c r="L1862" s="33"/>
      <c r="M1862" s="33"/>
      <c r="N1862" s="36"/>
      <c r="O1862" s="33">
        <v>3</v>
      </c>
      <c r="P1862" s="33">
        <f>IF(Tabela1[[#This Row],[Status]]="✔️",Tabela1[[#This Row],[Peso]],IF(Tabela1[[#This Row],[Status]]="✔️✔️",Tabela1[[#This Row],[Peso]]/2,0))</f>
        <v>3</v>
      </c>
      <c r="Q186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62" s="33" t="s">
        <v>187</v>
      </c>
      <c r="S1862" s="33" t="s">
        <v>349</v>
      </c>
    </row>
    <row r="1863" spans="8:19" ht="35.4" customHeight="1" x14ac:dyDescent="0.3">
      <c r="H1863" s="32" t="s">
        <v>50</v>
      </c>
      <c r="I1863" s="33" t="s">
        <v>20</v>
      </c>
      <c r="J1863" s="34" t="s">
        <v>441</v>
      </c>
      <c r="K1863" s="35" t="s">
        <v>0</v>
      </c>
      <c r="L1863" s="33"/>
      <c r="M1863" s="33"/>
      <c r="N1863" s="36"/>
      <c r="O1863" s="33">
        <v>1</v>
      </c>
      <c r="P1863" s="33">
        <f>IF(Tabela1[[#This Row],[Status]]="✔️",Tabela1[[#This Row],[Peso]],IF(Tabela1[[#This Row],[Status]]="✔️✔️",Tabela1[[#This Row],[Peso]]/2,0))</f>
        <v>1</v>
      </c>
      <c r="Q186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63" s="33" t="s">
        <v>187</v>
      </c>
      <c r="S1863" s="33" t="s">
        <v>349</v>
      </c>
    </row>
    <row r="1864" spans="8:19" ht="35.4" customHeight="1" x14ac:dyDescent="0.3">
      <c r="H1864" s="32" t="s">
        <v>50</v>
      </c>
      <c r="I1864" s="33" t="s">
        <v>22</v>
      </c>
      <c r="J1864" s="34" t="s">
        <v>23</v>
      </c>
      <c r="K1864" s="60" t="s">
        <v>0</v>
      </c>
      <c r="L1864" s="33"/>
      <c r="M1864" s="33"/>
      <c r="N1864" s="36"/>
      <c r="O1864" s="33">
        <v>1</v>
      </c>
      <c r="P1864" s="33">
        <f>IF(Tabela1[[#This Row],[Status]]="✔️",Tabela1[[#This Row],[Peso]],IF(Tabela1[[#This Row],[Status]]="✔️✔️",Tabela1[[#This Row],[Peso]]/2,0))</f>
        <v>1</v>
      </c>
      <c r="Q186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64" s="33" t="s">
        <v>187</v>
      </c>
      <c r="S1864" s="33" t="s">
        <v>349</v>
      </c>
    </row>
    <row r="1865" spans="8:19" ht="35.4" customHeight="1" x14ac:dyDescent="0.3">
      <c r="H1865" s="32" t="s">
        <v>50</v>
      </c>
      <c r="I1865" s="33" t="s">
        <v>22</v>
      </c>
      <c r="J1865" s="34" t="s">
        <v>468</v>
      </c>
      <c r="K1865" s="60" t="s">
        <v>290</v>
      </c>
      <c r="L1865" s="33"/>
      <c r="M1865" s="33">
        <v>7432</v>
      </c>
      <c r="N1865" s="36"/>
      <c r="O1865" s="33">
        <v>1</v>
      </c>
      <c r="P1865" s="33">
        <f>IF(Tabela1[[#This Row],[Status]]="✔️",Tabela1[[#This Row],[Peso]],IF(Tabela1[[#This Row],[Status]]="✔️✔️",Tabela1[[#This Row],[Peso]]/2,0))</f>
        <v>0</v>
      </c>
      <c r="Q186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65" s="33" t="s">
        <v>187</v>
      </c>
      <c r="S1865" s="33" t="s">
        <v>349</v>
      </c>
    </row>
    <row r="1866" spans="8:19" ht="35.4" customHeight="1" x14ac:dyDescent="0.3">
      <c r="H1866" s="32" t="s">
        <v>50</v>
      </c>
      <c r="I1866" s="33" t="s">
        <v>25</v>
      </c>
      <c r="J1866" s="34" t="s">
        <v>472</v>
      </c>
      <c r="K1866" s="35" t="s">
        <v>290</v>
      </c>
      <c r="L1866" s="33"/>
      <c r="M1866" s="33">
        <v>5537</v>
      </c>
      <c r="N1866" s="36"/>
      <c r="O1866" s="33">
        <v>3</v>
      </c>
      <c r="P1866" s="33">
        <f>IF(Tabela1[[#This Row],[Status]]="✔️",Tabela1[[#This Row],[Peso]],IF(Tabela1[[#This Row],[Status]]="✔️✔️",Tabela1[[#This Row],[Peso]]/2,0))</f>
        <v>0</v>
      </c>
      <c r="Q186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66" s="33" t="s">
        <v>187</v>
      </c>
      <c r="S1866" s="33" t="s">
        <v>349</v>
      </c>
    </row>
    <row r="1867" spans="8:19" ht="35.4" customHeight="1" x14ac:dyDescent="0.3">
      <c r="H1867" s="32" t="s">
        <v>50</v>
      </c>
      <c r="I1867" s="33" t="s">
        <v>25</v>
      </c>
      <c r="J1867" s="34" t="s">
        <v>320</v>
      </c>
      <c r="K1867" s="35" t="s">
        <v>0</v>
      </c>
      <c r="L1867" s="33"/>
      <c r="M1867" s="33"/>
      <c r="N1867" s="36"/>
      <c r="O1867" s="33">
        <v>3</v>
      </c>
      <c r="P1867" s="33">
        <f>IF(Tabela1[[#This Row],[Status]]="✔️",Tabela1[[#This Row],[Peso]],IF(Tabela1[[#This Row],[Status]]="✔️✔️",Tabela1[[#This Row],[Peso]]/2,0))</f>
        <v>3</v>
      </c>
      <c r="Q186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67" s="33" t="s">
        <v>187</v>
      </c>
      <c r="S1867" s="33" t="s">
        <v>349</v>
      </c>
    </row>
    <row r="1868" spans="8:19" ht="35.4" customHeight="1" x14ac:dyDescent="0.3">
      <c r="H1868" s="32" t="s">
        <v>50</v>
      </c>
      <c r="I1868" s="33" t="s">
        <v>30</v>
      </c>
      <c r="J1868" s="34" t="s">
        <v>470</v>
      </c>
      <c r="K1868" s="35" t="s">
        <v>0</v>
      </c>
      <c r="L1868" s="33"/>
      <c r="M1868" s="33"/>
      <c r="N1868" s="36"/>
      <c r="O1868" s="33">
        <v>3</v>
      </c>
      <c r="P1868" s="33">
        <f>IF(Tabela1[[#This Row],[Status]]="✔️",Tabela1[[#This Row],[Peso]],IF(Tabela1[[#This Row],[Status]]="✔️✔️",Tabela1[[#This Row],[Peso]]/2,0))</f>
        <v>3</v>
      </c>
      <c r="Q186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68" s="33" t="s">
        <v>187</v>
      </c>
      <c r="S1868" s="33" t="s">
        <v>349</v>
      </c>
    </row>
    <row r="1869" spans="8:19" ht="35.4" customHeight="1" x14ac:dyDescent="0.3">
      <c r="H1869" s="32" t="s">
        <v>50</v>
      </c>
      <c r="I1869" s="33" t="s">
        <v>25</v>
      </c>
      <c r="J1869" s="34" t="s">
        <v>449</v>
      </c>
      <c r="K1869" s="35" t="s">
        <v>290</v>
      </c>
      <c r="L1869" s="33"/>
      <c r="M1869" s="33" t="s">
        <v>473</v>
      </c>
      <c r="N1869" s="36"/>
      <c r="O1869" s="33">
        <v>3</v>
      </c>
      <c r="P1869" s="33">
        <f>IF(Tabela1[[#This Row],[Status]]="✔️",Tabela1[[#This Row],[Peso]],IF(Tabela1[[#This Row],[Status]]="✔️✔️",Tabela1[[#This Row],[Peso]]/2,0))</f>
        <v>0</v>
      </c>
      <c r="Q186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69" s="33" t="s">
        <v>187</v>
      </c>
      <c r="S1869" s="33" t="s">
        <v>349</v>
      </c>
    </row>
    <row r="1870" spans="8:19" ht="35.4" customHeight="1" x14ac:dyDescent="0.3">
      <c r="H1870" s="32" t="s">
        <v>50</v>
      </c>
      <c r="I1870" s="33" t="s">
        <v>41</v>
      </c>
      <c r="J1870" s="34" t="s">
        <v>442</v>
      </c>
      <c r="K1870" s="35" t="s">
        <v>290</v>
      </c>
      <c r="L1870" s="33"/>
      <c r="M1870" s="33">
        <v>3178</v>
      </c>
      <c r="N1870" s="36"/>
      <c r="O1870" s="33">
        <v>3</v>
      </c>
      <c r="P1870" s="33">
        <f>IF(Tabela1[[#This Row],[Status]]="✔️",Tabela1[[#This Row],[Peso]],IF(Tabela1[[#This Row],[Status]]="✔️✔️",Tabela1[[#This Row],[Peso]]/2,0))</f>
        <v>0</v>
      </c>
      <c r="Q187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70" s="33" t="s">
        <v>187</v>
      </c>
      <c r="S1870" s="33" t="s">
        <v>349</v>
      </c>
    </row>
    <row r="1871" spans="8:19" ht="35.4" customHeight="1" x14ac:dyDescent="0.3">
      <c r="H1871" s="32" t="s">
        <v>50</v>
      </c>
      <c r="I1871" s="53" t="s">
        <v>41</v>
      </c>
      <c r="J1871" s="34" t="s">
        <v>443</v>
      </c>
      <c r="K1871" s="54" t="s">
        <v>290</v>
      </c>
      <c r="L1871" s="53"/>
      <c r="M1871" s="33">
        <v>3178</v>
      </c>
      <c r="N1871" s="55"/>
      <c r="O1871" s="53">
        <v>2</v>
      </c>
      <c r="P1871" s="33">
        <f>IF(Tabela1[[#This Row],[Status]]="✔️",Tabela1[[#This Row],[Peso]],IF(Tabela1[[#This Row],[Status]]="✔️✔️",Tabela1[[#This Row],[Peso]]/2,0))</f>
        <v>0</v>
      </c>
      <c r="Q187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871" s="33" t="s">
        <v>187</v>
      </c>
      <c r="S1871" s="33" t="s">
        <v>349</v>
      </c>
    </row>
    <row r="1872" spans="8:19" ht="43.2" customHeight="1" x14ac:dyDescent="0.3">
      <c r="H1872" s="32" t="s">
        <v>51</v>
      </c>
      <c r="I1872" s="33" t="s">
        <v>14</v>
      </c>
      <c r="J1872" s="34" t="s">
        <v>15</v>
      </c>
      <c r="K1872" s="35" t="s">
        <v>0</v>
      </c>
      <c r="L1872" s="33"/>
      <c r="M1872" s="33"/>
      <c r="N1872" s="36"/>
      <c r="O1872" s="33">
        <v>3</v>
      </c>
      <c r="P1872" s="33">
        <f>IF(Tabela1[[#This Row],[Status]]="✔️",Tabela1[[#This Row],[Peso]],IF(Tabela1[[#This Row],[Status]]="✔️✔️",Tabela1[[#This Row],[Peso]]/2,0))</f>
        <v>3</v>
      </c>
      <c r="Q187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72" s="33" t="s">
        <v>187</v>
      </c>
      <c r="S1872" s="33" t="s">
        <v>349</v>
      </c>
    </row>
    <row r="1873" spans="8:19" ht="43.2" customHeight="1" x14ac:dyDescent="0.3">
      <c r="H1873" s="32" t="s">
        <v>51</v>
      </c>
      <c r="I1873" s="33" t="s">
        <v>14</v>
      </c>
      <c r="J1873" s="34" t="s">
        <v>16</v>
      </c>
      <c r="K1873" s="35" t="s">
        <v>0</v>
      </c>
      <c r="L1873" s="33"/>
      <c r="M1873" s="33"/>
      <c r="N1873" s="36"/>
      <c r="O1873" s="33">
        <v>1</v>
      </c>
      <c r="P1873" s="33">
        <f>IF(Tabela1[[#This Row],[Status]]="✔️",Tabela1[[#This Row],[Peso]],IF(Tabela1[[#This Row],[Status]]="✔️✔️",Tabela1[[#This Row],[Peso]]/2,0))</f>
        <v>1</v>
      </c>
      <c r="Q187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73" s="33" t="s">
        <v>187</v>
      </c>
      <c r="S1873" s="33" t="s">
        <v>349</v>
      </c>
    </row>
    <row r="1874" spans="8:19" ht="43.2" customHeight="1" x14ac:dyDescent="0.3">
      <c r="H1874" s="32" t="s">
        <v>51</v>
      </c>
      <c r="I1874" s="33" t="s">
        <v>10</v>
      </c>
      <c r="J1874" s="34" t="s">
        <v>11</v>
      </c>
      <c r="K1874" s="35" t="s">
        <v>0</v>
      </c>
      <c r="L1874" s="33"/>
      <c r="M1874" s="33"/>
      <c r="N1874" s="36"/>
      <c r="O1874" s="33">
        <v>3</v>
      </c>
      <c r="P1874" s="33">
        <f>IF(Tabela1[[#This Row],[Status]]="✔️",Tabela1[[#This Row],[Peso]],IF(Tabela1[[#This Row],[Status]]="✔️✔️",Tabela1[[#This Row],[Peso]]/2,0))</f>
        <v>3</v>
      </c>
      <c r="Q187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74" s="33" t="s">
        <v>187</v>
      </c>
      <c r="S1874" s="33" t="s">
        <v>349</v>
      </c>
    </row>
    <row r="1875" spans="8:19" ht="43.2" customHeight="1" x14ac:dyDescent="0.3">
      <c r="H1875" s="32" t="s">
        <v>51</v>
      </c>
      <c r="I1875" s="33" t="s">
        <v>10</v>
      </c>
      <c r="J1875" s="34" t="s">
        <v>316</v>
      </c>
      <c r="K1875" s="35" t="s">
        <v>0</v>
      </c>
      <c r="L1875" s="33"/>
      <c r="M1875" s="33"/>
      <c r="N1875" s="36"/>
      <c r="O1875" s="33">
        <v>3</v>
      </c>
      <c r="P1875" s="33">
        <f>IF(Tabela1[[#This Row],[Status]]="✔️",Tabela1[[#This Row],[Peso]],IF(Tabela1[[#This Row],[Status]]="✔️✔️",Tabela1[[#This Row],[Peso]]/2,0))</f>
        <v>3</v>
      </c>
      <c r="Q187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75" s="33" t="s">
        <v>187</v>
      </c>
      <c r="S1875" s="33" t="s">
        <v>349</v>
      </c>
    </row>
    <row r="1876" spans="8:19" ht="43.2" customHeight="1" x14ac:dyDescent="0.3">
      <c r="H1876" s="32" t="s">
        <v>51</v>
      </c>
      <c r="I1876" s="33" t="s">
        <v>10</v>
      </c>
      <c r="J1876" s="34" t="s">
        <v>444</v>
      </c>
      <c r="K1876" s="35" t="s">
        <v>0</v>
      </c>
      <c r="L1876" s="33"/>
      <c r="M1876" s="33"/>
      <c r="N1876" s="36"/>
      <c r="O1876" s="33">
        <v>3</v>
      </c>
      <c r="P1876" s="33">
        <f>IF(Tabela1[[#This Row],[Status]]="✔️",Tabela1[[#This Row],[Peso]],IF(Tabela1[[#This Row],[Status]]="✔️✔️",Tabela1[[#This Row],[Peso]]/2,0))</f>
        <v>3</v>
      </c>
      <c r="Q187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76" s="33" t="s">
        <v>187</v>
      </c>
      <c r="S1876" s="33" t="s">
        <v>349</v>
      </c>
    </row>
    <row r="1877" spans="8:19" ht="43.2" customHeight="1" x14ac:dyDescent="0.3">
      <c r="H1877" s="32" t="s">
        <v>51</v>
      </c>
      <c r="I1877" s="33" t="s">
        <v>10</v>
      </c>
      <c r="J1877" s="34" t="s">
        <v>393</v>
      </c>
      <c r="K1877" s="60" t="s">
        <v>0</v>
      </c>
      <c r="L1877" s="33"/>
      <c r="M1877" s="33"/>
      <c r="N1877" s="36"/>
      <c r="O1877" s="33">
        <v>2</v>
      </c>
      <c r="P1877" s="33">
        <f>IF(Tabela1[[#This Row],[Status]]="✔️",Tabela1[[#This Row],[Peso]],IF(Tabela1[[#This Row],[Status]]="✔️✔️",Tabela1[[#This Row],[Peso]]/2,0))</f>
        <v>2</v>
      </c>
      <c r="Q187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877" s="33" t="s">
        <v>187</v>
      </c>
      <c r="S1877" s="33" t="s">
        <v>349</v>
      </c>
    </row>
    <row r="1878" spans="8:19" ht="43.2" customHeight="1" x14ac:dyDescent="0.3">
      <c r="H1878" s="32" t="s">
        <v>51</v>
      </c>
      <c r="I1878" s="33" t="s">
        <v>10</v>
      </c>
      <c r="J1878" s="34" t="s">
        <v>440</v>
      </c>
      <c r="K1878" s="35" t="s">
        <v>0</v>
      </c>
      <c r="L1878" s="33"/>
      <c r="M1878" s="33"/>
      <c r="N1878" s="36"/>
      <c r="O1878" s="33">
        <v>3</v>
      </c>
      <c r="P1878" s="33">
        <f>IF(Tabela1[[#This Row],[Status]]="✔️",Tabela1[[#This Row],[Peso]],IF(Tabela1[[#This Row],[Status]]="✔️✔️",Tabela1[[#This Row],[Peso]]/2,0))</f>
        <v>3</v>
      </c>
      <c r="Q187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78" s="33" t="s">
        <v>187</v>
      </c>
      <c r="S1878" s="33" t="s">
        <v>349</v>
      </c>
    </row>
    <row r="1879" spans="8:19" ht="43.2" customHeight="1" x14ac:dyDescent="0.3">
      <c r="H1879" s="32" t="s">
        <v>51</v>
      </c>
      <c r="I1879" s="33" t="s">
        <v>12</v>
      </c>
      <c r="J1879" s="34" t="s">
        <v>13</v>
      </c>
      <c r="K1879" s="35" t="s">
        <v>0</v>
      </c>
      <c r="L1879" s="33"/>
      <c r="M1879" s="33"/>
      <c r="N1879" s="36"/>
      <c r="O1879" s="33">
        <v>2</v>
      </c>
      <c r="P1879" s="33">
        <f>IF(Tabela1[[#This Row],[Status]]="✔️",Tabela1[[#This Row],[Peso]],IF(Tabela1[[#This Row],[Status]]="✔️✔️",Tabela1[[#This Row],[Peso]]/2,0))</f>
        <v>2</v>
      </c>
      <c r="Q187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879" s="33" t="s">
        <v>187</v>
      </c>
      <c r="S1879" s="33" t="s">
        <v>349</v>
      </c>
    </row>
    <row r="1880" spans="8:19" ht="43.2" customHeight="1" x14ac:dyDescent="0.3">
      <c r="H1880" s="32" t="s">
        <v>51</v>
      </c>
      <c r="I1880" s="33" t="s">
        <v>17</v>
      </c>
      <c r="J1880" s="34" t="s">
        <v>18</v>
      </c>
      <c r="K1880" s="35" t="s">
        <v>290</v>
      </c>
      <c r="L1880" s="33"/>
      <c r="M1880" s="33">
        <v>5537</v>
      </c>
      <c r="N1880" s="36"/>
      <c r="O1880" s="33">
        <v>3</v>
      </c>
      <c r="P1880" s="33">
        <f>IF(Tabela1[[#This Row],[Status]]="✔️",Tabela1[[#This Row],[Peso]],IF(Tabela1[[#This Row],[Status]]="✔️✔️",Tabela1[[#This Row],[Peso]]/2,0))</f>
        <v>0</v>
      </c>
      <c r="Q188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80" s="33" t="s">
        <v>187</v>
      </c>
      <c r="S1880" s="33" t="s">
        <v>349</v>
      </c>
    </row>
    <row r="1881" spans="8:19" ht="43.2" customHeight="1" x14ac:dyDescent="0.3">
      <c r="H1881" s="32" t="s">
        <v>51</v>
      </c>
      <c r="I1881" s="33" t="s">
        <v>17</v>
      </c>
      <c r="J1881" s="34" t="s">
        <v>19</v>
      </c>
      <c r="K1881" s="35" t="s">
        <v>0</v>
      </c>
      <c r="L1881" s="33"/>
      <c r="M1881" s="33"/>
      <c r="N1881" s="36"/>
      <c r="O1881" s="33">
        <v>1</v>
      </c>
      <c r="P1881" s="33">
        <f>IF(Tabela1[[#This Row],[Status]]="✔️",Tabela1[[#This Row],[Peso]],IF(Tabela1[[#This Row],[Status]]="✔️✔️",Tabela1[[#This Row],[Peso]]/2,0))</f>
        <v>1</v>
      </c>
      <c r="Q188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81" s="33" t="s">
        <v>187</v>
      </c>
      <c r="S1881" s="33" t="s">
        <v>349</v>
      </c>
    </row>
    <row r="1882" spans="8:19" ht="43.2" customHeight="1" x14ac:dyDescent="0.3">
      <c r="H1882" s="32" t="s">
        <v>51</v>
      </c>
      <c r="I1882" s="33" t="s">
        <v>20</v>
      </c>
      <c r="J1882" s="34" t="s">
        <v>21</v>
      </c>
      <c r="K1882" s="35" t="s">
        <v>0</v>
      </c>
      <c r="L1882" s="33"/>
      <c r="M1882" s="33"/>
      <c r="N1882" s="36"/>
      <c r="O1882" s="33">
        <v>3</v>
      </c>
      <c r="P1882" s="33">
        <f>IF(Tabela1[[#This Row],[Status]]="✔️",Tabela1[[#This Row],[Peso]],IF(Tabela1[[#This Row],[Status]]="✔️✔️",Tabela1[[#This Row],[Peso]]/2,0))</f>
        <v>3</v>
      </c>
      <c r="Q188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82" s="33" t="s">
        <v>187</v>
      </c>
      <c r="S1882" s="33" t="s">
        <v>349</v>
      </c>
    </row>
    <row r="1883" spans="8:19" ht="43.2" customHeight="1" x14ac:dyDescent="0.3">
      <c r="H1883" s="32" t="s">
        <v>51</v>
      </c>
      <c r="I1883" s="33" t="s">
        <v>20</v>
      </c>
      <c r="J1883" s="34" t="s">
        <v>441</v>
      </c>
      <c r="K1883" s="35" t="s">
        <v>0</v>
      </c>
      <c r="L1883" s="33"/>
      <c r="M1883" s="33"/>
      <c r="N1883" s="36"/>
      <c r="O1883" s="33">
        <v>1</v>
      </c>
      <c r="P1883" s="33">
        <f>IF(Tabela1[[#This Row],[Status]]="✔️",Tabela1[[#This Row],[Peso]],IF(Tabela1[[#This Row],[Status]]="✔️✔️",Tabela1[[#This Row],[Peso]]/2,0))</f>
        <v>1</v>
      </c>
      <c r="Q188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83" s="33" t="s">
        <v>187</v>
      </c>
      <c r="S1883" s="33" t="s">
        <v>349</v>
      </c>
    </row>
    <row r="1884" spans="8:19" ht="43.2" customHeight="1" x14ac:dyDescent="0.3">
      <c r="H1884" s="32" t="s">
        <v>51</v>
      </c>
      <c r="I1884" s="33" t="s">
        <v>22</v>
      </c>
      <c r="J1884" s="34" t="s">
        <v>23</v>
      </c>
      <c r="K1884" s="60" t="s">
        <v>0</v>
      </c>
      <c r="L1884" s="33"/>
      <c r="M1884" s="33"/>
      <c r="N1884" s="36"/>
      <c r="O1884" s="33">
        <v>1</v>
      </c>
      <c r="P1884" s="33">
        <f>IF(Tabela1[[#This Row],[Status]]="✔️",Tabela1[[#This Row],[Peso]],IF(Tabela1[[#This Row],[Status]]="✔️✔️",Tabela1[[#This Row],[Peso]]/2,0))</f>
        <v>1</v>
      </c>
      <c r="Q188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84" s="33" t="s">
        <v>187</v>
      </c>
      <c r="S1884" s="33" t="s">
        <v>349</v>
      </c>
    </row>
    <row r="1885" spans="8:19" ht="43.2" customHeight="1" x14ac:dyDescent="0.3">
      <c r="H1885" s="32" t="s">
        <v>51</v>
      </c>
      <c r="I1885" s="33" t="s">
        <v>22</v>
      </c>
      <c r="J1885" s="34" t="s">
        <v>468</v>
      </c>
      <c r="K1885" s="60" t="s">
        <v>290</v>
      </c>
      <c r="L1885" s="33"/>
      <c r="M1885" s="33">
        <v>2107</v>
      </c>
      <c r="N1885" s="36"/>
      <c r="O1885" s="33">
        <v>1</v>
      </c>
      <c r="P1885" s="33">
        <f>IF(Tabela1[[#This Row],[Status]]="✔️",Tabela1[[#This Row],[Peso]],IF(Tabela1[[#This Row],[Status]]="✔️✔️",Tabela1[[#This Row],[Peso]]/2,0))</f>
        <v>0</v>
      </c>
      <c r="Q188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85" s="33" t="s">
        <v>187</v>
      </c>
      <c r="S1885" s="33" t="s">
        <v>349</v>
      </c>
    </row>
    <row r="1886" spans="8:19" ht="43.2" customHeight="1" x14ac:dyDescent="0.3">
      <c r="H1886" s="32" t="s">
        <v>51</v>
      </c>
      <c r="I1886" s="33" t="s">
        <v>25</v>
      </c>
      <c r="J1886" s="34" t="s">
        <v>472</v>
      </c>
      <c r="K1886" s="35" t="s">
        <v>0</v>
      </c>
      <c r="L1886" s="33"/>
      <c r="M1886" s="33"/>
      <c r="N1886" s="36"/>
      <c r="O1886" s="33">
        <v>3</v>
      </c>
      <c r="P1886" s="33">
        <f>IF(Tabela1[[#This Row],[Status]]="✔️",Tabela1[[#This Row],[Peso]],IF(Tabela1[[#This Row],[Status]]="✔️✔️",Tabela1[[#This Row],[Peso]]/2,0))</f>
        <v>3</v>
      </c>
      <c r="Q188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86" s="33" t="s">
        <v>187</v>
      </c>
      <c r="S1886" s="33" t="s">
        <v>349</v>
      </c>
    </row>
    <row r="1887" spans="8:19" ht="43.2" customHeight="1" x14ac:dyDescent="0.3">
      <c r="H1887" s="32" t="s">
        <v>51</v>
      </c>
      <c r="I1887" s="33" t="s">
        <v>25</v>
      </c>
      <c r="J1887" s="34" t="s">
        <v>320</v>
      </c>
      <c r="K1887" s="35" t="s">
        <v>0</v>
      </c>
      <c r="L1887" s="33"/>
      <c r="M1887" s="33"/>
      <c r="N1887" s="36"/>
      <c r="O1887" s="33">
        <v>3</v>
      </c>
      <c r="P1887" s="33">
        <f>IF(Tabela1[[#This Row],[Status]]="✔️",Tabela1[[#This Row],[Peso]],IF(Tabela1[[#This Row],[Status]]="✔️✔️",Tabela1[[#This Row],[Peso]]/2,0))</f>
        <v>3</v>
      </c>
      <c r="Q188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87" s="33" t="s">
        <v>187</v>
      </c>
      <c r="S1887" s="33" t="s">
        <v>349</v>
      </c>
    </row>
    <row r="1888" spans="8:19" ht="43.2" customHeight="1" x14ac:dyDescent="0.3">
      <c r="H1888" s="32" t="s">
        <v>51</v>
      </c>
      <c r="I1888" s="33" t="s">
        <v>30</v>
      </c>
      <c r="J1888" s="34" t="s">
        <v>470</v>
      </c>
      <c r="K1888" s="35" t="s">
        <v>290</v>
      </c>
      <c r="L1888" s="33"/>
      <c r="M1888" s="33">
        <v>8147</v>
      </c>
      <c r="N1888" s="36"/>
      <c r="O1888" s="33">
        <v>3</v>
      </c>
      <c r="P1888" s="33">
        <f>IF(Tabela1[[#This Row],[Status]]="✔️",Tabela1[[#This Row],[Peso]],IF(Tabela1[[#This Row],[Status]]="✔️✔️",Tabela1[[#This Row],[Peso]]/2,0))</f>
        <v>0</v>
      </c>
      <c r="Q188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88" s="33" t="s">
        <v>187</v>
      </c>
      <c r="S1888" s="33" t="s">
        <v>349</v>
      </c>
    </row>
    <row r="1889" spans="8:19" ht="43.2" customHeight="1" x14ac:dyDescent="0.3">
      <c r="H1889" s="32" t="s">
        <v>51</v>
      </c>
      <c r="I1889" s="33" t="s">
        <v>25</v>
      </c>
      <c r="J1889" s="34" t="s">
        <v>449</v>
      </c>
      <c r="K1889" s="35" t="s">
        <v>290</v>
      </c>
      <c r="L1889" s="33"/>
      <c r="M1889" s="33">
        <v>6568</v>
      </c>
      <c r="N1889" s="36"/>
      <c r="O1889" s="33">
        <v>3</v>
      </c>
      <c r="P1889" s="33">
        <f>IF(Tabela1[[#This Row],[Status]]="✔️",Tabela1[[#This Row],[Peso]],IF(Tabela1[[#This Row],[Status]]="✔️✔️",Tabela1[[#This Row],[Peso]]/2,0))</f>
        <v>0</v>
      </c>
      <c r="Q188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89" s="33" t="s">
        <v>187</v>
      </c>
      <c r="S1889" s="33" t="s">
        <v>349</v>
      </c>
    </row>
    <row r="1890" spans="8:19" ht="43.2" customHeight="1" x14ac:dyDescent="0.3">
      <c r="H1890" s="32" t="s">
        <v>51</v>
      </c>
      <c r="I1890" s="33" t="s">
        <v>41</v>
      </c>
      <c r="J1890" s="34" t="s">
        <v>442</v>
      </c>
      <c r="K1890" s="35" t="s">
        <v>0</v>
      </c>
      <c r="L1890" s="33"/>
      <c r="M1890" s="33"/>
      <c r="N1890" s="36"/>
      <c r="O1890" s="33">
        <v>3</v>
      </c>
      <c r="P1890" s="33">
        <f>IF(Tabela1[[#This Row],[Status]]="✔️",Tabela1[[#This Row],[Peso]],IF(Tabela1[[#This Row],[Status]]="✔️✔️",Tabela1[[#This Row],[Peso]]/2,0))</f>
        <v>3</v>
      </c>
      <c r="Q189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90" s="33" t="s">
        <v>187</v>
      </c>
      <c r="S1890" s="33" t="s">
        <v>349</v>
      </c>
    </row>
    <row r="1891" spans="8:19" ht="43.2" customHeight="1" x14ac:dyDescent="0.3">
      <c r="H1891" s="32" t="s">
        <v>51</v>
      </c>
      <c r="I1891" s="53" t="s">
        <v>41</v>
      </c>
      <c r="J1891" s="34" t="s">
        <v>443</v>
      </c>
      <c r="K1891" s="54" t="s">
        <v>290</v>
      </c>
      <c r="L1891" s="53"/>
      <c r="M1891" s="53">
        <v>8398</v>
      </c>
      <c r="N1891" s="55"/>
      <c r="O1891" s="53">
        <v>2</v>
      </c>
      <c r="P1891" s="33">
        <f>IF(Tabela1[[#This Row],[Status]]="✔️",Tabela1[[#This Row],[Peso]],IF(Tabela1[[#This Row],[Status]]="✔️✔️",Tabela1[[#This Row],[Peso]]/2,0))</f>
        <v>0</v>
      </c>
      <c r="Q189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891" s="33" t="s">
        <v>187</v>
      </c>
      <c r="S1891" s="33" t="s">
        <v>349</v>
      </c>
    </row>
    <row r="1892" spans="8:19" ht="41.4" customHeight="1" x14ac:dyDescent="0.3">
      <c r="H1892" s="32" t="s">
        <v>83</v>
      </c>
      <c r="I1892" s="33" t="s">
        <v>14</v>
      </c>
      <c r="J1892" s="34" t="s">
        <v>15</v>
      </c>
      <c r="K1892" s="35" t="s">
        <v>0</v>
      </c>
      <c r="L1892" s="33"/>
      <c r="M1892" s="33"/>
      <c r="N1892" s="36"/>
      <c r="O1892" s="33">
        <v>3</v>
      </c>
      <c r="P1892" s="33">
        <f>IF(Tabela1[[#This Row],[Status]]="✔️",Tabela1[[#This Row],[Peso]],IF(Tabela1[[#This Row],[Status]]="✔️✔️",Tabela1[[#This Row],[Peso]]/2,0))</f>
        <v>3</v>
      </c>
      <c r="Q189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92" s="33" t="s">
        <v>187</v>
      </c>
      <c r="S1892" s="33" t="s">
        <v>349</v>
      </c>
    </row>
    <row r="1893" spans="8:19" ht="41.4" customHeight="1" x14ac:dyDescent="0.3">
      <c r="H1893" s="32" t="s">
        <v>83</v>
      </c>
      <c r="I1893" s="33" t="s">
        <v>14</v>
      </c>
      <c r="J1893" s="34" t="s">
        <v>16</v>
      </c>
      <c r="K1893" s="35" t="s">
        <v>0</v>
      </c>
      <c r="L1893" s="33"/>
      <c r="M1893" s="33"/>
      <c r="N1893" s="36"/>
      <c r="O1893" s="33">
        <v>1</v>
      </c>
      <c r="P1893" s="33">
        <f>IF(Tabela1[[#This Row],[Status]]="✔️",Tabela1[[#This Row],[Peso]],IF(Tabela1[[#This Row],[Status]]="✔️✔️",Tabela1[[#This Row],[Peso]]/2,0))</f>
        <v>1</v>
      </c>
      <c r="Q189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93" s="33" t="s">
        <v>187</v>
      </c>
      <c r="S1893" s="33" t="s">
        <v>349</v>
      </c>
    </row>
    <row r="1894" spans="8:19" ht="41.4" customHeight="1" x14ac:dyDescent="0.3">
      <c r="H1894" s="32" t="s">
        <v>83</v>
      </c>
      <c r="I1894" s="33" t="s">
        <v>10</v>
      </c>
      <c r="J1894" s="34" t="s">
        <v>11</v>
      </c>
      <c r="K1894" s="35" t="s">
        <v>0</v>
      </c>
      <c r="L1894" s="33"/>
      <c r="M1894" s="33"/>
      <c r="N1894" s="36"/>
      <c r="O1894" s="33">
        <v>3</v>
      </c>
      <c r="P1894" s="33">
        <f>IF(Tabela1[[#This Row],[Status]]="✔️",Tabela1[[#This Row],[Peso]],IF(Tabela1[[#This Row],[Status]]="✔️✔️",Tabela1[[#This Row],[Peso]]/2,0))</f>
        <v>3</v>
      </c>
      <c r="Q189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94" s="33" t="s">
        <v>187</v>
      </c>
      <c r="S1894" s="33" t="s">
        <v>349</v>
      </c>
    </row>
    <row r="1895" spans="8:19" ht="41.4" customHeight="1" x14ac:dyDescent="0.3">
      <c r="H1895" s="32" t="s">
        <v>83</v>
      </c>
      <c r="I1895" s="33" t="s">
        <v>10</v>
      </c>
      <c r="J1895" s="34" t="s">
        <v>316</v>
      </c>
      <c r="K1895" s="35" t="s">
        <v>0</v>
      </c>
      <c r="L1895" s="33"/>
      <c r="M1895" s="33"/>
      <c r="N1895" s="36"/>
      <c r="O1895" s="33">
        <v>3</v>
      </c>
      <c r="P1895" s="33">
        <f>IF(Tabela1[[#This Row],[Status]]="✔️",Tabela1[[#This Row],[Peso]],IF(Tabela1[[#This Row],[Status]]="✔️✔️",Tabela1[[#This Row],[Peso]]/2,0))</f>
        <v>3</v>
      </c>
      <c r="Q189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95" s="33" t="s">
        <v>187</v>
      </c>
      <c r="S1895" s="33" t="s">
        <v>349</v>
      </c>
    </row>
    <row r="1896" spans="8:19" ht="41.4" customHeight="1" x14ac:dyDescent="0.3">
      <c r="H1896" s="32" t="s">
        <v>83</v>
      </c>
      <c r="I1896" s="33" t="s">
        <v>10</v>
      </c>
      <c r="J1896" s="34" t="s">
        <v>444</v>
      </c>
      <c r="K1896" s="35" t="s">
        <v>0</v>
      </c>
      <c r="L1896" s="33"/>
      <c r="M1896" s="33"/>
      <c r="N1896" s="36"/>
      <c r="O1896" s="33">
        <v>3</v>
      </c>
      <c r="P1896" s="33">
        <f>IF(Tabela1[[#This Row],[Status]]="✔️",Tabela1[[#This Row],[Peso]],IF(Tabela1[[#This Row],[Status]]="✔️✔️",Tabela1[[#This Row],[Peso]]/2,0))</f>
        <v>3</v>
      </c>
      <c r="Q189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96" s="33" t="s">
        <v>187</v>
      </c>
      <c r="S1896" s="33" t="s">
        <v>349</v>
      </c>
    </row>
    <row r="1897" spans="8:19" ht="41.4" customHeight="1" x14ac:dyDescent="0.3">
      <c r="H1897" s="32" t="s">
        <v>83</v>
      </c>
      <c r="I1897" s="33" t="s">
        <v>10</v>
      </c>
      <c r="J1897" s="34" t="s">
        <v>393</v>
      </c>
      <c r="K1897" s="60" t="s">
        <v>0</v>
      </c>
      <c r="L1897" s="33"/>
      <c r="M1897" s="33"/>
      <c r="N1897" s="36"/>
      <c r="O1897" s="33">
        <v>2</v>
      </c>
      <c r="P1897" s="33">
        <f>IF(Tabela1[[#This Row],[Status]]="✔️",Tabela1[[#This Row],[Peso]],IF(Tabela1[[#This Row],[Status]]="✔️✔️",Tabela1[[#This Row],[Peso]]/2,0))</f>
        <v>2</v>
      </c>
      <c r="Q189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897" s="33" t="s">
        <v>187</v>
      </c>
      <c r="S1897" s="33" t="s">
        <v>349</v>
      </c>
    </row>
    <row r="1898" spans="8:19" ht="41.4" customHeight="1" x14ac:dyDescent="0.3">
      <c r="H1898" s="32" t="s">
        <v>83</v>
      </c>
      <c r="I1898" s="33" t="s">
        <v>10</v>
      </c>
      <c r="J1898" s="34" t="s">
        <v>440</v>
      </c>
      <c r="K1898" s="35" t="s">
        <v>0</v>
      </c>
      <c r="L1898" s="33"/>
      <c r="M1898" s="33"/>
      <c r="N1898" s="36"/>
      <c r="O1898" s="33">
        <v>3</v>
      </c>
      <c r="P1898" s="33">
        <f>IF(Tabela1[[#This Row],[Status]]="✔️",Tabela1[[#This Row],[Peso]],IF(Tabela1[[#This Row],[Status]]="✔️✔️",Tabela1[[#This Row],[Peso]]/2,0))</f>
        <v>3</v>
      </c>
      <c r="Q189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98" s="33" t="s">
        <v>187</v>
      </c>
      <c r="S1898" s="33" t="s">
        <v>349</v>
      </c>
    </row>
    <row r="1899" spans="8:19" ht="41.4" customHeight="1" x14ac:dyDescent="0.3">
      <c r="H1899" s="32" t="s">
        <v>83</v>
      </c>
      <c r="I1899" s="33" t="s">
        <v>12</v>
      </c>
      <c r="J1899" s="34" t="s">
        <v>13</v>
      </c>
      <c r="K1899" s="35" t="s">
        <v>0</v>
      </c>
      <c r="L1899" s="33"/>
      <c r="M1899" s="33"/>
      <c r="N1899" s="36"/>
      <c r="O1899" s="33">
        <v>2</v>
      </c>
      <c r="P1899" s="33">
        <f>IF(Tabela1[[#This Row],[Status]]="✔️",Tabela1[[#This Row],[Peso]],IF(Tabela1[[#This Row],[Status]]="✔️✔️",Tabela1[[#This Row],[Peso]]/2,0))</f>
        <v>2</v>
      </c>
      <c r="Q189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899" s="33" t="s">
        <v>187</v>
      </c>
      <c r="S1899" s="33" t="s">
        <v>349</v>
      </c>
    </row>
    <row r="1900" spans="8:19" ht="41.4" customHeight="1" x14ac:dyDescent="0.3">
      <c r="H1900" s="32" t="s">
        <v>83</v>
      </c>
      <c r="I1900" s="33" t="s">
        <v>17</v>
      </c>
      <c r="J1900" s="34" t="s">
        <v>18</v>
      </c>
      <c r="K1900" s="35" t="s">
        <v>0</v>
      </c>
      <c r="L1900" s="33"/>
      <c r="M1900" s="33"/>
      <c r="N1900" s="36"/>
      <c r="O1900" s="33">
        <v>3</v>
      </c>
      <c r="P1900" s="33">
        <f>IF(Tabela1[[#This Row],[Status]]="✔️",Tabela1[[#This Row],[Peso]],IF(Tabela1[[#This Row],[Status]]="✔️✔️",Tabela1[[#This Row],[Peso]]/2,0))</f>
        <v>3</v>
      </c>
      <c r="Q190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00" s="33" t="s">
        <v>187</v>
      </c>
      <c r="S1900" s="33" t="s">
        <v>349</v>
      </c>
    </row>
    <row r="1901" spans="8:19" ht="41.4" customHeight="1" x14ac:dyDescent="0.3">
      <c r="H1901" s="32" t="s">
        <v>83</v>
      </c>
      <c r="I1901" s="33" t="s">
        <v>17</v>
      </c>
      <c r="J1901" s="34" t="s">
        <v>19</v>
      </c>
      <c r="K1901" s="35" t="s">
        <v>0</v>
      </c>
      <c r="L1901" s="33"/>
      <c r="M1901" s="33"/>
      <c r="N1901" s="36"/>
      <c r="O1901" s="33">
        <v>1</v>
      </c>
      <c r="P1901" s="33">
        <f>IF(Tabela1[[#This Row],[Status]]="✔️",Tabela1[[#This Row],[Peso]],IF(Tabela1[[#This Row],[Status]]="✔️✔️",Tabela1[[#This Row],[Peso]]/2,0))</f>
        <v>1</v>
      </c>
      <c r="Q190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901" s="33" t="s">
        <v>187</v>
      </c>
      <c r="S1901" s="33" t="s">
        <v>349</v>
      </c>
    </row>
    <row r="1902" spans="8:19" ht="41.4" customHeight="1" x14ac:dyDescent="0.3">
      <c r="H1902" s="32" t="s">
        <v>83</v>
      </c>
      <c r="I1902" s="33" t="s">
        <v>20</v>
      </c>
      <c r="J1902" s="34" t="s">
        <v>21</v>
      </c>
      <c r="K1902" s="35" t="s">
        <v>0</v>
      </c>
      <c r="L1902" s="33"/>
      <c r="M1902" s="33"/>
      <c r="N1902" s="36"/>
      <c r="O1902" s="33">
        <v>3</v>
      </c>
      <c r="P1902" s="33">
        <f>IF(Tabela1[[#This Row],[Status]]="✔️",Tabela1[[#This Row],[Peso]],IF(Tabela1[[#This Row],[Status]]="✔️✔️",Tabela1[[#This Row],[Peso]]/2,0))</f>
        <v>3</v>
      </c>
      <c r="Q190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02" s="33" t="s">
        <v>187</v>
      </c>
      <c r="S1902" s="33" t="s">
        <v>349</v>
      </c>
    </row>
    <row r="1903" spans="8:19" ht="41.4" customHeight="1" x14ac:dyDescent="0.3">
      <c r="H1903" s="32" t="s">
        <v>83</v>
      </c>
      <c r="I1903" s="33" t="s">
        <v>20</v>
      </c>
      <c r="J1903" s="34" t="s">
        <v>441</v>
      </c>
      <c r="K1903" s="35" t="s">
        <v>0</v>
      </c>
      <c r="L1903" s="33"/>
      <c r="M1903" s="33"/>
      <c r="N1903" s="36"/>
      <c r="O1903" s="33">
        <v>1</v>
      </c>
      <c r="P1903" s="33">
        <f>IF(Tabela1[[#This Row],[Status]]="✔️",Tabela1[[#This Row],[Peso]],IF(Tabela1[[#This Row],[Status]]="✔️✔️",Tabela1[[#This Row],[Peso]]/2,0))</f>
        <v>1</v>
      </c>
      <c r="Q190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903" s="33" t="s">
        <v>187</v>
      </c>
      <c r="S1903" s="33" t="s">
        <v>349</v>
      </c>
    </row>
    <row r="1904" spans="8:19" ht="41.4" customHeight="1" x14ac:dyDescent="0.3">
      <c r="H1904" s="32" t="s">
        <v>83</v>
      </c>
      <c r="I1904" s="33" t="s">
        <v>22</v>
      </c>
      <c r="J1904" s="34" t="s">
        <v>23</v>
      </c>
      <c r="K1904" s="60" t="s">
        <v>0</v>
      </c>
      <c r="L1904" s="33"/>
      <c r="M1904" s="33"/>
      <c r="N1904" s="36"/>
      <c r="O1904" s="33">
        <v>1</v>
      </c>
      <c r="P1904" s="33">
        <f>IF(Tabela1[[#This Row],[Status]]="✔️",Tabela1[[#This Row],[Peso]],IF(Tabela1[[#This Row],[Status]]="✔️✔️",Tabela1[[#This Row],[Peso]]/2,0))</f>
        <v>1</v>
      </c>
      <c r="Q190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904" s="33" t="s">
        <v>187</v>
      </c>
      <c r="S1904" s="33" t="s">
        <v>349</v>
      </c>
    </row>
    <row r="1905" spans="8:19" ht="41.4" customHeight="1" x14ac:dyDescent="0.3">
      <c r="H1905" s="32" t="s">
        <v>83</v>
      </c>
      <c r="I1905" s="33" t="s">
        <v>22</v>
      </c>
      <c r="J1905" s="34" t="s">
        <v>468</v>
      </c>
      <c r="K1905" s="60" t="s">
        <v>0</v>
      </c>
      <c r="L1905" s="33"/>
      <c r="M1905" s="33"/>
      <c r="N1905" s="36"/>
      <c r="O1905" s="33">
        <v>1</v>
      </c>
      <c r="P1905" s="33">
        <f>IF(Tabela1[[#This Row],[Status]]="✔️",Tabela1[[#This Row],[Peso]],IF(Tabela1[[#This Row],[Status]]="✔️✔️",Tabela1[[#This Row],[Peso]]/2,0))</f>
        <v>1</v>
      </c>
      <c r="Q190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905" s="33" t="s">
        <v>187</v>
      </c>
      <c r="S1905" s="33" t="s">
        <v>349</v>
      </c>
    </row>
    <row r="1906" spans="8:19" ht="41.4" customHeight="1" x14ac:dyDescent="0.3">
      <c r="H1906" s="32" t="s">
        <v>83</v>
      </c>
      <c r="I1906" s="33" t="s">
        <v>25</v>
      </c>
      <c r="J1906" s="34" t="s">
        <v>472</v>
      </c>
      <c r="K1906" s="35" t="s">
        <v>0</v>
      </c>
      <c r="L1906" s="33"/>
      <c r="M1906" s="33"/>
      <c r="N1906" s="36"/>
      <c r="O1906" s="33">
        <v>3</v>
      </c>
      <c r="P1906" s="33">
        <f>IF(Tabela1[[#This Row],[Status]]="✔️",Tabela1[[#This Row],[Peso]],IF(Tabela1[[#This Row],[Status]]="✔️✔️",Tabela1[[#This Row],[Peso]]/2,0))</f>
        <v>3</v>
      </c>
      <c r="Q190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06" s="33" t="s">
        <v>187</v>
      </c>
      <c r="S1906" s="33" t="s">
        <v>349</v>
      </c>
    </row>
    <row r="1907" spans="8:19" ht="41.4" customHeight="1" x14ac:dyDescent="0.3">
      <c r="H1907" s="32" t="s">
        <v>83</v>
      </c>
      <c r="I1907" s="33" t="s">
        <v>25</v>
      </c>
      <c r="J1907" s="34" t="s">
        <v>320</v>
      </c>
      <c r="K1907" s="35" t="s">
        <v>0</v>
      </c>
      <c r="L1907" s="33"/>
      <c r="M1907" s="33"/>
      <c r="N1907" s="36"/>
      <c r="O1907" s="33">
        <v>3</v>
      </c>
      <c r="P1907" s="33">
        <f>IF(Tabela1[[#This Row],[Status]]="✔️",Tabela1[[#This Row],[Peso]],IF(Tabela1[[#This Row],[Status]]="✔️✔️",Tabela1[[#This Row],[Peso]]/2,0))</f>
        <v>3</v>
      </c>
      <c r="Q190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07" s="33" t="s">
        <v>187</v>
      </c>
      <c r="S1907" s="33" t="s">
        <v>349</v>
      </c>
    </row>
    <row r="1908" spans="8:19" ht="41.4" customHeight="1" x14ac:dyDescent="0.3">
      <c r="H1908" s="32" t="s">
        <v>83</v>
      </c>
      <c r="I1908" s="33" t="s">
        <v>30</v>
      </c>
      <c r="J1908" s="34" t="s">
        <v>470</v>
      </c>
      <c r="K1908" s="35" t="s">
        <v>0</v>
      </c>
      <c r="L1908" s="33"/>
      <c r="M1908" s="33"/>
      <c r="N1908" s="36"/>
      <c r="O1908" s="33">
        <v>3</v>
      </c>
      <c r="P1908" s="33">
        <f>IF(Tabela1[[#This Row],[Status]]="✔️",Tabela1[[#This Row],[Peso]],IF(Tabela1[[#This Row],[Status]]="✔️✔️",Tabela1[[#This Row],[Peso]]/2,0))</f>
        <v>3</v>
      </c>
      <c r="Q190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08" s="33" t="s">
        <v>187</v>
      </c>
      <c r="S1908" s="33" t="s">
        <v>349</v>
      </c>
    </row>
    <row r="1909" spans="8:19" ht="41.4" customHeight="1" x14ac:dyDescent="0.3">
      <c r="H1909" s="32" t="s">
        <v>83</v>
      </c>
      <c r="I1909" s="33" t="s">
        <v>25</v>
      </c>
      <c r="J1909" s="34" t="s">
        <v>449</v>
      </c>
      <c r="K1909" s="35" t="s">
        <v>290</v>
      </c>
      <c r="L1909" s="33"/>
      <c r="M1909" s="33">
        <v>7247</v>
      </c>
      <c r="N1909" s="36"/>
      <c r="O1909" s="33">
        <v>3</v>
      </c>
      <c r="P1909" s="33">
        <f>IF(Tabela1[[#This Row],[Status]]="✔️",Tabela1[[#This Row],[Peso]],IF(Tabela1[[#This Row],[Status]]="✔️✔️",Tabela1[[#This Row],[Peso]]/2,0))</f>
        <v>0</v>
      </c>
      <c r="Q190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09" s="33" t="s">
        <v>187</v>
      </c>
      <c r="S1909" s="33" t="s">
        <v>349</v>
      </c>
    </row>
    <row r="1910" spans="8:19" ht="41.4" customHeight="1" x14ac:dyDescent="0.3">
      <c r="H1910" s="32" t="s">
        <v>83</v>
      </c>
      <c r="I1910" s="33" t="s">
        <v>41</v>
      </c>
      <c r="J1910" s="34" t="s">
        <v>442</v>
      </c>
      <c r="K1910" s="35" t="s">
        <v>0</v>
      </c>
      <c r="L1910" s="33"/>
      <c r="M1910" s="33"/>
      <c r="N1910" s="36"/>
      <c r="O1910" s="33">
        <v>3</v>
      </c>
      <c r="P1910" s="33">
        <f>IF(Tabela1[[#This Row],[Status]]="✔️",Tabela1[[#This Row],[Peso]],IF(Tabela1[[#This Row],[Status]]="✔️✔️",Tabela1[[#This Row],[Peso]]/2,0))</f>
        <v>3</v>
      </c>
      <c r="Q191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10" s="33" t="s">
        <v>187</v>
      </c>
      <c r="S1910" s="33" t="s">
        <v>349</v>
      </c>
    </row>
    <row r="1911" spans="8:19" ht="41.4" customHeight="1" x14ac:dyDescent="0.3">
      <c r="H1911" s="32" t="s">
        <v>83</v>
      </c>
      <c r="I1911" s="53" t="s">
        <v>41</v>
      </c>
      <c r="J1911" s="34" t="s">
        <v>443</v>
      </c>
      <c r="K1911" s="54" t="s">
        <v>290</v>
      </c>
      <c r="L1911" s="53"/>
      <c r="M1911" s="53">
        <v>5596</v>
      </c>
      <c r="N1911" s="55"/>
      <c r="O1911" s="53">
        <v>2</v>
      </c>
      <c r="P1911" s="33">
        <f>IF(Tabela1[[#This Row],[Status]]="✔️",Tabela1[[#This Row],[Peso]],IF(Tabela1[[#This Row],[Status]]="✔️✔️",Tabela1[[#This Row],[Peso]]/2,0))</f>
        <v>0</v>
      </c>
      <c r="Q191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911" s="33" t="s">
        <v>187</v>
      </c>
      <c r="S1911" s="33" t="s">
        <v>349</v>
      </c>
    </row>
    <row r="1912" spans="8:19" ht="42" customHeight="1" x14ac:dyDescent="0.3">
      <c r="H1912" s="32" t="s">
        <v>76</v>
      </c>
      <c r="I1912" s="33" t="s">
        <v>14</v>
      </c>
      <c r="J1912" s="34" t="s">
        <v>15</v>
      </c>
      <c r="K1912" s="35" t="s">
        <v>0</v>
      </c>
      <c r="L1912" s="33"/>
      <c r="M1912" s="33"/>
      <c r="N1912" s="36"/>
      <c r="O1912" s="33">
        <v>3</v>
      </c>
      <c r="P1912" s="33">
        <f>IF(Tabela1[[#This Row],[Status]]="✔️",Tabela1[[#This Row],[Peso]],IF(Tabela1[[#This Row],[Status]]="✔️✔️",Tabela1[[#This Row],[Peso]]/2,0))</f>
        <v>3</v>
      </c>
      <c r="Q191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12" s="33" t="s">
        <v>187</v>
      </c>
      <c r="S1912" s="33" t="s">
        <v>349</v>
      </c>
    </row>
    <row r="1913" spans="8:19" ht="42" customHeight="1" x14ac:dyDescent="0.3">
      <c r="H1913" s="32" t="s">
        <v>76</v>
      </c>
      <c r="I1913" s="33" t="s">
        <v>14</v>
      </c>
      <c r="J1913" s="34" t="s">
        <v>16</v>
      </c>
      <c r="K1913" s="35" t="s">
        <v>0</v>
      </c>
      <c r="L1913" s="33"/>
      <c r="M1913" s="33"/>
      <c r="N1913" s="36"/>
      <c r="O1913" s="33">
        <v>1</v>
      </c>
      <c r="P1913" s="33">
        <f>IF(Tabela1[[#This Row],[Status]]="✔️",Tabela1[[#This Row],[Peso]],IF(Tabela1[[#This Row],[Status]]="✔️✔️",Tabela1[[#This Row],[Peso]]/2,0))</f>
        <v>1</v>
      </c>
      <c r="Q191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913" s="33" t="s">
        <v>187</v>
      </c>
      <c r="S1913" s="33" t="s">
        <v>349</v>
      </c>
    </row>
    <row r="1914" spans="8:19" ht="42" customHeight="1" x14ac:dyDescent="0.3">
      <c r="H1914" s="32" t="s">
        <v>76</v>
      </c>
      <c r="I1914" s="33" t="s">
        <v>10</v>
      </c>
      <c r="J1914" s="34" t="s">
        <v>11</v>
      </c>
      <c r="K1914" s="35" t="s">
        <v>0</v>
      </c>
      <c r="L1914" s="33"/>
      <c r="M1914" s="33"/>
      <c r="N1914" s="36"/>
      <c r="O1914" s="33">
        <v>3</v>
      </c>
      <c r="P1914" s="33">
        <f>IF(Tabela1[[#This Row],[Status]]="✔️",Tabela1[[#This Row],[Peso]],IF(Tabela1[[#This Row],[Status]]="✔️✔️",Tabela1[[#This Row],[Peso]]/2,0))</f>
        <v>3</v>
      </c>
      <c r="Q191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14" s="33" t="s">
        <v>187</v>
      </c>
      <c r="S1914" s="33" t="s">
        <v>349</v>
      </c>
    </row>
    <row r="1915" spans="8:19" ht="42" customHeight="1" x14ac:dyDescent="0.3">
      <c r="H1915" s="32" t="s">
        <v>76</v>
      </c>
      <c r="I1915" s="33" t="s">
        <v>10</v>
      </c>
      <c r="J1915" s="34" t="s">
        <v>316</v>
      </c>
      <c r="K1915" s="35" t="s">
        <v>0</v>
      </c>
      <c r="L1915" s="33"/>
      <c r="M1915" s="33"/>
      <c r="N1915" s="36"/>
      <c r="O1915" s="33">
        <v>3</v>
      </c>
      <c r="P1915" s="33">
        <f>IF(Tabela1[[#This Row],[Status]]="✔️",Tabela1[[#This Row],[Peso]],IF(Tabela1[[#This Row],[Status]]="✔️✔️",Tabela1[[#This Row],[Peso]]/2,0))</f>
        <v>3</v>
      </c>
      <c r="Q191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15" s="33" t="s">
        <v>187</v>
      </c>
      <c r="S1915" s="33" t="s">
        <v>349</v>
      </c>
    </row>
    <row r="1916" spans="8:19" ht="42" customHeight="1" x14ac:dyDescent="0.3">
      <c r="H1916" s="32" t="s">
        <v>76</v>
      </c>
      <c r="I1916" s="33" t="s">
        <v>10</v>
      </c>
      <c r="J1916" s="34" t="s">
        <v>444</v>
      </c>
      <c r="K1916" s="35" t="s">
        <v>0</v>
      </c>
      <c r="L1916" s="33"/>
      <c r="M1916" s="33"/>
      <c r="N1916" s="36"/>
      <c r="O1916" s="33">
        <v>3</v>
      </c>
      <c r="P1916" s="33">
        <f>IF(Tabela1[[#This Row],[Status]]="✔️",Tabela1[[#This Row],[Peso]],IF(Tabela1[[#This Row],[Status]]="✔️✔️",Tabela1[[#This Row],[Peso]]/2,0))</f>
        <v>3</v>
      </c>
      <c r="Q191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16" s="33" t="s">
        <v>187</v>
      </c>
      <c r="S1916" s="33" t="s">
        <v>349</v>
      </c>
    </row>
    <row r="1917" spans="8:19" ht="42" customHeight="1" x14ac:dyDescent="0.3">
      <c r="H1917" s="32" t="s">
        <v>76</v>
      </c>
      <c r="I1917" s="33" t="s">
        <v>10</v>
      </c>
      <c r="J1917" s="34" t="s">
        <v>393</v>
      </c>
      <c r="K1917" s="60" t="s">
        <v>0</v>
      </c>
      <c r="L1917" s="33"/>
      <c r="M1917" s="33"/>
      <c r="N1917" s="36"/>
      <c r="O1917" s="33">
        <v>2</v>
      </c>
      <c r="P1917" s="33">
        <f>IF(Tabela1[[#This Row],[Status]]="✔️",Tabela1[[#This Row],[Peso]],IF(Tabela1[[#This Row],[Status]]="✔️✔️",Tabela1[[#This Row],[Peso]]/2,0))</f>
        <v>2</v>
      </c>
      <c r="Q191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917" s="33" t="s">
        <v>187</v>
      </c>
      <c r="S1917" s="33" t="s">
        <v>349</v>
      </c>
    </row>
    <row r="1918" spans="8:19" ht="42" customHeight="1" x14ac:dyDescent="0.3">
      <c r="H1918" s="32" t="s">
        <v>76</v>
      </c>
      <c r="I1918" s="33" t="s">
        <v>10</v>
      </c>
      <c r="J1918" s="34" t="s">
        <v>440</v>
      </c>
      <c r="K1918" s="35" t="s">
        <v>0</v>
      </c>
      <c r="L1918" s="33"/>
      <c r="M1918" s="33"/>
      <c r="N1918" s="36"/>
      <c r="O1918" s="33">
        <v>3</v>
      </c>
      <c r="P1918" s="33">
        <f>IF(Tabela1[[#This Row],[Status]]="✔️",Tabela1[[#This Row],[Peso]],IF(Tabela1[[#This Row],[Status]]="✔️✔️",Tabela1[[#This Row],[Peso]]/2,0))</f>
        <v>3</v>
      </c>
      <c r="Q191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18" s="33" t="s">
        <v>187</v>
      </c>
      <c r="S1918" s="33" t="s">
        <v>349</v>
      </c>
    </row>
    <row r="1919" spans="8:19" ht="42" customHeight="1" x14ac:dyDescent="0.3">
      <c r="H1919" s="32" t="s">
        <v>76</v>
      </c>
      <c r="I1919" s="33" t="s">
        <v>12</v>
      </c>
      <c r="J1919" s="34" t="s">
        <v>13</v>
      </c>
      <c r="K1919" s="35" t="s">
        <v>0</v>
      </c>
      <c r="L1919" s="33"/>
      <c r="M1919" s="33"/>
      <c r="N1919" s="36"/>
      <c r="O1919" s="33">
        <v>2</v>
      </c>
      <c r="P1919" s="33">
        <f>IF(Tabela1[[#This Row],[Status]]="✔️",Tabela1[[#This Row],[Peso]],IF(Tabela1[[#This Row],[Status]]="✔️✔️",Tabela1[[#This Row],[Peso]]/2,0))</f>
        <v>2</v>
      </c>
      <c r="Q191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919" s="33" t="s">
        <v>187</v>
      </c>
      <c r="S1919" s="33" t="s">
        <v>349</v>
      </c>
    </row>
    <row r="1920" spans="8:19" ht="42" customHeight="1" x14ac:dyDescent="0.3">
      <c r="H1920" s="32" t="s">
        <v>76</v>
      </c>
      <c r="I1920" s="33" t="s">
        <v>17</v>
      </c>
      <c r="J1920" s="34" t="s">
        <v>18</v>
      </c>
      <c r="K1920" s="35" t="s">
        <v>0</v>
      </c>
      <c r="L1920" s="33"/>
      <c r="M1920" s="33"/>
      <c r="N1920" s="36"/>
      <c r="O1920" s="33">
        <v>3</v>
      </c>
      <c r="P1920" s="33">
        <f>IF(Tabela1[[#This Row],[Status]]="✔️",Tabela1[[#This Row],[Peso]],IF(Tabela1[[#This Row],[Status]]="✔️✔️",Tabela1[[#This Row],[Peso]]/2,0))</f>
        <v>3</v>
      </c>
      <c r="Q192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20" s="33" t="s">
        <v>187</v>
      </c>
      <c r="S1920" s="33" t="s">
        <v>349</v>
      </c>
    </row>
    <row r="1921" spans="8:19" ht="42" customHeight="1" x14ac:dyDescent="0.3">
      <c r="H1921" s="32" t="s">
        <v>76</v>
      </c>
      <c r="I1921" s="33" t="s">
        <v>17</v>
      </c>
      <c r="J1921" s="34" t="s">
        <v>19</v>
      </c>
      <c r="K1921" s="35" t="s">
        <v>0</v>
      </c>
      <c r="L1921" s="33"/>
      <c r="M1921" s="33"/>
      <c r="N1921" s="36"/>
      <c r="O1921" s="33">
        <v>1</v>
      </c>
      <c r="P1921" s="33">
        <f>IF(Tabela1[[#This Row],[Status]]="✔️",Tabela1[[#This Row],[Peso]],IF(Tabela1[[#This Row],[Status]]="✔️✔️",Tabela1[[#This Row],[Peso]]/2,0))</f>
        <v>1</v>
      </c>
      <c r="Q192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921" s="33" t="s">
        <v>187</v>
      </c>
      <c r="S1921" s="33" t="s">
        <v>349</v>
      </c>
    </row>
    <row r="1922" spans="8:19" ht="42" customHeight="1" x14ac:dyDescent="0.3">
      <c r="H1922" s="32" t="s">
        <v>76</v>
      </c>
      <c r="I1922" s="33" t="s">
        <v>20</v>
      </c>
      <c r="J1922" s="34" t="s">
        <v>21</v>
      </c>
      <c r="K1922" s="35" t="s">
        <v>0</v>
      </c>
      <c r="L1922" s="33"/>
      <c r="M1922" s="33"/>
      <c r="N1922" s="36"/>
      <c r="O1922" s="33">
        <v>3</v>
      </c>
      <c r="P1922" s="33">
        <f>IF(Tabela1[[#This Row],[Status]]="✔️",Tabela1[[#This Row],[Peso]],IF(Tabela1[[#This Row],[Status]]="✔️✔️",Tabela1[[#This Row],[Peso]]/2,0))</f>
        <v>3</v>
      </c>
      <c r="Q192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22" s="33" t="s">
        <v>187</v>
      </c>
      <c r="S1922" s="33" t="s">
        <v>349</v>
      </c>
    </row>
    <row r="1923" spans="8:19" ht="42" customHeight="1" x14ac:dyDescent="0.3">
      <c r="H1923" s="32" t="s">
        <v>76</v>
      </c>
      <c r="I1923" s="33" t="s">
        <v>20</v>
      </c>
      <c r="J1923" s="34" t="s">
        <v>441</v>
      </c>
      <c r="K1923" s="35" t="s">
        <v>0</v>
      </c>
      <c r="L1923" s="33"/>
      <c r="M1923" s="33"/>
      <c r="N1923" s="36"/>
      <c r="O1923" s="33">
        <v>1</v>
      </c>
      <c r="P1923" s="33">
        <f>IF(Tabela1[[#This Row],[Status]]="✔️",Tabela1[[#This Row],[Peso]],IF(Tabela1[[#This Row],[Status]]="✔️✔️",Tabela1[[#This Row],[Peso]]/2,0))</f>
        <v>1</v>
      </c>
      <c r="Q192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923" s="33" t="s">
        <v>187</v>
      </c>
      <c r="S1923" s="33" t="s">
        <v>349</v>
      </c>
    </row>
    <row r="1924" spans="8:19" ht="42" customHeight="1" x14ac:dyDescent="0.3">
      <c r="H1924" s="32" t="s">
        <v>76</v>
      </c>
      <c r="I1924" s="33" t="s">
        <v>22</v>
      </c>
      <c r="J1924" s="34" t="s">
        <v>23</v>
      </c>
      <c r="K1924" s="60" t="s">
        <v>0</v>
      </c>
      <c r="L1924" s="33"/>
      <c r="M1924" s="33"/>
      <c r="N1924" s="36"/>
      <c r="O1924" s="33">
        <v>1</v>
      </c>
      <c r="P1924" s="33">
        <f>IF(Tabela1[[#This Row],[Status]]="✔️",Tabela1[[#This Row],[Peso]],IF(Tabela1[[#This Row],[Status]]="✔️✔️",Tabela1[[#This Row],[Peso]]/2,0))</f>
        <v>1</v>
      </c>
      <c r="Q192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924" s="33" t="s">
        <v>187</v>
      </c>
      <c r="S1924" s="33" t="s">
        <v>349</v>
      </c>
    </row>
    <row r="1925" spans="8:19" ht="42" customHeight="1" x14ac:dyDescent="0.3">
      <c r="H1925" s="32" t="s">
        <v>76</v>
      </c>
      <c r="I1925" s="33" t="s">
        <v>22</v>
      </c>
      <c r="J1925" s="34" t="s">
        <v>468</v>
      </c>
      <c r="K1925" s="60" t="s">
        <v>290</v>
      </c>
      <c r="L1925" s="33"/>
      <c r="M1925" s="33">
        <v>5314</v>
      </c>
      <c r="N1925" s="36"/>
      <c r="O1925" s="33">
        <v>1</v>
      </c>
      <c r="P1925" s="33">
        <f>IF(Tabela1[[#This Row],[Status]]="✔️",Tabela1[[#This Row],[Peso]],IF(Tabela1[[#This Row],[Status]]="✔️✔️",Tabela1[[#This Row],[Peso]]/2,0))</f>
        <v>0</v>
      </c>
      <c r="Q192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925" s="33" t="s">
        <v>187</v>
      </c>
      <c r="S1925" s="33" t="s">
        <v>349</v>
      </c>
    </row>
    <row r="1926" spans="8:19" ht="42" customHeight="1" x14ac:dyDescent="0.3">
      <c r="H1926" s="32" t="s">
        <v>76</v>
      </c>
      <c r="I1926" s="33" t="s">
        <v>25</v>
      </c>
      <c r="J1926" s="34" t="s">
        <v>472</v>
      </c>
      <c r="K1926" s="35" t="s">
        <v>0</v>
      </c>
      <c r="L1926" s="33"/>
      <c r="M1926" s="33"/>
      <c r="N1926" s="36"/>
      <c r="O1926" s="33">
        <v>3</v>
      </c>
      <c r="P1926" s="33">
        <f>IF(Tabela1[[#This Row],[Status]]="✔️",Tabela1[[#This Row],[Peso]],IF(Tabela1[[#This Row],[Status]]="✔️✔️",Tabela1[[#This Row],[Peso]]/2,0))</f>
        <v>3</v>
      </c>
      <c r="Q192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26" s="33" t="s">
        <v>187</v>
      </c>
      <c r="S1926" s="33" t="s">
        <v>349</v>
      </c>
    </row>
    <row r="1927" spans="8:19" ht="42" customHeight="1" x14ac:dyDescent="0.3">
      <c r="H1927" s="32" t="s">
        <v>76</v>
      </c>
      <c r="I1927" s="33" t="s">
        <v>25</v>
      </c>
      <c r="J1927" s="34" t="s">
        <v>320</v>
      </c>
      <c r="K1927" s="35" t="s">
        <v>0</v>
      </c>
      <c r="L1927" s="33"/>
      <c r="M1927" s="33"/>
      <c r="N1927" s="36"/>
      <c r="O1927" s="33">
        <v>3</v>
      </c>
      <c r="P1927" s="33">
        <f>IF(Tabela1[[#This Row],[Status]]="✔️",Tabela1[[#This Row],[Peso]],IF(Tabela1[[#This Row],[Status]]="✔️✔️",Tabela1[[#This Row],[Peso]]/2,0))</f>
        <v>3</v>
      </c>
      <c r="Q192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27" s="33" t="s">
        <v>187</v>
      </c>
      <c r="S1927" s="33" t="s">
        <v>349</v>
      </c>
    </row>
    <row r="1928" spans="8:19" ht="42" customHeight="1" x14ac:dyDescent="0.3">
      <c r="H1928" s="32" t="s">
        <v>76</v>
      </c>
      <c r="I1928" s="33" t="s">
        <v>30</v>
      </c>
      <c r="J1928" s="34" t="s">
        <v>470</v>
      </c>
      <c r="K1928" s="35" t="s">
        <v>0</v>
      </c>
      <c r="L1928" s="33"/>
      <c r="M1928" s="33"/>
      <c r="N1928" s="36"/>
      <c r="O1928" s="33">
        <v>3</v>
      </c>
      <c r="P1928" s="33">
        <f>IF(Tabela1[[#This Row],[Status]]="✔️",Tabela1[[#This Row],[Peso]],IF(Tabela1[[#This Row],[Status]]="✔️✔️",Tabela1[[#This Row],[Peso]]/2,0))</f>
        <v>3</v>
      </c>
      <c r="Q192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28" s="33" t="s">
        <v>187</v>
      </c>
      <c r="S1928" s="33" t="s">
        <v>349</v>
      </c>
    </row>
    <row r="1929" spans="8:19" ht="42" customHeight="1" x14ac:dyDescent="0.3">
      <c r="H1929" s="32" t="s">
        <v>76</v>
      </c>
      <c r="I1929" s="33" t="s">
        <v>25</v>
      </c>
      <c r="J1929" s="34" t="s">
        <v>449</v>
      </c>
      <c r="K1929" s="35" t="s">
        <v>0</v>
      </c>
      <c r="L1929" s="33"/>
      <c r="M1929" s="33"/>
      <c r="N1929" s="36"/>
      <c r="O1929" s="33">
        <v>3</v>
      </c>
      <c r="P1929" s="33">
        <f>IF(Tabela1[[#This Row],[Status]]="✔️",Tabela1[[#This Row],[Peso]],IF(Tabela1[[#This Row],[Status]]="✔️✔️",Tabela1[[#This Row],[Peso]]/2,0))</f>
        <v>3</v>
      </c>
      <c r="Q192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29" s="33" t="s">
        <v>187</v>
      </c>
      <c r="S1929" s="33" t="s">
        <v>349</v>
      </c>
    </row>
    <row r="1930" spans="8:19" ht="42" customHeight="1" x14ac:dyDescent="0.3">
      <c r="H1930" s="32" t="s">
        <v>76</v>
      </c>
      <c r="I1930" s="33" t="s">
        <v>41</v>
      </c>
      <c r="J1930" s="34" t="s">
        <v>442</v>
      </c>
      <c r="K1930" s="35" t="s">
        <v>0</v>
      </c>
      <c r="L1930" s="33"/>
      <c r="M1930" s="33"/>
      <c r="N1930" s="36"/>
      <c r="O1930" s="33">
        <v>3</v>
      </c>
      <c r="P1930" s="33">
        <f>IF(Tabela1[[#This Row],[Status]]="✔️",Tabela1[[#This Row],[Peso]],IF(Tabela1[[#This Row],[Status]]="✔️✔️",Tabela1[[#This Row],[Peso]]/2,0))</f>
        <v>3</v>
      </c>
      <c r="Q193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30" s="33" t="s">
        <v>187</v>
      </c>
      <c r="S1930" s="33" t="s">
        <v>349</v>
      </c>
    </row>
    <row r="1931" spans="8:19" ht="42" customHeight="1" x14ac:dyDescent="0.3">
      <c r="H1931" s="32" t="s">
        <v>76</v>
      </c>
      <c r="I1931" s="53" t="s">
        <v>41</v>
      </c>
      <c r="J1931" s="34" t="s">
        <v>443</v>
      </c>
      <c r="K1931" s="54" t="s">
        <v>0</v>
      </c>
      <c r="L1931" s="53"/>
      <c r="M1931" s="53"/>
      <c r="N1931" s="55"/>
      <c r="O1931" s="53">
        <v>2</v>
      </c>
      <c r="P1931" s="33">
        <f>IF(Tabela1[[#This Row],[Status]]="✔️",Tabela1[[#This Row],[Peso]],IF(Tabela1[[#This Row],[Status]]="✔️✔️",Tabela1[[#This Row],[Peso]]/2,0))</f>
        <v>2</v>
      </c>
      <c r="Q193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931" s="33" t="s">
        <v>187</v>
      </c>
      <c r="S1931" s="33" t="s">
        <v>349</v>
      </c>
    </row>
    <row r="1932" spans="8:19" ht="41.4" x14ac:dyDescent="0.3">
      <c r="H1932" s="16" t="s">
        <v>133</v>
      </c>
      <c r="I1932" s="17" t="s">
        <v>14</v>
      </c>
      <c r="J1932" s="18" t="s">
        <v>15</v>
      </c>
      <c r="K1932" s="19" t="s">
        <v>0</v>
      </c>
      <c r="L1932" s="17"/>
      <c r="M1932" s="17"/>
      <c r="N1932" s="20"/>
      <c r="O1932" s="17">
        <v>3</v>
      </c>
      <c r="P1932" s="33">
        <f>IF(Tabela1[[#This Row],[Status]]="✔️",Tabela1[[#This Row],[Peso]],IF(Tabela1[[#This Row],[Status]]="✔️✔️",Tabela1[[#This Row],[Peso]]/2,0))</f>
        <v>3</v>
      </c>
      <c r="Q193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32" s="33" t="s">
        <v>187</v>
      </c>
      <c r="S1932" s="33" t="s">
        <v>349</v>
      </c>
    </row>
    <row r="1933" spans="8:19" ht="41.4" x14ac:dyDescent="0.3">
      <c r="H1933" s="16" t="s">
        <v>133</v>
      </c>
      <c r="I1933" s="17" t="s">
        <v>14</v>
      </c>
      <c r="J1933" s="18" t="s">
        <v>16</v>
      </c>
      <c r="K1933" s="19" t="s">
        <v>0</v>
      </c>
      <c r="L1933" s="17"/>
      <c r="M1933" s="17"/>
      <c r="N1933" s="20"/>
      <c r="O1933" s="17">
        <v>1</v>
      </c>
      <c r="P1933" s="33">
        <f>IF(Tabela1[[#This Row],[Status]]="✔️",Tabela1[[#This Row],[Peso]],IF(Tabela1[[#This Row],[Status]]="✔️✔️",Tabela1[[#This Row],[Peso]]/2,0))</f>
        <v>1</v>
      </c>
      <c r="Q193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933" s="33" t="s">
        <v>187</v>
      </c>
      <c r="S1933" s="33" t="s">
        <v>349</v>
      </c>
    </row>
    <row r="1934" spans="8:19" ht="41.4" x14ac:dyDescent="0.3">
      <c r="H1934" s="16" t="s">
        <v>133</v>
      </c>
      <c r="I1934" s="17" t="s">
        <v>30</v>
      </c>
      <c r="J1934" s="18" t="s">
        <v>315</v>
      </c>
      <c r="K1934" s="19" t="s">
        <v>0</v>
      </c>
      <c r="L1934" s="17"/>
      <c r="M1934" s="17"/>
      <c r="N1934" s="20"/>
      <c r="O1934" s="17">
        <v>3</v>
      </c>
      <c r="P1934" s="33">
        <f>IF(Tabela1[[#This Row],[Status]]="✔️",Tabela1[[#This Row],[Peso]],IF(Tabela1[[#This Row],[Status]]="✔️✔️",Tabela1[[#This Row],[Peso]]/2,0))</f>
        <v>3</v>
      </c>
      <c r="Q193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34" s="33" t="s">
        <v>187</v>
      </c>
      <c r="S1934" s="33" t="s">
        <v>349</v>
      </c>
    </row>
    <row r="1935" spans="8:19" ht="41.4" x14ac:dyDescent="0.3">
      <c r="H1935" s="16" t="s">
        <v>133</v>
      </c>
      <c r="I1935" s="17" t="s">
        <v>25</v>
      </c>
      <c r="J1935" s="18" t="s">
        <v>312</v>
      </c>
      <c r="K1935" s="19" t="s">
        <v>0</v>
      </c>
      <c r="L1935" s="17"/>
      <c r="M1935" s="17"/>
      <c r="N1935" s="20"/>
      <c r="O1935" s="17">
        <v>3</v>
      </c>
      <c r="P1935" s="33">
        <f>IF(Tabela1[[#This Row],[Status]]="✔️",Tabela1[[#This Row],[Peso]],IF(Tabela1[[#This Row],[Status]]="✔️✔️",Tabela1[[#This Row],[Peso]]/2,0))</f>
        <v>3</v>
      </c>
      <c r="Q193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35" s="33" t="s">
        <v>187</v>
      </c>
      <c r="S1935" s="33" t="s">
        <v>349</v>
      </c>
    </row>
    <row r="1936" spans="8:19" ht="40.799999999999997" customHeight="1" x14ac:dyDescent="0.3">
      <c r="H1936" s="16" t="s">
        <v>133</v>
      </c>
      <c r="I1936" s="17" t="s">
        <v>14</v>
      </c>
      <c r="J1936" s="18" t="s">
        <v>15</v>
      </c>
      <c r="K1936" s="19" t="s">
        <v>0</v>
      </c>
      <c r="L1936" s="17"/>
      <c r="M1936" s="17"/>
      <c r="N1936" s="20"/>
      <c r="O1936" s="17">
        <v>3</v>
      </c>
      <c r="P1936" s="17">
        <v>3</v>
      </c>
      <c r="Q1936" s="17">
        <v>3</v>
      </c>
      <c r="R1936" s="33" t="s">
        <v>127</v>
      </c>
      <c r="S1936" s="33" t="s">
        <v>263</v>
      </c>
    </row>
    <row r="1937" spans="8:19" ht="40.799999999999997" customHeight="1" x14ac:dyDescent="0.3">
      <c r="H1937" s="16" t="s">
        <v>133</v>
      </c>
      <c r="I1937" s="17" t="s">
        <v>14</v>
      </c>
      <c r="J1937" s="18" t="s">
        <v>16</v>
      </c>
      <c r="K1937" s="19" t="s">
        <v>0</v>
      </c>
      <c r="L1937" s="17"/>
      <c r="M1937" s="17"/>
      <c r="N1937" s="20"/>
      <c r="O1937" s="17">
        <v>1</v>
      </c>
      <c r="P1937" s="17">
        <v>1</v>
      </c>
      <c r="Q1937" s="17">
        <v>1</v>
      </c>
      <c r="R1937" s="33" t="s">
        <v>127</v>
      </c>
      <c r="S1937" s="33" t="s">
        <v>263</v>
      </c>
    </row>
    <row r="1938" spans="8:19" ht="40.799999999999997" customHeight="1" x14ac:dyDescent="0.3">
      <c r="H1938" s="16" t="s">
        <v>133</v>
      </c>
      <c r="I1938" s="17" t="s">
        <v>30</v>
      </c>
      <c r="J1938" s="18" t="s">
        <v>315</v>
      </c>
      <c r="K1938" s="19" t="s">
        <v>0</v>
      </c>
      <c r="L1938" s="17"/>
      <c r="M1938" s="17"/>
      <c r="N1938" s="20"/>
      <c r="O1938" s="17">
        <v>3</v>
      </c>
      <c r="P1938" s="17">
        <v>3</v>
      </c>
      <c r="Q1938" s="17">
        <v>3</v>
      </c>
      <c r="R1938" s="33" t="s">
        <v>127</v>
      </c>
      <c r="S1938" s="33" t="s">
        <v>263</v>
      </c>
    </row>
    <row r="1939" spans="8:19" ht="40.799999999999997" customHeight="1" x14ac:dyDescent="0.3">
      <c r="H1939" s="16" t="s">
        <v>133</v>
      </c>
      <c r="I1939" s="17" t="s">
        <v>25</v>
      </c>
      <c r="J1939" s="18" t="s">
        <v>312</v>
      </c>
      <c r="K1939" s="19" t="s">
        <v>290</v>
      </c>
      <c r="L1939" s="17"/>
      <c r="M1939" s="17">
        <v>1283</v>
      </c>
      <c r="N1939" s="20"/>
      <c r="O1939" s="17">
        <v>3</v>
      </c>
      <c r="P1939" s="17">
        <v>3</v>
      </c>
      <c r="Q1939" s="17">
        <v>3</v>
      </c>
      <c r="R1939" s="33" t="s">
        <v>127</v>
      </c>
      <c r="S1939" s="33" t="s">
        <v>263</v>
      </c>
    </row>
    <row r="1940" spans="8:19" ht="39.6" customHeight="1" x14ac:dyDescent="0.3">
      <c r="H1940" s="16" t="s">
        <v>55</v>
      </c>
      <c r="I1940" s="17" t="s">
        <v>14</v>
      </c>
      <c r="J1940" s="18" t="s">
        <v>15</v>
      </c>
      <c r="K1940" s="19" t="s">
        <v>0</v>
      </c>
      <c r="L1940" s="17"/>
      <c r="M1940" s="17"/>
      <c r="N1940" s="20"/>
      <c r="O1940" s="17">
        <v>3</v>
      </c>
      <c r="P1940" s="17">
        <v>3</v>
      </c>
      <c r="Q1940" s="17">
        <v>3</v>
      </c>
      <c r="R1940" s="33" t="s">
        <v>127</v>
      </c>
      <c r="S1940" s="33" t="s">
        <v>263</v>
      </c>
    </row>
    <row r="1941" spans="8:19" ht="39.6" customHeight="1" x14ac:dyDescent="0.3">
      <c r="H1941" s="16" t="s">
        <v>55</v>
      </c>
      <c r="I1941" s="17" t="s">
        <v>14</v>
      </c>
      <c r="J1941" s="18" t="s">
        <v>16</v>
      </c>
      <c r="K1941" s="19" t="s">
        <v>291</v>
      </c>
      <c r="L1941" s="17"/>
      <c r="M1941" s="17">
        <v>3955</v>
      </c>
      <c r="N1941" s="20"/>
      <c r="O1941" s="17">
        <v>1</v>
      </c>
      <c r="P1941" s="17">
        <v>1</v>
      </c>
      <c r="Q1941" s="17">
        <v>1</v>
      </c>
      <c r="R1941" s="33" t="s">
        <v>127</v>
      </c>
      <c r="S1941" s="33" t="s">
        <v>263</v>
      </c>
    </row>
    <row r="1942" spans="8:19" ht="39.6" customHeight="1" x14ac:dyDescent="0.3">
      <c r="H1942" s="16" t="s">
        <v>55</v>
      </c>
      <c r="I1942" s="17" t="s">
        <v>30</v>
      </c>
      <c r="J1942" s="18" t="s">
        <v>315</v>
      </c>
      <c r="K1942" s="19" t="s">
        <v>0</v>
      </c>
      <c r="L1942" s="17"/>
      <c r="M1942" s="17"/>
      <c r="N1942" s="20"/>
      <c r="O1942" s="17">
        <v>3</v>
      </c>
      <c r="P1942" s="17">
        <v>3</v>
      </c>
      <c r="Q1942" s="17">
        <v>3</v>
      </c>
      <c r="R1942" s="33" t="s">
        <v>127</v>
      </c>
      <c r="S1942" s="33" t="s">
        <v>263</v>
      </c>
    </row>
    <row r="1943" spans="8:19" ht="39.6" customHeight="1" x14ac:dyDescent="0.3">
      <c r="H1943" s="16" t="s">
        <v>55</v>
      </c>
      <c r="I1943" s="17" t="s">
        <v>25</v>
      </c>
      <c r="J1943" s="18" t="s">
        <v>312</v>
      </c>
      <c r="K1943" s="19" t="s">
        <v>0</v>
      </c>
      <c r="L1943" s="17"/>
      <c r="M1943" s="17"/>
      <c r="N1943" s="20"/>
      <c r="O1943" s="17">
        <v>3</v>
      </c>
      <c r="P1943" s="17">
        <v>3</v>
      </c>
      <c r="Q1943" s="17">
        <v>3</v>
      </c>
      <c r="R1943" s="33" t="s">
        <v>127</v>
      </c>
      <c r="S1943" s="33" t="s">
        <v>263</v>
      </c>
    </row>
    <row r="1944" spans="8:19" ht="55.8" customHeight="1" x14ac:dyDescent="0.3">
      <c r="H1944" s="17" t="s">
        <v>133</v>
      </c>
      <c r="I1944" s="17" t="s">
        <v>14</v>
      </c>
      <c r="J1944" s="18" t="s">
        <v>15</v>
      </c>
      <c r="K1944" s="19"/>
      <c r="L1944" s="17"/>
      <c r="M1944" s="17"/>
      <c r="N1944" s="20"/>
      <c r="O1944" s="17">
        <v>3</v>
      </c>
      <c r="P1944" s="17">
        <v>3</v>
      </c>
      <c r="Q1944" s="17">
        <v>3</v>
      </c>
      <c r="R1944" s="33" t="s">
        <v>127</v>
      </c>
      <c r="S1944" s="33" t="s">
        <v>263</v>
      </c>
    </row>
    <row r="1945" spans="8:19" ht="55.8" customHeight="1" x14ac:dyDescent="0.3">
      <c r="H1945" s="17" t="s">
        <v>133</v>
      </c>
      <c r="I1945" s="17" t="s">
        <v>14</v>
      </c>
      <c r="J1945" s="18" t="s">
        <v>16</v>
      </c>
      <c r="K1945" s="19"/>
      <c r="L1945" s="17"/>
      <c r="M1945" s="17"/>
      <c r="N1945" s="20"/>
      <c r="O1945" s="17">
        <v>1</v>
      </c>
      <c r="P1945" s="17">
        <v>0</v>
      </c>
      <c r="Q1945" s="17">
        <v>1</v>
      </c>
      <c r="R1945" s="33" t="s">
        <v>127</v>
      </c>
      <c r="S1945" s="33" t="s">
        <v>263</v>
      </c>
    </row>
    <row r="1946" spans="8:19" ht="30.6" customHeight="1" x14ac:dyDescent="0.3">
      <c r="H1946" s="32"/>
      <c r="I1946" s="33"/>
      <c r="J1946" s="34"/>
      <c r="K1946" s="59"/>
      <c r="L1946" s="33"/>
      <c r="M1946" s="33"/>
      <c r="N1946" s="36"/>
      <c r="O1946" s="33"/>
      <c r="P1946" s="33"/>
      <c r="Q1946" s="33"/>
      <c r="R1946" s="33"/>
      <c r="S1946" s="37"/>
    </row>
    <row r="1947" spans="8:19" ht="55.8" customHeight="1" x14ac:dyDescent="0.3">
      <c r="H1947" s="33" t="s">
        <v>9</v>
      </c>
      <c r="I1947" s="33" t="s">
        <v>14</v>
      </c>
      <c r="J1947" s="34" t="s">
        <v>15</v>
      </c>
      <c r="K1947" s="60" t="s">
        <v>0</v>
      </c>
      <c r="L1947" s="33"/>
      <c r="M1947" s="33"/>
      <c r="N1947" s="36"/>
      <c r="O1947" s="33">
        <v>3</v>
      </c>
      <c r="P1947" s="33">
        <v>3</v>
      </c>
      <c r="Q1947" s="33">
        <v>3</v>
      </c>
      <c r="R1947" s="33" t="s">
        <v>130</v>
      </c>
      <c r="S1947" s="33" t="s">
        <v>349</v>
      </c>
    </row>
    <row r="1948" spans="8:19" ht="55.8" customHeight="1" x14ac:dyDescent="0.3">
      <c r="H1948" s="33" t="s">
        <v>9</v>
      </c>
      <c r="I1948" s="33" t="s">
        <v>14</v>
      </c>
      <c r="J1948" s="34" t="s">
        <v>16</v>
      </c>
      <c r="K1948" s="60" t="s">
        <v>291</v>
      </c>
      <c r="L1948" s="33"/>
      <c r="M1948" s="33"/>
      <c r="N1948" s="36"/>
      <c r="O1948" s="33">
        <v>1</v>
      </c>
      <c r="P1948" s="33">
        <v>0</v>
      </c>
      <c r="Q1948" s="50">
        <v>0.5</v>
      </c>
      <c r="R1948" s="33" t="s">
        <v>130</v>
      </c>
      <c r="S1948" s="33" t="s">
        <v>349</v>
      </c>
    </row>
    <row r="1949" spans="8:19" ht="55.8" customHeight="1" x14ac:dyDescent="0.3">
      <c r="H1949" s="33" t="s">
        <v>9</v>
      </c>
      <c r="I1949" s="33" t="s">
        <v>10</v>
      </c>
      <c r="J1949" s="34" t="s">
        <v>11</v>
      </c>
      <c r="K1949" s="60" t="s">
        <v>0</v>
      </c>
      <c r="L1949" s="33"/>
      <c r="M1949" s="33"/>
      <c r="N1949" s="36"/>
      <c r="O1949" s="33">
        <v>3</v>
      </c>
      <c r="P1949" s="33">
        <v>3</v>
      </c>
      <c r="Q1949" s="33">
        <v>3</v>
      </c>
      <c r="R1949" s="33" t="s">
        <v>130</v>
      </c>
      <c r="S1949" s="33" t="s">
        <v>349</v>
      </c>
    </row>
    <row r="1950" spans="8:19" ht="55.8" customHeight="1" x14ac:dyDescent="0.3">
      <c r="H1950" s="33" t="s">
        <v>9</v>
      </c>
      <c r="I1950" s="33" t="s">
        <v>10</v>
      </c>
      <c r="J1950" s="34" t="s">
        <v>316</v>
      </c>
      <c r="K1950" s="60" t="s">
        <v>0</v>
      </c>
      <c r="L1950" s="33"/>
      <c r="M1950" s="33"/>
      <c r="N1950" s="36"/>
      <c r="O1950" s="33">
        <v>3</v>
      </c>
      <c r="P1950" s="33">
        <v>3</v>
      </c>
      <c r="Q1950" s="33">
        <v>3</v>
      </c>
      <c r="R1950" s="33" t="s">
        <v>130</v>
      </c>
      <c r="S1950" s="33" t="s">
        <v>349</v>
      </c>
    </row>
    <row r="1951" spans="8:19" ht="55.8" customHeight="1" x14ac:dyDescent="0.3">
      <c r="H1951" s="33" t="s">
        <v>9</v>
      </c>
      <c r="I1951" s="33" t="s">
        <v>10</v>
      </c>
      <c r="J1951" s="34" t="s">
        <v>444</v>
      </c>
      <c r="K1951" s="60" t="s">
        <v>0</v>
      </c>
      <c r="L1951" s="33"/>
      <c r="M1951" s="33"/>
      <c r="N1951" s="36"/>
      <c r="O1951" s="33">
        <v>3</v>
      </c>
      <c r="P1951" s="33">
        <v>3</v>
      </c>
      <c r="Q1951" s="33">
        <v>3</v>
      </c>
      <c r="R1951" s="33" t="s">
        <v>130</v>
      </c>
      <c r="S1951" s="33" t="s">
        <v>349</v>
      </c>
    </row>
    <row r="1952" spans="8:19" ht="55.8" customHeight="1" x14ac:dyDescent="0.3">
      <c r="H1952" s="33" t="s">
        <v>9</v>
      </c>
      <c r="I1952" s="33" t="s">
        <v>10</v>
      </c>
      <c r="J1952" s="34" t="s">
        <v>440</v>
      </c>
      <c r="K1952" s="60" t="s">
        <v>0</v>
      </c>
      <c r="L1952" s="33"/>
      <c r="M1952" s="33"/>
      <c r="N1952" s="36"/>
      <c r="O1952" s="33">
        <v>3</v>
      </c>
      <c r="P1952" s="33">
        <v>3</v>
      </c>
      <c r="Q1952" s="33">
        <v>3</v>
      </c>
      <c r="R1952" s="33" t="s">
        <v>130</v>
      </c>
      <c r="S1952" s="33" t="s">
        <v>349</v>
      </c>
    </row>
    <row r="1953" spans="8:19" ht="55.8" customHeight="1" x14ac:dyDescent="0.3">
      <c r="H1953" s="33" t="s">
        <v>9</v>
      </c>
      <c r="I1953" s="33" t="s">
        <v>10</v>
      </c>
      <c r="J1953" s="68" t="s">
        <v>393</v>
      </c>
      <c r="K1953" s="63" t="s">
        <v>0</v>
      </c>
      <c r="L1953" s="61"/>
      <c r="M1953" s="61"/>
      <c r="N1953" s="64"/>
      <c r="O1953" s="33">
        <v>2</v>
      </c>
      <c r="P1953" s="33">
        <v>2</v>
      </c>
      <c r="Q1953" s="33">
        <v>2</v>
      </c>
      <c r="R1953" s="33" t="s">
        <v>130</v>
      </c>
      <c r="S1953" s="33" t="s">
        <v>349</v>
      </c>
    </row>
    <row r="1954" spans="8:19" ht="55.8" customHeight="1" x14ac:dyDescent="0.3">
      <c r="H1954" s="33" t="s">
        <v>9</v>
      </c>
      <c r="I1954" s="33" t="s">
        <v>12</v>
      </c>
      <c r="J1954" s="68" t="s">
        <v>467</v>
      </c>
      <c r="K1954" s="60" t="s">
        <v>0</v>
      </c>
      <c r="L1954" s="33"/>
      <c r="M1954" s="33"/>
      <c r="N1954" s="36"/>
      <c r="O1954" s="33">
        <v>2</v>
      </c>
      <c r="P1954" s="33">
        <v>2</v>
      </c>
      <c r="Q1954" s="33">
        <v>2</v>
      </c>
      <c r="R1954" s="33" t="s">
        <v>130</v>
      </c>
      <c r="S1954" s="33" t="s">
        <v>349</v>
      </c>
    </row>
    <row r="1955" spans="8:19" ht="55.8" customHeight="1" x14ac:dyDescent="0.3">
      <c r="H1955" s="33" t="s">
        <v>9</v>
      </c>
      <c r="I1955" s="33" t="s">
        <v>17</v>
      </c>
      <c r="J1955" s="34" t="s">
        <v>325</v>
      </c>
      <c r="K1955" s="60" t="s">
        <v>0</v>
      </c>
      <c r="L1955" s="33"/>
      <c r="M1955" s="33"/>
      <c r="N1955" s="36"/>
      <c r="O1955" s="33">
        <v>3</v>
      </c>
      <c r="P1955" s="33">
        <v>3</v>
      </c>
      <c r="Q1955" s="33">
        <v>3</v>
      </c>
      <c r="R1955" s="33" t="s">
        <v>130</v>
      </c>
      <c r="S1955" s="33" t="s">
        <v>349</v>
      </c>
    </row>
    <row r="1956" spans="8:19" ht="55.8" customHeight="1" x14ac:dyDescent="0.3">
      <c r="H1956" s="33" t="s">
        <v>9</v>
      </c>
      <c r="I1956" s="33" t="s">
        <v>17</v>
      </c>
      <c r="J1956" s="34" t="s">
        <v>19</v>
      </c>
      <c r="K1956" s="60" t="s">
        <v>0</v>
      </c>
      <c r="L1956" s="33"/>
      <c r="M1956" s="33"/>
      <c r="N1956" s="36"/>
      <c r="O1956" s="33">
        <v>3</v>
      </c>
      <c r="P1956" s="33">
        <v>3</v>
      </c>
      <c r="Q1956" s="33">
        <v>3</v>
      </c>
      <c r="R1956" s="33" t="s">
        <v>130</v>
      </c>
      <c r="S1956" s="33" t="s">
        <v>349</v>
      </c>
    </row>
    <row r="1957" spans="8:19" ht="55.8" customHeight="1" x14ac:dyDescent="0.3">
      <c r="H1957" s="33" t="s">
        <v>9</v>
      </c>
      <c r="I1957" s="33" t="s">
        <v>20</v>
      </c>
      <c r="J1957" s="34" t="s">
        <v>21</v>
      </c>
      <c r="K1957" s="60" t="s">
        <v>0</v>
      </c>
      <c r="L1957" s="33"/>
      <c r="M1957" s="33"/>
      <c r="N1957" s="36"/>
      <c r="O1957" s="33">
        <v>3</v>
      </c>
      <c r="P1957" s="33">
        <v>0</v>
      </c>
      <c r="Q1957" s="33">
        <v>1.5</v>
      </c>
      <c r="R1957" s="33" t="s">
        <v>130</v>
      </c>
      <c r="S1957" s="33" t="s">
        <v>349</v>
      </c>
    </row>
    <row r="1958" spans="8:19" ht="55.8" customHeight="1" x14ac:dyDescent="0.3">
      <c r="H1958" s="33" t="s">
        <v>9</v>
      </c>
      <c r="I1958" s="33" t="s">
        <v>20</v>
      </c>
      <c r="J1958" s="34" t="s">
        <v>441</v>
      </c>
      <c r="K1958" s="60" t="s">
        <v>0</v>
      </c>
      <c r="L1958" s="33"/>
      <c r="M1958" s="33"/>
      <c r="N1958" s="36"/>
      <c r="O1958" s="33">
        <v>1</v>
      </c>
      <c r="P1958" s="33">
        <v>1</v>
      </c>
      <c r="Q1958" s="33">
        <v>1</v>
      </c>
      <c r="R1958" s="33" t="s">
        <v>130</v>
      </c>
      <c r="S1958" s="33" t="s">
        <v>349</v>
      </c>
    </row>
    <row r="1959" spans="8:19" ht="55.8" customHeight="1" x14ac:dyDescent="0.3">
      <c r="H1959" s="33" t="s">
        <v>9</v>
      </c>
      <c r="I1959" s="33" t="s">
        <v>22</v>
      </c>
      <c r="J1959" s="34" t="s">
        <v>23</v>
      </c>
      <c r="K1959" s="60"/>
      <c r="L1959" s="33"/>
      <c r="M1959" s="33"/>
      <c r="N1959" s="36"/>
      <c r="O1959" s="33">
        <v>1</v>
      </c>
      <c r="P1959" s="33">
        <v>1</v>
      </c>
      <c r="Q1959" s="33">
        <v>1</v>
      </c>
      <c r="R1959" s="33" t="s">
        <v>130</v>
      </c>
      <c r="S1959" s="33" t="s">
        <v>349</v>
      </c>
    </row>
    <row r="1960" spans="8:19" ht="55.8" customHeight="1" x14ac:dyDescent="0.3">
      <c r="H1960" s="33" t="s">
        <v>9</v>
      </c>
      <c r="I1960" s="33" t="s">
        <v>22</v>
      </c>
      <c r="J1960" s="34" t="s">
        <v>468</v>
      </c>
      <c r="K1960" s="60" t="s">
        <v>0</v>
      </c>
      <c r="L1960" s="33"/>
      <c r="M1960" s="33"/>
      <c r="N1960" s="36"/>
      <c r="O1960" s="33">
        <v>1</v>
      </c>
      <c r="P1960" s="33">
        <v>1</v>
      </c>
      <c r="Q1960" s="33">
        <v>1</v>
      </c>
      <c r="R1960" s="33" t="s">
        <v>130</v>
      </c>
      <c r="S1960" s="33" t="s">
        <v>349</v>
      </c>
    </row>
    <row r="1961" spans="8:19" ht="55.8" customHeight="1" x14ac:dyDescent="0.3">
      <c r="H1961" s="33" t="s">
        <v>9</v>
      </c>
      <c r="I1961" s="33" t="s">
        <v>25</v>
      </c>
      <c r="J1961" s="34" t="s">
        <v>469</v>
      </c>
      <c r="K1961" s="60"/>
      <c r="L1961" s="33"/>
      <c r="M1961" s="33"/>
      <c r="N1961" s="36"/>
      <c r="O1961" s="33">
        <v>3</v>
      </c>
      <c r="P1961" s="33">
        <v>3</v>
      </c>
      <c r="Q1961" s="33">
        <v>3</v>
      </c>
      <c r="R1961" s="33" t="s">
        <v>130</v>
      </c>
      <c r="S1961" s="33" t="s">
        <v>349</v>
      </c>
    </row>
    <row r="1962" spans="8:19" ht="55.8" customHeight="1" x14ac:dyDescent="0.3">
      <c r="H1962" s="33" t="s">
        <v>9</v>
      </c>
      <c r="I1962" s="33" t="s">
        <v>25</v>
      </c>
      <c r="J1962" s="34" t="s">
        <v>29</v>
      </c>
      <c r="K1962" s="60"/>
      <c r="L1962" s="33"/>
      <c r="M1962" s="33"/>
      <c r="N1962" s="36"/>
      <c r="O1962" s="33">
        <v>3</v>
      </c>
      <c r="P1962" s="33">
        <v>3</v>
      </c>
      <c r="Q1962" s="33">
        <v>3</v>
      </c>
      <c r="R1962" s="33" t="s">
        <v>130</v>
      </c>
      <c r="S1962" s="33" t="s">
        <v>349</v>
      </c>
    </row>
    <row r="1963" spans="8:19" ht="55.8" customHeight="1" x14ac:dyDescent="0.3">
      <c r="H1963" s="33" t="s">
        <v>9</v>
      </c>
      <c r="I1963" s="33" t="s">
        <v>31</v>
      </c>
      <c r="J1963" s="34" t="s">
        <v>32</v>
      </c>
      <c r="K1963" s="60"/>
      <c r="L1963" s="33"/>
      <c r="M1963" s="33"/>
      <c r="N1963" s="36"/>
      <c r="O1963" s="33">
        <v>3</v>
      </c>
      <c r="P1963" s="33">
        <v>0</v>
      </c>
      <c r="Q1963" s="33">
        <v>1.5</v>
      </c>
      <c r="R1963" s="33" t="s">
        <v>130</v>
      </c>
      <c r="S1963" s="33" t="s">
        <v>349</v>
      </c>
    </row>
    <row r="1964" spans="8:19" ht="55.8" customHeight="1" x14ac:dyDescent="0.3">
      <c r="H1964" s="33" t="s">
        <v>9</v>
      </c>
      <c r="I1964" s="33" t="s">
        <v>30</v>
      </c>
      <c r="J1964" s="34" t="s">
        <v>470</v>
      </c>
      <c r="K1964" s="60" t="s">
        <v>0</v>
      </c>
      <c r="L1964" s="33"/>
      <c r="M1964" s="33"/>
      <c r="N1964" s="36"/>
      <c r="O1964" s="33">
        <v>3</v>
      </c>
      <c r="P1964" s="33">
        <v>3</v>
      </c>
      <c r="Q1964" s="33">
        <v>3</v>
      </c>
      <c r="R1964" s="33" t="s">
        <v>130</v>
      </c>
      <c r="S1964" s="33" t="s">
        <v>349</v>
      </c>
    </row>
    <row r="1965" spans="8:19" ht="55.8" customHeight="1" x14ac:dyDescent="0.3">
      <c r="H1965" s="33" t="s">
        <v>9</v>
      </c>
      <c r="I1965" s="33" t="s">
        <v>33</v>
      </c>
      <c r="J1965" s="34" t="s">
        <v>131</v>
      </c>
      <c r="K1965" s="60" t="s">
        <v>0</v>
      </c>
      <c r="L1965" s="33"/>
      <c r="M1965" s="33"/>
      <c r="N1965" s="36"/>
      <c r="O1965" s="33">
        <v>3</v>
      </c>
      <c r="P1965" s="33">
        <v>3</v>
      </c>
      <c r="Q1965" s="33">
        <v>3</v>
      </c>
      <c r="R1965" s="33" t="s">
        <v>130</v>
      </c>
      <c r="S1965" s="33" t="s">
        <v>349</v>
      </c>
    </row>
    <row r="1966" spans="8:19" ht="27.6" x14ac:dyDescent="0.3">
      <c r="H1966" s="33" t="s">
        <v>9</v>
      </c>
      <c r="I1966" s="33" t="s">
        <v>33</v>
      </c>
      <c r="J1966" s="34" t="s">
        <v>326</v>
      </c>
      <c r="K1966" s="60" t="s">
        <v>0</v>
      </c>
      <c r="L1966" s="33"/>
      <c r="M1966" s="33"/>
      <c r="N1966" s="36"/>
      <c r="O1966" s="33">
        <v>3</v>
      </c>
      <c r="P1966" s="33">
        <v>3</v>
      </c>
      <c r="Q1966" s="33">
        <v>3</v>
      </c>
      <c r="R1966" s="33" t="s">
        <v>130</v>
      </c>
      <c r="S1966" s="33" t="s">
        <v>349</v>
      </c>
    </row>
    <row r="1967" spans="8:19" ht="27.6" x14ac:dyDescent="0.3">
      <c r="H1967" s="33" t="s">
        <v>9</v>
      </c>
      <c r="I1967" s="33" t="s">
        <v>33</v>
      </c>
      <c r="J1967" s="34" t="s">
        <v>446</v>
      </c>
      <c r="K1967" s="60" t="s">
        <v>290</v>
      </c>
      <c r="L1967" s="33"/>
      <c r="M1967" s="33"/>
      <c r="N1967" s="36"/>
      <c r="O1967" s="33">
        <v>3</v>
      </c>
      <c r="P1967" s="33">
        <v>0</v>
      </c>
      <c r="Q1967" s="33">
        <v>1.5</v>
      </c>
      <c r="R1967" s="33" t="s">
        <v>130</v>
      </c>
      <c r="S1967" s="33" t="s">
        <v>349</v>
      </c>
    </row>
    <row r="1968" spans="8:19" ht="82.8" x14ac:dyDescent="0.3">
      <c r="H1968" s="33" t="s">
        <v>9</v>
      </c>
      <c r="I1968" s="33" t="s">
        <v>33</v>
      </c>
      <c r="J1968" s="65" t="s">
        <v>36</v>
      </c>
      <c r="K1968" s="60" t="s">
        <v>290</v>
      </c>
      <c r="L1968" s="33"/>
      <c r="M1968" s="33"/>
      <c r="N1968" s="36"/>
      <c r="O1968" s="33">
        <v>3</v>
      </c>
      <c r="P1968" s="33">
        <v>0</v>
      </c>
      <c r="Q1968" s="33">
        <v>3</v>
      </c>
      <c r="R1968" s="33" t="s">
        <v>130</v>
      </c>
      <c r="S1968" s="33" t="s">
        <v>349</v>
      </c>
    </row>
    <row r="1969" spans="8:19" ht="27.6" x14ac:dyDescent="0.3">
      <c r="H1969" s="33" t="s">
        <v>9</v>
      </c>
      <c r="I1969" s="33" t="s">
        <v>33</v>
      </c>
      <c r="J1969" s="34" t="s">
        <v>37</v>
      </c>
      <c r="K1969" s="60"/>
      <c r="L1969" s="33"/>
      <c r="M1969" s="33"/>
      <c r="N1969" s="36"/>
      <c r="O1969" s="33">
        <v>3</v>
      </c>
      <c r="P1969" s="33">
        <v>0</v>
      </c>
      <c r="Q1969" s="33">
        <v>3</v>
      </c>
      <c r="R1969" s="33" t="s">
        <v>130</v>
      </c>
      <c r="S1969" s="33" t="s">
        <v>349</v>
      </c>
    </row>
    <row r="1970" spans="8:19" ht="27.6" x14ac:dyDescent="0.3">
      <c r="H1970" s="33" t="s">
        <v>9</v>
      </c>
      <c r="I1970" s="33" t="s">
        <v>38</v>
      </c>
      <c r="J1970" s="34" t="s">
        <v>327</v>
      </c>
      <c r="K1970" s="60"/>
      <c r="L1970" s="33"/>
      <c r="M1970" s="33"/>
      <c r="N1970" s="36"/>
      <c r="O1970" s="33">
        <v>3</v>
      </c>
      <c r="P1970" s="33">
        <v>3</v>
      </c>
      <c r="Q1970" s="33">
        <v>3</v>
      </c>
      <c r="R1970" s="33" t="s">
        <v>130</v>
      </c>
      <c r="S1970" s="33" t="s">
        <v>349</v>
      </c>
    </row>
    <row r="1971" spans="8:19" ht="69" x14ac:dyDescent="0.3">
      <c r="H1971" s="33" t="s">
        <v>9</v>
      </c>
      <c r="I1971" s="33" t="s">
        <v>38</v>
      </c>
      <c r="J1971" s="65" t="s">
        <v>40</v>
      </c>
      <c r="K1971" s="60"/>
      <c r="L1971" s="33"/>
      <c r="M1971" s="33"/>
      <c r="N1971" s="36"/>
      <c r="O1971" s="33">
        <v>3</v>
      </c>
      <c r="P1971" s="33">
        <v>3</v>
      </c>
      <c r="Q1971" s="33">
        <v>3</v>
      </c>
      <c r="R1971" s="33" t="s">
        <v>130</v>
      </c>
      <c r="S1971" s="33" t="s">
        <v>349</v>
      </c>
    </row>
    <row r="1972" spans="8:19" ht="41.4" x14ac:dyDescent="0.3">
      <c r="H1972" s="33" t="s">
        <v>9</v>
      </c>
      <c r="I1972" s="33" t="s">
        <v>41</v>
      </c>
      <c r="J1972" s="34" t="s">
        <v>442</v>
      </c>
      <c r="K1972" s="60" t="s">
        <v>291</v>
      </c>
      <c r="L1972" s="33"/>
      <c r="M1972" s="33">
        <v>3184</v>
      </c>
      <c r="N1972" s="36"/>
      <c r="O1972" s="33">
        <v>3</v>
      </c>
      <c r="P1972" s="33">
        <v>0</v>
      </c>
      <c r="Q1972" s="33">
        <v>1.5</v>
      </c>
      <c r="R1972" s="33" t="s">
        <v>130</v>
      </c>
      <c r="S1972" s="33" t="s">
        <v>349</v>
      </c>
    </row>
    <row r="1973" spans="8:19" ht="41.4" x14ac:dyDescent="0.3">
      <c r="H1973" s="33" t="s">
        <v>9</v>
      </c>
      <c r="I1973" s="33" t="s">
        <v>41</v>
      </c>
      <c r="J1973" s="34" t="s">
        <v>443</v>
      </c>
      <c r="K1973" s="60" t="s">
        <v>291</v>
      </c>
      <c r="L1973" s="33"/>
      <c r="M1973" s="33">
        <v>3184</v>
      </c>
      <c r="N1973" s="36"/>
      <c r="O1973" s="33">
        <v>2</v>
      </c>
      <c r="P1973" s="33">
        <v>0</v>
      </c>
      <c r="Q1973" s="33">
        <v>2</v>
      </c>
      <c r="R1973" s="33" t="s">
        <v>130</v>
      </c>
      <c r="S1973" s="33" t="s">
        <v>349</v>
      </c>
    </row>
    <row r="1974" spans="8:19" ht="27.6" x14ac:dyDescent="0.3">
      <c r="H1974" s="32" t="s">
        <v>50</v>
      </c>
      <c r="I1974" s="33" t="s">
        <v>14</v>
      </c>
      <c r="J1974" s="34" t="s">
        <v>15</v>
      </c>
      <c r="K1974" s="35" t="s">
        <v>0</v>
      </c>
      <c r="L1974" s="33"/>
      <c r="M1974" s="33"/>
      <c r="N1974" s="36"/>
      <c r="O1974" s="33">
        <v>3</v>
      </c>
      <c r="P1974" s="33">
        <v>3</v>
      </c>
      <c r="Q1974" s="33">
        <v>3</v>
      </c>
      <c r="R1974" s="33" t="s">
        <v>130</v>
      </c>
      <c r="S1974" s="33" t="s">
        <v>263</v>
      </c>
    </row>
    <row r="1975" spans="8:19" ht="27.6" x14ac:dyDescent="0.3">
      <c r="H1975" s="32" t="s">
        <v>50</v>
      </c>
      <c r="I1975" s="33" t="s">
        <v>14</v>
      </c>
      <c r="J1975" s="34" t="s">
        <v>16</v>
      </c>
      <c r="K1975" s="35" t="s">
        <v>0</v>
      </c>
      <c r="L1975" s="33"/>
      <c r="M1975" s="33"/>
      <c r="N1975" s="36"/>
      <c r="O1975" s="33">
        <v>1</v>
      </c>
      <c r="P1975" s="33">
        <v>1</v>
      </c>
      <c r="Q1975" s="33">
        <v>1</v>
      </c>
      <c r="R1975" s="33" t="s">
        <v>130</v>
      </c>
      <c r="S1975" s="33" t="s">
        <v>263</v>
      </c>
    </row>
    <row r="1976" spans="8:19" ht="27.6" x14ac:dyDescent="0.3">
      <c r="H1976" s="32" t="s">
        <v>50</v>
      </c>
      <c r="I1976" s="33" t="s">
        <v>10</v>
      </c>
      <c r="J1976" s="34" t="s">
        <v>11</v>
      </c>
      <c r="K1976" s="35" t="s">
        <v>0</v>
      </c>
      <c r="L1976" s="33"/>
      <c r="M1976" s="33"/>
      <c r="N1976" s="36"/>
      <c r="O1976" s="33">
        <v>3</v>
      </c>
      <c r="P1976" s="33">
        <v>0</v>
      </c>
      <c r="Q1976" s="33">
        <v>3</v>
      </c>
      <c r="R1976" s="33" t="s">
        <v>130</v>
      </c>
      <c r="S1976" s="33" t="s">
        <v>263</v>
      </c>
    </row>
    <row r="1977" spans="8:19" ht="27.6" x14ac:dyDescent="0.3">
      <c r="H1977" s="32" t="s">
        <v>50</v>
      </c>
      <c r="I1977" s="33" t="s">
        <v>10</v>
      </c>
      <c r="J1977" s="34" t="s">
        <v>316</v>
      </c>
      <c r="K1977" s="35" t="s">
        <v>0</v>
      </c>
      <c r="L1977" s="33"/>
      <c r="M1977" s="33"/>
      <c r="N1977" s="36"/>
      <c r="O1977" s="33">
        <v>3</v>
      </c>
      <c r="P1977" s="33">
        <v>3</v>
      </c>
      <c r="Q1977" s="33">
        <v>3</v>
      </c>
      <c r="R1977" s="33" t="s">
        <v>130</v>
      </c>
      <c r="S1977" s="33" t="s">
        <v>263</v>
      </c>
    </row>
    <row r="1978" spans="8:19" ht="27.6" x14ac:dyDescent="0.3">
      <c r="H1978" s="32" t="s">
        <v>50</v>
      </c>
      <c r="I1978" s="33" t="s">
        <v>10</v>
      </c>
      <c r="J1978" s="34" t="s">
        <v>444</v>
      </c>
      <c r="K1978" s="35" t="s">
        <v>0</v>
      </c>
      <c r="L1978" s="33"/>
      <c r="M1978" s="33"/>
      <c r="N1978" s="36"/>
      <c r="O1978" s="33">
        <v>3</v>
      </c>
      <c r="P1978" s="33">
        <v>0</v>
      </c>
      <c r="Q1978" s="33">
        <v>3</v>
      </c>
      <c r="R1978" s="33" t="s">
        <v>130</v>
      </c>
      <c r="S1978" s="33" t="s">
        <v>263</v>
      </c>
    </row>
    <row r="1979" spans="8:19" ht="27.6" x14ac:dyDescent="0.3">
      <c r="H1979" s="32" t="s">
        <v>50</v>
      </c>
      <c r="I1979" s="33" t="s">
        <v>10</v>
      </c>
      <c r="J1979" s="34" t="s">
        <v>393</v>
      </c>
      <c r="K1979" s="60" t="s">
        <v>0</v>
      </c>
      <c r="L1979" s="33"/>
      <c r="M1979" s="33"/>
      <c r="N1979" s="36"/>
      <c r="O1979" s="33">
        <v>2</v>
      </c>
      <c r="P1979" s="33">
        <v>2</v>
      </c>
      <c r="Q1979" s="33">
        <v>2</v>
      </c>
      <c r="R1979" s="33" t="s">
        <v>130</v>
      </c>
      <c r="S1979" s="33" t="s">
        <v>263</v>
      </c>
    </row>
    <row r="1980" spans="8:19" ht="27.6" x14ac:dyDescent="0.3">
      <c r="H1980" s="32" t="s">
        <v>50</v>
      </c>
      <c r="I1980" s="33" t="s">
        <v>10</v>
      </c>
      <c r="J1980" s="34" t="s">
        <v>440</v>
      </c>
      <c r="K1980" s="35" t="s">
        <v>0</v>
      </c>
      <c r="L1980" s="33"/>
      <c r="M1980" s="33"/>
      <c r="N1980" s="36"/>
      <c r="O1980" s="33">
        <v>3</v>
      </c>
      <c r="P1980" s="33">
        <v>3</v>
      </c>
      <c r="Q1980" s="33">
        <v>3</v>
      </c>
      <c r="R1980" s="33" t="s">
        <v>130</v>
      </c>
      <c r="S1980" s="33" t="s">
        <v>263</v>
      </c>
    </row>
    <row r="1981" spans="8:19" ht="27.6" x14ac:dyDescent="0.3">
      <c r="H1981" s="32" t="s">
        <v>50</v>
      </c>
      <c r="I1981" s="33" t="s">
        <v>12</v>
      </c>
      <c r="J1981" s="34" t="s">
        <v>13</v>
      </c>
      <c r="K1981" s="35" t="s">
        <v>290</v>
      </c>
      <c r="L1981" s="33" t="s">
        <v>415</v>
      </c>
      <c r="M1981" s="33"/>
      <c r="N1981" s="36"/>
      <c r="O1981" s="33">
        <v>2</v>
      </c>
      <c r="P1981" s="33">
        <v>0</v>
      </c>
      <c r="Q1981" s="33">
        <v>2</v>
      </c>
      <c r="R1981" s="33" t="s">
        <v>130</v>
      </c>
      <c r="S1981" s="33" t="s">
        <v>263</v>
      </c>
    </row>
    <row r="1982" spans="8:19" ht="27.6" x14ac:dyDescent="0.3">
      <c r="H1982" s="32" t="s">
        <v>50</v>
      </c>
      <c r="I1982" s="33" t="s">
        <v>17</v>
      </c>
      <c r="J1982" s="34" t="s">
        <v>18</v>
      </c>
      <c r="K1982" s="35" t="s">
        <v>0</v>
      </c>
      <c r="L1982" s="33"/>
      <c r="M1982" s="33"/>
      <c r="N1982" s="36"/>
      <c r="O1982" s="33">
        <v>3</v>
      </c>
      <c r="P1982" s="33">
        <v>3</v>
      </c>
      <c r="Q1982" s="33">
        <v>3</v>
      </c>
      <c r="R1982" s="33" t="s">
        <v>130</v>
      </c>
      <c r="S1982" s="33" t="s">
        <v>263</v>
      </c>
    </row>
    <row r="1983" spans="8:19" ht="27.6" x14ac:dyDescent="0.3">
      <c r="H1983" s="32" t="s">
        <v>50</v>
      </c>
      <c r="I1983" s="33" t="s">
        <v>17</v>
      </c>
      <c r="J1983" s="34" t="s">
        <v>19</v>
      </c>
      <c r="K1983" s="35" t="s">
        <v>0</v>
      </c>
      <c r="L1983" s="33"/>
      <c r="M1983" s="33"/>
      <c r="N1983" s="36"/>
      <c r="O1983" s="33">
        <v>1</v>
      </c>
      <c r="P1983" s="33">
        <v>1</v>
      </c>
      <c r="Q1983" s="33">
        <v>1</v>
      </c>
      <c r="R1983" s="33" t="s">
        <v>130</v>
      </c>
      <c r="S1983" s="33" t="s">
        <v>263</v>
      </c>
    </row>
    <row r="1984" spans="8:19" ht="27.6" x14ac:dyDescent="0.3">
      <c r="H1984" s="32" t="s">
        <v>50</v>
      </c>
      <c r="I1984" s="33" t="s">
        <v>20</v>
      </c>
      <c r="J1984" s="34" t="s">
        <v>21</v>
      </c>
      <c r="K1984" s="35" t="s">
        <v>290</v>
      </c>
      <c r="L1984" s="33"/>
      <c r="M1984" s="33"/>
      <c r="N1984" s="36"/>
      <c r="O1984" s="33">
        <v>3</v>
      </c>
      <c r="P1984" s="33">
        <v>3</v>
      </c>
      <c r="Q1984" s="33">
        <v>3</v>
      </c>
      <c r="R1984" s="33" t="s">
        <v>130</v>
      </c>
      <c r="S1984" s="33" t="s">
        <v>263</v>
      </c>
    </row>
    <row r="1985" spans="8:19" ht="27.6" x14ac:dyDescent="0.3">
      <c r="H1985" s="32" t="s">
        <v>50</v>
      </c>
      <c r="I1985" s="33" t="s">
        <v>20</v>
      </c>
      <c r="J1985" s="34" t="s">
        <v>441</v>
      </c>
      <c r="K1985" s="35" t="s">
        <v>0</v>
      </c>
      <c r="L1985" s="33"/>
      <c r="M1985" s="33"/>
      <c r="N1985" s="36"/>
      <c r="O1985" s="33">
        <v>1</v>
      </c>
      <c r="P1985" s="33">
        <v>1</v>
      </c>
      <c r="Q1985" s="33">
        <v>1</v>
      </c>
      <c r="R1985" s="33" t="s">
        <v>130</v>
      </c>
      <c r="S1985" s="33" t="s">
        <v>263</v>
      </c>
    </row>
    <row r="1986" spans="8:19" ht="27.6" x14ac:dyDescent="0.3">
      <c r="H1986" s="32" t="s">
        <v>50</v>
      </c>
      <c r="I1986" s="33" t="s">
        <v>22</v>
      </c>
      <c r="J1986" s="34" t="s">
        <v>23</v>
      </c>
      <c r="K1986" s="60" t="s">
        <v>291</v>
      </c>
      <c r="L1986" s="33" t="s">
        <v>417</v>
      </c>
      <c r="M1986" s="33"/>
      <c r="N1986" s="36"/>
      <c r="O1986" s="33">
        <v>1</v>
      </c>
      <c r="P1986" s="33">
        <v>1</v>
      </c>
      <c r="Q1986" s="33">
        <v>1</v>
      </c>
      <c r="R1986" s="33" t="s">
        <v>130</v>
      </c>
      <c r="S1986" s="33" t="s">
        <v>263</v>
      </c>
    </row>
    <row r="1987" spans="8:19" ht="27.6" x14ac:dyDescent="0.3">
      <c r="H1987" s="32" t="s">
        <v>50</v>
      </c>
      <c r="I1987" s="33" t="s">
        <v>22</v>
      </c>
      <c r="J1987" s="34" t="s">
        <v>468</v>
      </c>
      <c r="K1987" s="60" t="s">
        <v>290</v>
      </c>
      <c r="L1987" s="33" t="s">
        <v>416</v>
      </c>
      <c r="M1987" s="33"/>
      <c r="N1987" s="36"/>
      <c r="O1987" s="33">
        <v>1</v>
      </c>
      <c r="P1987" s="33">
        <v>1</v>
      </c>
      <c r="Q1987" s="33">
        <v>1</v>
      </c>
      <c r="R1987" s="33" t="s">
        <v>130</v>
      </c>
      <c r="S1987" s="33" t="s">
        <v>263</v>
      </c>
    </row>
    <row r="1988" spans="8:19" ht="27.6" x14ac:dyDescent="0.3">
      <c r="H1988" s="32" t="s">
        <v>50</v>
      </c>
      <c r="I1988" s="33" t="s">
        <v>25</v>
      </c>
      <c r="J1988" s="34" t="s">
        <v>472</v>
      </c>
      <c r="K1988" s="35" t="s">
        <v>290</v>
      </c>
      <c r="L1988" s="33"/>
      <c r="M1988" s="33"/>
      <c r="N1988" s="36"/>
      <c r="O1988" s="33">
        <v>3</v>
      </c>
      <c r="P1988" s="33">
        <v>0</v>
      </c>
      <c r="Q1988" s="33">
        <v>3</v>
      </c>
      <c r="R1988" s="33" t="s">
        <v>130</v>
      </c>
      <c r="S1988" s="33" t="s">
        <v>263</v>
      </c>
    </row>
    <row r="1989" spans="8:19" ht="27.6" x14ac:dyDescent="0.3">
      <c r="H1989" s="32" t="s">
        <v>50</v>
      </c>
      <c r="I1989" s="33" t="s">
        <v>25</v>
      </c>
      <c r="J1989" s="34" t="s">
        <v>320</v>
      </c>
      <c r="K1989" s="35" t="s">
        <v>0</v>
      </c>
      <c r="L1989" s="33"/>
      <c r="M1989" s="33"/>
      <c r="N1989" s="36"/>
      <c r="O1989" s="33">
        <v>3</v>
      </c>
      <c r="P1989" s="33">
        <v>3</v>
      </c>
      <c r="Q1989" s="33">
        <v>3</v>
      </c>
      <c r="R1989" s="33" t="s">
        <v>130</v>
      </c>
      <c r="S1989" s="33" t="s">
        <v>263</v>
      </c>
    </row>
    <row r="1990" spans="8:19" ht="27.6" x14ac:dyDescent="0.3">
      <c r="H1990" s="32" t="s">
        <v>50</v>
      </c>
      <c r="I1990" s="33" t="s">
        <v>30</v>
      </c>
      <c r="J1990" s="34" t="s">
        <v>470</v>
      </c>
      <c r="K1990" s="35" t="s">
        <v>0</v>
      </c>
      <c r="L1990" s="33"/>
      <c r="M1990" s="33"/>
      <c r="N1990" s="36"/>
      <c r="O1990" s="33">
        <v>3</v>
      </c>
      <c r="P1990" s="33">
        <v>3</v>
      </c>
      <c r="Q1990" s="33">
        <v>3</v>
      </c>
      <c r="R1990" s="33" t="s">
        <v>130</v>
      </c>
      <c r="S1990" s="33" t="s">
        <v>263</v>
      </c>
    </row>
    <row r="1991" spans="8:19" ht="27.6" x14ac:dyDescent="0.3">
      <c r="H1991" s="32" t="s">
        <v>50</v>
      </c>
      <c r="I1991" s="33" t="s">
        <v>25</v>
      </c>
      <c r="J1991" s="34" t="s">
        <v>449</v>
      </c>
      <c r="K1991" s="35" t="s">
        <v>0</v>
      </c>
      <c r="L1991" s="33"/>
      <c r="M1991" s="33"/>
      <c r="N1991" s="36"/>
      <c r="O1991" s="33">
        <v>3</v>
      </c>
      <c r="P1991" s="33">
        <v>3</v>
      </c>
      <c r="Q1991" s="33">
        <v>3</v>
      </c>
      <c r="R1991" s="33" t="s">
        <v>130</v>
      </c>
      <c r="S1991" s="33" t="s">
        <v>263</v>
      </c>
    </row>
    <row r="1992" spans="8:19" ht="41.4" x14ac:dyDescent="0.3">
      <c r="H1992" s="32" t="s">
        <v>50</v>
      </c>
      <c r="I1992" s="33" t="s">
        <v>41</v>
      </c>
      <c r="J1992" s="34" t="s">
        <v>442</v>
      </c>
      <c r="K1992" s="35" t="s">
        <v>0</v>
      </c>
      <c r="L1992" s="33"/>
      <c r="M1992" s="33"/>
      <c r="N1992" s="36"/>
      <c r="O1992" s="33">
        <v>3</v>
      </c>
      <c r="P1992" s="33">
        <v>0</v>
      </c>
      <c r="Q1992" s="33">
        <v>1.5</v>
      </c>
      <c r="R1992" s="33" t="s">
        <v>130</v>
      </c>
      <c r="S1992" s="33" t="s">
        <v>263</v>
      </c>
    </row>
    <row r="1993" spans="8:19" ht="41.4" x14ac:dyDescent="0.3">
      <c r="H1993" s="32" t="s">
        <v>50</v>
      </c>
      <c r="I1993" s="53" t="s">
        <v>41</v>
      </c>
      <c r="J1993" s="34" t="s">
        <v>443</v>
      </c>
      <c r="K1993" s="54" t="s">
        <v>290</v>
      </c>
      <c r="L1993" s="53" t="s">
        <v>418</v>
      </c>
      <c r="M1993" s="53"/>
      <c r="N1993" s="55"/>
      <c r="O1993" s="53">
        <v>2</v>
      </c>
      <c r="P1993" s="53">
        <v>0</v>
      </c>
      <c r="Q1993" s="33">
        <v>2</v>
      </c>
      <c r="R1993" s="33" t="s">
        <v>130</v>
      </c>
      <c r="S1993" s="33" t="s">
        <v>263</v>
      </c>
    </row>
    <row r="1994" spans="8:19" ht="27.6" x14ac:dyDescent="0.3">
      <c r="H1994" s="32" t="s">
        <v>62</v>
      </c>
      <c r="I1994" s="33" t="s">
        <v>14</v>
      </c>
      <c r="J1994" s="34" t="s">
        <v>15</v>
      </c>
      <c r="K1994" s="35" t="s">
        <v>0</v>
      </c>
      <c r="L1994" s="33"/>
      <c r="M1994" s="33"/>
      <c r="N1994" s="36"/>
      <c r="O1994" s="33">
        <v>3</v>
      </c>
      <c r="P1994" s="33">
        <v>3</v>
      </c>
      <c r="Q1994" s="33">
        <v>3</v>
      </c>
      <c r="R1994" s="33" t="s">
        <v>130</v>
      </c>
      <c r="S1994" s="33" t="s">
        <v>263</v>
      </c>
    </row>
    <row r="1995" spans="8:19" ht="27.6" x14ac:dyDescent="0.3">
      <c r="H1995" s="32" t="s">
        <v>62</v>
      </c>
      <c r="I1995" s="33" t="s">
        <v>14</v>
      </c>
      <c r="J1995" s="34" t="s">
        <v>16</v>
      </c>
      <c r="K1995" s="35" t="s">
        <v>0</v>
      </c>
      <c r="L1995" s="33"/>
      <c r="M1995" s="33"/>
      <c r="N1995" s="36"/>
      <c r="O1995" s="33">
        <v>1</v>
      </c>
      <c r="P1995" s="33">
        <v>1</v>
      </c>
      <c r="Q1995" s="33">
        <v>1</v>
      </c>
      <c r="R1995" s="33" t="s">
        <v>130</v>
      </c>
      <c r="S1995" s="33" t="s">
        <v>263</v>
      </c>
    </row>
    <row r="1996" spans="8:19" ht="27.6" x14ac:dyDescent="0.3">
      <c r="H1996" s="32" t="s">
        <v>62</v>
      </c>
      <c r="I1996" s="33" t="s">
        <v>10</v>
      </c>
      <c r="J1996" s="34" t="s">
        <v>11</v>
      </c>
      <c r="K1996" s="35" t="s">
        <v>0</v>
      </c>
      <c r="L1996" s="33"/>
      <c r="M1996" s="33"/>
      <c r="N1996" s="36"/>
      <c r="O1996" s="33">
        <v>3</v>
      </c>
      <c r="P1996" s="33">
        <v>0</v>
      </c>
      <c r="Q1996" s="33">
        <v>3</v>
      </c>
      <c r="R1996" s="33" t="s">
        <v>130</v>
      </c>
      <c r="S1996" s="33" t="s">
        <v>263</v>
      </c>
    </row>
    <row r="1997" spans="8:19" ht="27.6" x14ac:dyDescent="0.3">
      <c r="H1997" s="32" t="s">
        <v>62</v>
      </c>
      <c r="I1997" s="33" t="s">
        <v>10</v>
      </c>
      <c r="J1997" s="34" t="s">
        <v>316</v>
      </c>
      <c r="K1997" s="35" t="s">
        <v>0</v>
      </c>
      <c r="L1997" s="33"/>
      <c r="M1997" s="33"/>
      <c r="N1997" s="36"/>
      <c r="O1997" s="33">
        <v>3</v>
      </c>
      <c r="P1997" s="33">
        <v>3</v>
      </c>
      <c r="Q1997" s="33">
        <v>3</v>
      </c>
      <c r="R1997" s="33" t="s">
        <v>130</v>
      </c>
      <c r="S1997" s="33" t="s">
        <v>263</v>
      </c>
    </row>
    <row r="1998" spans="8:19" ht="27.6" x14ac:dyDescent="0.3">
      <c r="H1998" s="32" t="s">
        <v>62</v>
      </c>
      <c r="I1998" s="33" t="s">
        <v>10</v>
      </c>
      <c r="J1998" s="34" t="s">
        <v>444</v>
      </c>
      <c r="K1998" s="35" t="s">
        <v>290</v>
      </c>
      <c r="L1998" s="33" t="s">
        <v>419</v>
      </c>
      <c r="M1998" s="33">
        <v>9274</v>
      </c>
      <c r="N1998" s="36"/>
      <c r="O1998" s="33">
        <v>3</v>
      </c>
      <c r="P1998" s="33">
        <v>0</v>
      </c>
      <c r="Q1998" s="33">
        <v>3</v>
      </c>
      <c r="R1998" s="33" t="s">
        <v>130</v>
      </c>
      <c r="S1998" s="33" t="s">
        <v>263</v>
      </c>
    </row>
    <row r="1999" spans="8:19" ht="27.6" x14ac:dyDescent="0.3">
      <c r="H1999" s="32" t="s">
        <v>62</v>
      </c>
      <c r="I1999" s="33" t="s">
        <v>10</v>
      </c>
      <c r="J1999" s="34" t="s">
        <v>393</v>
      </c>
      <c r="K1999" s="60" t="s">
        <v>0</v>
      </c>
      <c r="L1999" s="33"/>
      <c r="M1999" s="33"/>
      <c r="N1999" s="36"/>
      <c r="O1999" s="33">
        <v>2</v>
      </c>
      <c r="P1999" s="33">
        <v>2</v>
      </c>
      <c r="Q1999" s="33">
        <v>2</v>
      </c>
      <c r="R1999" s="33" t="s">
        <v>130</v>
      </c>
      <c r="S1999" s="33" t="s">
        <v>263</v>
      </c>
    </row>
    <row r="2000" spans="8:19" ht="27.6" x14ac:dyDescent="0.3">
      <c r="H2000" s="32" t="s">
        <v>62</v>
      </c>
      <c r="I2000" s="33" t="s">
        <v>10</v>
      </c>
      <c r="J2000" s="34" t="s">
        <v>440</v>
      </c>
      <c r="K2000" s="35" t="s">
        <v>0</v>
      </c>
      <c r="L2000" s="33"/>
      <c r="M2000" s="33"/>
      <c r="N2000" s="36"/>
      <c r="O2000" s="33">
        <v>3</v>
      </c>
      <c r="P2000" s="33">
        <v>3</v>
      </c>
      <c r="Q2000" s="33">
        <v>3</v>
      </c>
      <c r="R2000" s="33" t="s">
        <v>130</v>
      </c>
      <c r="S2000" s="33" t="s">
        <v>263</v>
      </c>
    </row>
    <row r="2001" spans="8:19" ht="27.6" x14ac:dyDescent="0.3">
      <c r="H2001" s="32" t="s">
        <v>62</v>
      </c>
      <c r="I2001" s="33" t="s">
        <v>12</v>
      </c>
      <c r="J2001" s="34" t="s">
        <v>13</v>
      </c>
      <c r="K2001" s="35" t="s">
        <v>0</v>
      </c>
      <c r="L2001" s="33"/>
      <c r="M2001" s="33"/>
      <c r="N2001" s="36"/>
      <c r="O2001" s="33">
        <v>2</v>
      </c>
      <c r="P2001" s="33">
        <v>0</v>
      </c>
      <c r="Q2001" s="33">
        <v>2</v>
      </c>
      <c r="R2001" s="33" t="s">
        <v>130</v>
      </c>
      <c r="S2001" s="33" t="s">
        <v>263</v>
      </c>
    </row>
    <row r="2002" spans="8:19" ht="27.6" x14ac:dyDescent="0.3">
      <c r="H2002" s="32" t="s">
        <v>62</v>
      </c>
      <c r="I2002" s="33" t="s">
        <v>17</v>
      </c>
      <c r="J2002" s="34" t="s">
        <v>18</v>
      </c>
      <c r="K2002" s="35" t="s">
        <v>0</v>
      </c>
      <c r="L2002" s="33"/>
      <c r="M2002" s="33"/>
      <c r="N2002" s="36"/>
      <c r="O2002" s="33">
        <v>3</v>
      </c>
      <c r="P2002" s="33">
        <v>3</v>
      </c>
      <c r="Q2002" s="33">
        <v>3</v>
      </c>
      <c r="R2002" s="33" t="s">
        <v>130</v>
      </c>
      <c r="S2002" s="33" t="s">
        <v>263</v>
      </c>
    </row>
    <row r="2003" spans="8:19" ht="27.6" x14ac:dyDescent="0.3">
      <c r="H2003" s="32" t="s">
        <v>62</v>
      </c>
      <c r="I2003" s="33" t="s">
        <v>17</v>
      </c>
      <c r="J2003" s="34" t="s">
        <v>19</v>
      </c>
      <c r="K2003" s="35" t="s">
        <v>0</v>
      </c>
      <c r="L2003" s="33"/>
      <c r="M2003" s="33"/>
      <c r="N2003" s="36"/>
      <c r="O2003" s="33">
        <v>1</v>
      </c>
      <c r="P2003" s="33">
        <v>1</v>
      </c>
      <c r="Q2003" s="33">
        <v>1</v>
      </c>
      <c r="R2003" s="33" t="s">
        <v>130</v>
      </c>
      <c r="S2003" s="33" t="s">
        <v>263</v>
      </c>
    </row>
    <row r="2004" spans="8:19" ht="27.6" x14ac:dyDescent="0.3">
      <c r="H2004" s="32" t="s">
        <v>62</v>
      </c>
      <c r="I2004" s="33" t="s">
        <v>25</v>
      </c>
      <c r="J2004" s="34" t="s">
        <v>472</v>
      </c>
      <c r="K2004" s="35" t="s">
        <v>0</v>
      </c>
      <c r="L2004" s="33"/>
      <c r="M2004" s="33"/>
      <c r="N2004" s="36"/>
      <c r="O2004" s="33">
        <v>3</v>
      </c>
      <c r="P2004" s="33">
        <v>0</v>
      </c>
      <c r="Q2004" s="33">
        <v>3</v>
      </c>
      <c r="R2004" s="33" t="s">
        <v>130</v>
      </c>
      <c r="S2004" s="33" t="s">
        <v>263</v>
      </c>
    </row>
    <row r="2005" spans="8:19" ht="27.6" x14ac:dyDescent="0.3">
      <c r="H2005" s="32" t="s">
        <v>62</v>
      </c>
      <c r="I2005" s="33" t="s">
        <v>25</v>
      </c>
      <c r="J2005" s="34" t="s">
        <v>320</v>
      </c>
      <c r="K2005" s="35" t="s">
        <v>0</v>
      </c>
      <c r="L2005" s="33"/>
      <c r="M2005" s="33"/>
      <c r="N2005" s="36"/>
      <c r="O2005" s="33">
        <v>3</v>
      </c>
      <c r="P2005" s="33">
        <v>3</v>
      </c>
      <c r="Q2005" s="33">
        <v>3</v>
      </c>
      <c r="R2005" s="33" t="s">
        <v>130</v>
      </c>
      <c r="S2005" s="33" t="s">
        <v>263</v>
      </c>
    </row>
    <row r="2006" spans="8:19" ht="27.6" x14ac:dyDescent="0.3">
      <c r="H2006" s="32" t="s">
        <v>62</v>
      </c>
      <c r="I2006" s="33" t="s">
        <v>30</v>
      </c>
      <c r="J2006" s="34" t="s">
        <v>470</v>
      </c>
      <c r="K2006" s="35" t="s">
        <v>0</v>
      </c>
      <c r="L2006" s="33"/>
      <c r="M2006" s="33"/>
      <c r="N2006" s="36"/>
      <c r="O2006" s="33">
        <v>3</v>
      </c>
      <c r="P2006" s="33">
        <v>3</v>
      </c>
      <c r="Q2006" s="33">
        <v>3</v>
      </c>
      <c r="R2006" s="33" t="s">
        <v>130</v>
      </c>
      <c r="S2006" s="33" t="s">
        <v>263</v>
      </c>
    </row>
    <row r="2007" spans="8:19" ht="27.6" x14ac:dyDescent="0.3">
      <c r="H2007" s="32" t="s">
        <v>62</v>
      </c>
      <c r="I2007" s="33" t="s">
        <v>25</v>
      </c>
      <c r="J2007" s="34" t="s">
        <v>449</v>
      </c>
      <c r="K2007" s="35" t="s">
        <v>0</v>
      </c>
      <c r="L2007" s="33"/>
      <c r="M2007" s="33"/>
      <c r="N2007" s="36"/>
      <c r="O2007" s="33">
        <v>3</v>
      </c>
      <c r="P2007" s="33">
        <v>3</v>
      </c>
      <c r="Q2007" s="33">
        <v>3</v>
      </c>
      <c r="R2007" s="33" t="s">
        <v>130</v>
      </c>
      <c r="S2007" s="33" t="s">
        <v>263</v>
      </c>
    </row>
    <row r="2008" spans="8:19" ht="41.4" x14ac:dyDescent="0.3">
      <c r="H2008" s="32" t="s">
        <v>62</v>
      </c>
      <c r="I2008" s="33" t="s">
        <v>41</v>
      </c>
      <c r="J2008" s="34" t="s">
        <v>442</v>
      </c>
      <c r="K2008" s="35" t="s">
        <v>290</v>
      </c>
      <c r="L2008" s="33" t="s">
        <v>423</v>
      </c>
      <c r="M2008" s="33">
        <v>8785</v>
      </c>
      <c r="N2008" s="36"/>
      <c r="O2008" s="33">
        <v>3</v>
      </c>
      <c r="P2008" s="33">
        <v>0</v>
      </c>
      <c r="Q2008" s="33">
        <v>1.5</v>
      </c>
      <c r="R2008" s="33" t="s">
        <v>130</v>
      </c>
      <c r="S2008" s="33" t="s">
        <v>263</v>
      </c>
    </row>
    <row r="2009" spans="8:19" ht="41.4" x14ac:dyDescent="0.3">
      <c r="H2009" s="32" t="s">
        <v>62</v>
      </c>
      <c r="I2009" s="53" t="s">
        <v>41</v>
      </c>
      <c r="J2009" s="34" t="s">
        <v>443</v>
      </c>
      <c r="K2009" s="54" t="s">
        <v>290</v>
      </c>
      <c r="L2009" s="53" t="s">
        <v>423</v>
      </c>
      <c r="M2009" s="53">
        <v>8785</v>
      </c>
      <c r="N2009" s="55"/>
      <c r="O2009" s="53">
        <v>2</v>
      </c>
      <c r="P2009" s="53">
        <v>0</v>
      </c>
      <c r="Q2009" s="33">
        <v>2</v>
      </c>
      <c r="R2009" s="33" t="s">
        <v>130</v>
      </c>
      <c r="S2009" s="33" t="s">
        <v>263</v>
      </c>
    </row>
    <row r="2010" spans="8:19" ht="27.6" x14ac:dyDescent="0.3">
      <c r="H2010" s="32" t="s">
        <v>48</v>
      </c>
      <c r="I2010" s="33" t="s">
        <v>14</v>
      </c>
      <c r="J2010" s="34" t="s">
        <v>15</v>
      </c>
      <c r="K2010" s="35" t="s">
        <v>0</v>
      </c>
      <c r="L2010" s="33"/>
      <c r="M2010" s="33"/>
      <c r="N2010" s="36"/>
      <c r="O2010" s="33">
        <v>3</v>
      </c>
      <c r="P2010" s="33">
        <v>3</v>
      </c>
      <c r="Q2010" s="33">
        <v>3</v>
      </c>
      <c r="R2010" s="33" t="s">
        <v>130</v>
      </c>
      <c r="S2010" s="33" t="s">
        <v>263</v>
      </c>
    </row>
    <row r="2011" spans="8:19" ht="27.6" x14ac:dyDescent="0.3">
      <c r="H2011" s="32" t="s">
        <v>48</v>
      </c>
      <c r="I2011" s="33" t="s">
        <v>14</v>
      </c>
      <c r="J2011" s="34" t="s">
        <v>16</v>
      </c>
      <c r="K2011" s="35" t="s">
        <v>0</v>
      </c>
      <c r="L2011" s="33"/>
      <c r="M2011" s="33"/>
      <c r="N2011" s="36"/>
      <c r="O2011" s="33">
        <v>1</v>
      </c>
      <c r="P2011" s="33">
        <v>1</v>
      </c>
      <c r="Q2011" s="33">
        <v>1</v>
      </c>
      <c r="R2011" s="33" t="s">
        <v>130</v>
      </c>
      <c r="S2011" s="33" t="s">
        <v>263</v>
      </c>
    </row>
    <row r="2012" spans="8:19" ht="27.6" x14ac:dyDescent="0.3">
      <c r="H2012" s="32" t="s">
        <v>48</v>
      </c>
      <c r="I2012" s="33" t="s">
        <v>10</v>
      </c>
      <c r="J2012" s="34" t="s">
        <v>11</v>
      </c>
      <c r="K2012" s="35" t="s">
        <v>290</v>
      </c>
      <c r="L2012" s="69" t="s">
        <v>419</v>
      </c>
      <c r="M2012" s="69">
        <v>4188</v>
      </c>
      <c r="N2012" s="36"/>
      <c r="O2012" s="33">
        <v>3</v>
      </c>
      <c r="P2012" s="33">
        <v>0</v>
      </c>
      <c r="Q2012" s="33">
        <v>3</v>
      </c>
      <c r="R2012" s="33" t="s">
        <v>130</v>
      </c>
      <c r="S2012" s="33" t="s">
        <v>263</v>
      </c>
    </row>
    <row r="2013" spans="8:19" ht="27.6" x14ac:dyDescent="0.3">
      <c r="H2013" s="32" t="s">
        <v>48</v>
      </c>
      <c r="I2013" s="33" t="s">
        <v>10</v>
      </c>
      <c r="J2013" s="34" t="s">
        <v>316</v>
      </c>
      <c r="K2013" s="35" t="s">
        <v>0</v>
      </c>
      <c r="L2013" s="33"/>
      <c r="M2013" s="33"/>
      <c r="N2013" s="36"/>
      <c r="O2013" s="33">
        <v>3</v>
      </c>
      <c r="P2013" s="33">
        <v>3</v>
      </c>
      <c r="Q2013" s="33">
        <v>3</v>
      </c>
      <c r="R2013" s="33" t="s">
        <v>130</v>
      </c>
      <c r="S2013" s="33" t="s">
        <v>263</v>
      </c>
    </row>
    <row r="2014" spans="8:19" ht="27.6" x14ac:dyDescent="0.3">
      <c r="H2014" s="32" t="s">
        <v>48</v>
      </c>
      <c r="I2014" s="33" t="s">
        <v>10</v>
      </c>
      <c r="J2014" s="34" t="s">
        <v>444</v>
      </c>
      <c r="K2014" s="35" t="s">
        <v>290</v>
      </c>
      <c r="L2014" s="69" t="s">
        <v>419</v>
      </c>
      <c r="M2014" s="69">
        <v>4188</v>
      </c>
      <c r="N2014" s="36"/>
      <c r="O2014" s="33">
        <v>3</v>
      </c>
      <c r="P2014" s="33">
        <v>0</v>
      </c>
      <c r="Q2014" s="33">
        <v>3</v>
      </c>
      <c r="R2014" s="33" t="s">
        <v>130</v>
      </c>
      <c r="S2014" s="33" t="s">
        <v>263</v>
      </c>
    </row>
    <row r="2015" spans="8:19" ht="27.6" x14ac:dyDescent="0.3">
      <c r="H2015" s="32" t="s">
        <v>48</v>
      </c>
      <c r="I2015" s="33" t="s">
        <v>10</v>
      </c>
      <c r="J2015" s="34" t="s">
        <v>393</v>
      </c>
      <c r="K2015" s="60" t="s">
        <v>0</v>
      </c>
      <c r="L2015" s="33"/>
      <c r="M2015" s="33"/>
      <c r="N2015" s="36"/>
      <c r="O2015" s="33">
        <v>2</v>
      </c>
      <c r="P2015" s="33">
        <v>2</v>
      </c>
      <c r="Q2015" s="33">
        <v>2</v>
      </c>
      <c r="R2015" s="33" t="s">
        <v>130</v>
      </c>
      <c r="S2015" s="33" t="s">
        <v>263</v>
      </c>
    </row>
    <row r="2016" spans="8:19" ht="27.6" x14ac:dyDescent="0.3">
      <c r="H2016" s="32" t="s">
        <v>48</v>
      </c>
      <c r="I2016" s="33" t="s">
        <v>10</v>
      </c>
      <c r="J2016" s="34" t="s">
        <v>440</v>
      </c>
      <c r="K2016" s="35" t="s">
        <v>0</v>
      </c>
      <c r="L2016" s="33"/>
      <c r="M2016" s="33"/>
      <c r="N2016" s="36"/>
      <c r="O2016" s="33">
        <v>3</v>
      </c>
      <c r="P2016" s="33">
        <v>3</v>
      </c>
      <c r="Q2016" s="33">
        <v>3</v>
      </c>
      <c r="R2016" s="33" t="s">
        <v>130</v>
      </c>
      <c r="S2016" s="33" t="s">
        <v>263</v>
      </c>
    </row>
    <row r="2017" spans="8:19" ht="27.6" x14ac:dyDescent="0.3">
      <c r="H2017" s="32" t="s">
        <v>48</v>
      </c>
      <c r="I2017" s="33" t="s">
        <v>12</v>
      </c>
      <c r="J2017" s="34" t="s">
        <v>13</v>
      </c>
      <c r="K2017" s="35" t="s">
        <v>0</v>
      </c>
      <c r="L2017" s="33"/>
      <c r="M2017" s="33"/>
      <c r="N2017" s="36"/>
      <c r="O2017" s="33">
        <v>2</v>
      </c>
      <c r="P2017" s="33">
        <v>0</v>
      </c>
      <c r="Q2017" s="33">
        <v>2</v>
      </c>
      <c r="R2017" s="33" t="s">
        <v>130</v>
      </c>
      <c r="S2017" s="33" t="s">
        <v>263</v>
      </c>
    </row>
    <row r="2018" spans="8:19" ht="27.6" x14ac:dyDescent="0.3">
      <c r="H2018" s="32" t="s">
        <v>48</v>
      </c>
      <c r="I2018" s="33" t="s">
        <v>17</v>
      </c>
      <c r="J2018" s="34" t="s">
        <v>18</v>
      </c>
      <c r="K2018" s="35" t="s">
        <v>0</v>
      </c>
      <c r="L2018" s="33"/>
      <c r="M2018" s="33"/>
      <c r="N2018" s="36"/>
      <c r="O2018" s="33">
        <v>3</v>
      </c>
      <c r="P2018" s="33">
        <v>3</v>
      </c>
      <c r="Q2018" s="33">
        <v>3</v>
      </c>
      <c r="R2018" s="33" t="s">
        <v>130</v>
      </c>
      <c r="S2018" s="33" t="s">
        <v>263</v>
      </c>
    </row>
    <row r="2019" spans="8:19" ht="27.6" x14ac:dyDescent="0.3">
      <c r="H2019" s="32" t="s">
        <v>48</v>
      </c>
      <c r="I2019" s="33" t="s">
        <v>17</v>
      </c>
      <c r="J2019" s="34" t="s">
        <v>19</v>
      </c>
      <c r="K2019" s="35" t="s">
        <v>0</v>
      </c>
      <c r="L2019" s="33"/>
      <c r="M2019" s="33"/>
      <c r="N2019" s="36"/>
      <c r="O2019" s="33">
        <v>1</v>
      </c>
      <c r="P2019" s="33">
        <v>1</v>
      </c>
      <c r="Q2019" s="33">
        <v>1</v>
      </c>
      <c r="R2019" s="33" t="s">
        <v>130</v>
      </c>
      <c r="S2019" s="33" t="s">
        <v>263</v>
      </c>
    </row>
    <row r="2020" spans="8:19" ht="27.6" x14ac:dyDescent="0.3">
      <c r="H2020" s="32" t="s">
        <v>48</v>
      </c>
      <c r="I2020" s="33" t="s">
        <v>25</v>
      </c>
      <c r="J2020" s="34" t="s">
        <v>472</v>
      </c>
      <c r="K2020" s="35" t="s">
        <v>0</v>
      </c>
      <c r="L2020" s="33"/>
      <c r="M2020" s="33"/>
      <c r="N2020" s="36"/>
      <c r="O2020" s="33">
        <v>3</v>
      </c>
      <c r="P2020" s="33">
        <v>0</v>
      </c>
      <c r="Q2020" s="33">
        <v>3</v>
      </c>
      <c r="R2020" s="33" t="s">
        <v>130</v>
      </c>
      <c r="S2020" s="33" t="s">
        <v>263</v>
      </c>
    </row>
    <row r="2021" spans="8:19" ht="27.6" x14ac:dyDescent="0.3">
      <c r="H2021" s="32" t="s">
        <v>48</v>
      </c>
      <c r="I2021" s="33" t="s">
        <v>25</v>
      </c>
      <c r="J2021" s="34" t="s">
        <v>320</v>
      </c>
      <c r="K2021" s="35" t="s">
        <v>0</v>
      </c>
      <c r="L2021" s="33"/>
      <c r="M2021" s="33"/>
      <c r="N2021" s="36"/>
      <c r="O2021" s="33">
        <v>3</v>
      </c>
      <c r="P2021" s="33">
        <v>3</v>
      </c>
      <c r="Q2021" s="33">
        <v>3</v>
      </c>
      <c r="R2021" s="33" t="s">
        <v>130</v>
      </c>
      <c r="S2021" s="33" t="s">
        <v>263</v>
      </c>
    </row>
    <row r="2022" spans="8:19" ht="27.6" x14ac:dyDescent="0.3">
      <c r="H2022" s="32" t="s">
        <v>48</v>
      </c>
      <c r="I2022" s="33" t="s">
        <v>30</v>
      </c>
      <c r="J2022" s="34" t="s">
        <v>470</v>
      </c>
      <c r="K2022" s="35" t="s">
        <v>0</v>
      </c>
      <c r="L2022" s="33"/>
      <c r="M2022" s="33"/>
      <c r="N2022" s="36"/>
      <c r="O2022" s="33">
        <v>3</v>
      </c>
      <c r="P2022" s="33">
        <v>3</v>
      </c>
      <c r="Q2022" s="33">
        <v>3</v>
      </c>
      <c r="R2022" s="33" t="s">
        <v>130</v>
      </c>
      <c r="S2022" s="33" t="s">
        <v>263</v>
      </c>
    </row>
    <row r="2023" spans="8:19" ht="27.6" x14ac:dyDescent="0.3">
      <c r="H2023" s="32" t="s">
        <v>48</v>
      </c>
      <c r="I2023" s="33" t="s">
        <v>25</v>
      </c>
      <c r="J2023" s="34" t="s">
        <v>449</v>
      </c>
      <c r="K2023" s="35" t="s">
        <v>0</v>
      </c>
      <c r="L2023" s="33"/>
      <c r="M2023" s="33"/>
      <c r="N2023" s="36"/>
      <c r="O2023" s="33">
        <v>3</v>
      </c>
      <c r="P2023" s="33">
        <v>3</v>
      </c>
      <c r="Q2023" s="33">
        <v>3</v>
      </c>
      <c r="R2023" s="33" t="s">
        <v>130</v>
      </c>
      <c r="S2023" s="33" t="s">
        <v>263</v>
      </c>
    </row>
    <row r="2024" spans="8:19" ht="41.4" x14ac:dyDescent="0.3">
      <c r="H2024" s="32" t="s">
        <v>48</v>
      </c>
      <c r="I2024" s="33" t="s">
        <v>41</v>
      </c>
      <c r="J2024" s="34" t="s">
        <v>442</v>
      </c>
      <c r="K2024" s="35" t="s">
        <v>0</v>
      </c>
      <c r="L2024" s="33"/>
      <c r="M2024" s="33"/>
      <c r="N2024" s="36"/>
      <c r="O2024" s="33">
        <v>3</v>
      </c>
      <c r="P2024" s="33">
        <v>0</v>
      </c>
      <c r="Q2024" s="33">
        <v>1.5</v>
      </c>
      <c r="R2024" s="33" t="s">
        <v>130</v>
      </c>
      <c r="S2024" s="33" t="s">
        <v>263</v>
      </c>
    </row>
    <row r="2025" spans="8:19" ht="41.4" x14ac:dyDescent="0.3">
      <c r="H2025" s="32" t="s">
        <v>48</v>
      </c>
      <c r="I2025" s="53" t="s">
        <v>41</v>
      </c>
      <c r="J2025" s="34" t="s">
        <v>443</v>
      </c>
      <c r="K2025" s="54" t="s">
        <v>290</v>
      </c>
      <c r="L2025" s="53" t="s">
        <v>412</v>
      </c>
      <c r="M2025" s="53">
        <v>9194</v>
      </c>
      <c r="N2025" s="55"/>
      <c r="O2025" s="53">
        <v>2</v>
      </c>
      <c r="P2025" s="53">
        <v>0</v>
      </c>
      <c r="Q2025" s="33">
        <v>2</v>
      </c>
      <c r="R2025" s="33" t="s">
        <v>130</v>
      </c>
      <c r="S2025" s="33" t="s">
        <v>263</v>
      </c>
    </row>
    <row r="2026" spans="8:19" ht="27.6" x14ac:dyDescent="0.3">
      <c r="H2026" s="32" t="s">
        <v>55</v>
      </c>
      <c r="I2026" s="33" t="s">
        <v>30</v>
      </c>
      <c r="J2026" s="34" t="s">
        <v>438</v>
      </c>
      <c r="K2026" s="35" t="s">
        <v>0</v>
      </c>
      <c r="L2026" s="33"/>
      <c r="M2026" s="33"/>
      <c r="N2026" s="36"/>
      <c r="O2026" s="33">
        <v>3</v>
      </c>
      <c r="P2026" s="33">
        <f>IF(Tabela1[[#This Row],[Status]]="✔️",Tabela1[[#This Row],[Peso]],IF(Tabela1[[#This Row],[Status]]="✔️✔️",Tabela1[[#This Row],[Peso]]/2,0))</f>
        <v>3</v>
      </c>
      <c r="Q202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026" s="33" t="s">
        <v>130</v>
      </c>
      <c r="S2026" s="33" t="s">
        <v>263</v>
      </c>
    </row>
    <row r="2027" spans="8:19" ht="27.6" x14ac:dyDescent="0.3">
      <c r="H2027" s="32" t="s">
        <v>55</v>
      </c>
      <c r="I2027" s="33" t="s">
        <v>10</v>
      </c>
      <c r="J2027" s="34" t="s">
        <v>444</v>
      </c>
      <c r="K2027" s="35" t="s">
        <v>291</v>
      </c>
      <c r="L2027" s="33" t="s">
        <v>153</v>
      </c>
      <c r="M2027" s="33">
        <v>7439</v>
      </c>
      <c r="N2027" s="36"/>
      <c r="O2027" s="33">
        <v>3</v>
      </c>
      <c r="P2027" s="33">
        <f>IF(Tabela1[[#This Row],[Status]]="✔️",Tabela1[[#This Row],[Peso]],IF(Tabela1[[#This Row],[Status]]="✔️✔️",Tabela1[[#This Row],[Peso]]/2,0))</f>
        <v>1.5</v>
      </c>
      <c r="Q2027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2027" s="33" t="s">
        <v>130</v>
      </c>
      <c r="S2027" s="33" t="s">
        <v>263</v>
      </c>
    </row>
    <row r="2028" spans="8:19" ht="27.6" x14ac:dyDescent="0.3">
      <c r="H2028" s="32" t="s">
        <v>55</v>
      </c>
      <c r="I2028" s="33" t="s">
        <v>10</v>
      </c>
      <c r="J2028" s="34" t="s">
        <v>11</v>
      </c>
      <c r="K2028" s="35" t="s">
        <v>291</v>
      </c>
      <c r="L2028" s="33" t="s">
        <v>164</v>
      </c>
      <c r="M2028" s="33">
        <v>7439</v>
      </c>
      <c r="N2028" s="36"/>
      <c r="O2028" s="33">
        <v>3</v>
      </c>
      <c r="P2028" s="33">
        <f>IF(Tabela1[[#This Row],[Status]]="✔️",Tabela1[[#This Row],[Peso]],IF(Tabela1[[#This Row],[Status]]="✔️✔️",Tabela1[[#This Row],[Peso]]/2,0))</f>
        <v>1.5</v>
      </c>
      <c r="Q2028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2028" s="33" t="s">
        <v>130</v>
      </c>
      <c r="S2028" s="33" t="s">
        <v>263</v>
      </c>
    </row>
    <row r="2029" spans="8:19" ht="27.6" x14ac:dyDescent="0.3">
      <c r="H2029" s="32" t="s">
        <v>55</v>
      </c>
      <c r="I2029" s="33" t="s">
        <v>10</v>
      </c>
      <c r="J2029" s="34" t="s">
        <v>439</v>
      </c>
      <c r="K2029" s="35" t="s">
        <v>0</v>
      </c>
      <c r="L2029" s="33"/>
      <c r="M2029" s="33"/>
      <c r="N2029" s="36"/>
      <c r="O2029" s="33">
        <v>3</v>
      </c>
      <c r="P2029" s="33">
        <f>IF(Tabela1[[#This Row],[Status]]="✔️",Tabela1[[#This Row],[Peso]],IF(Tabela1[[#This Row],[Status]]="✔️✔️",Tabela1[[#This Row],[Peso]]/2,0))</f>
        <v>3</v>
      </c>
      <c r="Q202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029" s="33" t="s">
        <v>130</v>
      </c>
      <c r="S2029" s="33" t="s">
        <v>263</v>
      </c>
    </row>
    <row r="2030" spans="8:19" ht="27.6" x14ac:dyDescent="0.3">
      <c r="H2030" s="32" t="s">
        <v>55</v>
      </c>
      <c r="I2030" s="33" t="s">
        <v>10</v>
      </c>
      <c r="J2030" s="34" t="s">
        <v>440</v>
      </c>
      <c r="K2030" s="35" t="s">
        <v>1</v>
      </c>
      <c r="L2030" s="33"/>
      <c r="M2030" s="33"/>
      <c r="N2030" s="36"/>
      <c r="O2030" s="33">
        <v>3</v>
      </c>
      <c r="P2030" s="33">
        <f>IF(Tabela1[[#This Row],[Status]]="✔️",Tabela1[[#This Row],[Peso]],IF(Tabela1[[#This Row],[Status]]="✔️✔️",Tabela1[[#This Row],[Peso]]/2,0))</f>
        <v>0</v>
      </c>
      <c r="Q203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030" s="33" t="s">
        <v>130</v>
      </c>
      <c r="S2030" s="33" t="s">
        <v>263</v>
      </c>
    </row>
    <row r="2031" spans="8:19" ht="27.6" x14ac:dyDescent="0.3">
      <c r="H2031" s="32" t="s">
        <v>55</v>
      </c>
      <c r="I2031" s="33" t="s">
        <v>12</v>
      </c>
      <c r="J2031" s="34" t="s">
        <v>13</v>
      </c>
      <c r="K2031" s="35" t="s">
        <v>0</v>
      </c>
      <c r="L2031" s="33"/>
      <c r="M2031" s="33"/>
      <c r="N2031" s="36"/>
      <c r="O2031" s="33">
        <v>2</v>
      </c>
      <c r="P2031" s="33">
        <f>IF(Tabela1[[#This Row],[Status]]="✔️",Tabela1[[#This Row],[Peso]],IF(Tabela1[[#This Row],[Status]]="✔️✔️",Tabela1[[#This Row],[Peso]]/2,0))</f>
        <v>2</v>
      </c>
      <c r="Q203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2031" s="33" t="s">
        <v>130</v>
      </c>
      <c r="S2031" s="33" t="s">
        <v>263</v>
      </c>
    </row>
    <row r="2032" spans="8:19" ht="27.6" x14ac:dyDescent="0.3">
      <c r="H2032" s="32" t="s">
        <v>55</v>
      </c>
      <c r="I2032" s="33" t="s">
        <v>14</v>
      </c>
      <c r="J2032" s="34" t="s">
        <v>15</v>
      </c>
      <c r="K2032" s="35" t="s">
        <v>291</v>
      </c>
      <c r="L2032" s="33" t="s">
        <v>165</v>
      </c>
      <c r="M2032" s="33">
        <v>5405</v>
      </c>
      <c r="N2032" s="36"/>
      <c r="O2032" s="33">
        <v>3</v>
      </c>
      <c r="P2032" s="33">
        <f>IF(Tabela1[[#This Row],[Status]]="✔️",Tabela1[[#This Row],[Peso]],IF(Tabela1[[#This Row],[Status]]="✔️✔️",Tabela1[[#This Row],[Peso]]/2,0))</f>
        <v>1.5</v>
      </c>
      <c r="Q2032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2032" s="33" t="s">
        <v>130</v>
      </c>
      <c r="S2032" s="33" t="s">
        <v>263</v>
      </c>
    </row>
    <row r="2033" spans="8:19" ht="27.6" x14ac:dyDescent="0.3">
      <c r="H2033" s="32" t="s">
        <v>55</v>
      </c>
      <c r="I2033" s="33" t="s">
        <v>14</v>
      </c>
      <c r="J2033" s="34" t="s">
        <v>16</v>
      </c>
      <c r="K2033" s="35" t="s">
        <v>291</v>
      </c>
      <c r="L2033" s="33" t="s">
        <v>165</v>
      </c>
      <c r="M2033" s="33">
        <v>5405</v>
      </c>
      <c r="N2033" s="36"/>
      <c r="O2033" s="33">
        <v>1</v>
      </c>
      <c r="P2033" s="33">
        <f>IF(Tabela1[[#This Row],[Status]]="✔️",Tabela1[[#This Row],[Peso]],IF(Tabela1[[#This Row],[Status]]="✔️✔️",Tabela1[[#This Row],[Peso]]/2,0))</f>
        <v>0.5</v>
      </c>
      <c r="Q2033" s="33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2033" s="33" t="s">
        <v>130</v>
      </c>
      <c r="S2033" s="33" t="s">
        <v>263</v>
      </c>
    </row>
    <row r="2034" spans="8:19" ht="27.6" x14ac:dyDescent="0.3">
      <c r="H2034" s="32" t="s">
        <v>55</v>
      </c>
      <c r="I2034" s="33" t="s">
        <v>17</v>
      </c>
      <c r="J2034" s="34" t="s">
        <v>18</v>
      </c>
      <c r="K2034" s="35" t="s">
        <v>0</v>
      </c>
      <c r="L2034" s="33"/>
      <c r="M2034" s="33"/>
      <c r="N2034" s="36"/>
      <c r="O2034" s="33">
        <v>3</v>
      </c>
      <c r="P2034" s="33">
        <f>IF(Tabela1[[#This Row],[Status]]="✔️",Tabela1[[#This Row],[Peso]],IF(Tabela1[[#This Row],[Status]]="✔️✔️",Tabela1[[#This Row],[Peso]]/2,0))</f>
        <v>3</v>
      </c>
      <c r="Q203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034" s="33" t="s">
        <v>130</v>
      </c>
      <c r="S2034" s="33" t="s">
        <v>263</v>
      </c>
    </row>
    <row r="2035" spans="8:19" ht="27.6" x14ac:dyDescent="0.3">
      <c r="H2035" s="32" t="s">
        <v>55</v>
      </c>
      <c r="I2035" s="33" t="s">
        <v>17</v>
      </c>
      <c r="J2035" s="34" t="s">
        <v>19</v>
      </c>
      <c r="K2035" s="35" t="s">
        <v>1</v>
      </c>
      <c r="L2035" s="33"/>
      <c r="M2035" s="33"/>
      <c r="N2035" s="36"/>
      <c r="O2035" s="33">
        <v>3</v>
      </c>
      <c r="P2035" s="33">
        <f>IF(Tabela1[[#This Row],[Status]]="✔️",Tabela1[[#This Row],[Peso]],IF(Tabela1[[#This Row],[Status]]="✔️✔️",Tabela1[[#This Row],[Peso]]/2,0))</f>
        <v>0</v>
      </c>
      <c r="Q203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035" s="33" t="s">
        <v>130</v>
      </c>
      <c r="S2035" s="33" t="s">
        <v>263</v>
      </c>
    </row>
    <row r="2036" spans="8:19" ht="27.6" x14ac:dyDescent="0.3">
      <c r="H2036" s="32" t="s">
        <v>55</v>
      </c>
      <c r="I2036" s="33" t="s">
        <v>20</v>
      </c>
      <c r="J2036" s="34" t="s">
        <v>21</v>
      </c>
      <c r="K2036" s="35" t="s">
        <v>1</v>
      </c>
      <c r="L2036" s="33"/>
      <c r="M2036" s="33"/>
      <c r="N2036" s="36"/>
      <c r="O2036" s="33">
        <v>3</v>
      </c>
      <c r="P2036" s="33">
        <f>IF(Tabela1[[#This Row],[Status]]="✔️",Tabela1[[#This Row],[Peso]],IF(Tabela1[[#This Row],[Status]]="✔️✔️",Tabela1[[#This Row],[Peso]]/2,0))</f>
        <v>0</v>
      </c>
      <c r="Q203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036" s="33" t="s">
        <v>130</v>
      </c>
      <c r="S2036" s="33" t="s">
        <v>263</v>
      </c>
    </row>
    <row r="2037" spans="8:19" ht="27.6" x14ac:dyDescent="0.3">
      <c r="H2037" s="32" t="s">
        <v>55</v>
      </c>
      <c r="I2037" s="33" t="s">
        <v>20</v>
      </c>
      <c r="J2037" s="34" t="s">
        <v>441</v>
      </c>
      <c r="K2037" s="35" t="s">
        <v>1</v>
      </c>
      <c r="L2037" s="33"/>
      <c r="M2037" s="33"/>
      <c r="N2037" s="36"/>
      <c r="O2037" s="33">
        <v>1</v>
      </c>
      <c r="P2037" s="33">
        <f>IF(Tabela1[[#This Row],[Status]]="✔️",Tabela1[[#This Row],[Peso]],IF(Tabela1[[#This Row],[Status]]="✔️✔️",Tabela1[[#This Row],[Peso]]/2,0))</f>
        <v>0</v>
      </c>
      <c r="Q203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037" s="33" t="s">
        <v>130</v>
      </c>
      <c r="S2037" s="33" t="s">
        <v>263</v>
      </c>
    </row>
    <row r="2038" spans="8:19" ht="27.6" x14ac:dyDescent="0.3">
      <c r="H2038" s="32" t="s">
        <v>55</v>
      </c>
      <c r="I2038" s="33" t="s">
        <v>25</v>
      </c>
      <c r="J2038" s="34" t="s">
        <v>28</v>
      </c>
      <c r="K2038" s="35" t="s">
        <v>0</v>
      </c>
      <c r="L2038" s="33"/>
      <c r="M2038" s="33"/>
      <c r="N2038" s="36"/>
      <c r="O2038" s="33">
        <v>3</v>
      </c>
      <c r="P2038" s="33">
        <f>IF(Tabela1[[#This Row],[Status]]="✔️",Tabela1[[#This Row],[Peso]],IF(Tabela1[[#This Row],[Status]]="✔️✔️",Tabela1[[#This Row],[Peso]]/2,0))</f>
        <v>3</v>
      </c>
      <c r="Q203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038" s="33" t="s">
        <v>130</v>
      </c>
      <c r="S2038" s="33" t="s">
        <v>263</v>
      </c>
    </row>
    <row r="2039" spans="8:19" ht="27.6" x14ac:dyDescent="0.3">
      <c r="H2039" s="32" t="s">
        <v>55</v>
      </c>
      <c r="I2039" s="33" t="s">
        <v>25</v>
      </c>
      <c r="J2039" s="34" t="s">
        <v>29</v>
      </c>
      <c r="K2039" s="35" t="s">
        <v>0</v>
      </c>
      <c r="L2039" s="33"/>
      <c r="M2039" s="33"/>
      <c r="N2039" s="36"/>
      <c r="O2039" s="33">
        <v>3</v>
      </c>
      <c r="P2039" s="33">
        <f>IF(Tabela1[[#This Row],[Status]]="✔️",Tabela1[[#This Row],[Peso]],IF(Tabela1[[#This Row],[Status]]="✔️✔️",Tabela1[[#This Row],[Peso]]/2,0))</f>
        <v>3</v>
      </c>
      <c r="Q203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039" s="33" t="s">
        <v>130</v>
      </c>
      <c r="S2039" s="33" t="s">
        <v>263</v>
      </c>
    </row>
    <row r="2040" spans="8:19" ht="27.6" x14ac:dyDescent="0.3">
      <c r="H2040" s="32" t="s">
        <v>55</v>
      </c>
      <c r="I2040" s="33" t="s">
        <v>25</v>
      </c>
      <c r="J2040" s="34" t="s">
        <v>449</v>
      </c>
      <c r="K2040" s="35" t="s">
        <v>0</v>
      </c>
      <c r="L2040" s="33"/>
      <c r="M2040" s="33"/>
      <c r="N2040" s="36"/>
      <c r="O2040" s="33">
        <v>3</v>
      </c>
      <c r="P2040" s="33">
        <f>IF(Tabela1[[#This Row],[Status]]="✔️",Tabela1[[#This Row],[Peso]],IF(Tabela1[[#This Row],[Status]]="✔️✔️",Tabela1[[#This Row],[Peso]]/2,0))</f>
        <v>3</v>
      </c>
      <c r="Q204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040" s="33" t="s">
        <v>130</v>
      </c>
      <c r="S2040" s="33" t="s">
        <v>263</v>
      </c>
    </row>
    <row r="2041" spans="8:19" ht="41.4" x14ac:dyDescent="0.3">
      <c r="H2041" s="32" t="s">
        <v>55</v>
      </c>
      <c r="I2041" s="33" t="s">
        <v>41</v>
      </c>
      <c r="J2041" s="34" t="s">
        <v>442</v>
      </c>
      <c r="K2041" s="35" t="s">
        <v>291</v>
      </c>
      <c r="L2041" s="33" t="s">
        <v>47</v>
      </c>
      <c r="M2041" s="33">
        <v>3184</v>
      </c>
      <c r="N2041" s="36"/>
      <c r="O2041" s="33">
        <v>3</v>
      </c>
      <c r="P2041" s="33">
        <f>IF(Tabela1[[#This Row],[Status]]="✔️",Tabela1[[#This Row],[Peso]],IF(Tabela1[[#This Row],[Status]]="✔️✔️",Tabela1[[#This Row],[Peso]]/2,0))</f>
        <v>1.5</v>
      </c>
      <c r="Q2041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2041" s="33" t="s">
        <v>130</v>
      </c>
      <c r="S2041" s="33" t="s">
        <v>263</v>
      </c>
    </row>
    <row r="2042" spans="8:19" ht="41.4" x14ac:dyDescent="0.3">
      <c r="H2042" s="32" t="s">
        <v>55</v>
      </c>
      <c r="I2042" s="33" t="s">
        <v>41</v>
      </c>
      <c r="J2042" s="34" t="s">
        <v>443</v>
      </c>
      <c r="K2042" s="35" t="s">
        <v>291</v>
      </c>
      <c r="L2042" s="33" t="s">
        <v>47</v>
      </c>
      <c r="M2042" s="33">
        <v>3184</v>
      </c>
      <c r="N2042" s="36"/>
      <c r="O2042" s="33">
        <v>2</v>
      </c>
      <c r="P2042" s="33">
        <f>IF(Tabela1[[#This Row],[Status]]="✔️",Tabela1[[#This Row],[Peso]],IF(Tabela1[[#This Row],[Status]]="✔️✔️",Tabela1[[#This Row],[Peso]]/2,0))</f>
        <v>1</v>
      </c>
      <c r="Q204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2042" s="33" t="s">
        <v>130</v>
      </c>
      <c r="S2042" s="33" t="s">
        <v>263</v>
      </c>
    </row>
    <row r="2043" spans="8:19" ht="27.6" x14ac:dyDescent="0.3">
      <c r="H2043" s="32" t="s">
        <v>133</v>
      </c>
      <c r="I2043" s="33" t="s">
        <v>30</v>
      </c>
      <c r="J2043" s="34" t="s">
        <v>438</v>
      </c>
      <c r="K2043" s="35" t="s">
        <v>0</v>
      </c>
      <c r="L2043" s="33"/>
      <c r="M2043" s="33"/>
      <c r="N2043" s="36"/>
      <c r="O2043" s="33">
        <v>3</v>
      </c>
      <c r="P2043" s="33">
        <v>0</v>
      </c>
      <c r="Q2043" s="33">
        <v>0</v>
      </c>
      <c r="R2043" s="33" t="s">
        <v>130</v>
      </c>
      <c r="S2043" s="33" t="s">
        <v>263</v>
      </c>
    </row>
    <row r="2044" spans="8:19" ht="27.6" x14ac:dyDescent="0.3">
      <c r="H2044" s="32" t="s">
        <v>133</v>
      </c>
      <c r="I2044" s="33" t="s">
        <v>10</v>
      </c>
      <c r="J2044" s="34" t="s">
        <v>11</v>
      </c>
      <c r="K2044" s="35" t="s">
        <v>290</v>
      </c>
      <c r="L2044" s="33" t="s">
        <v>164</v>
      </c>
      <c r="M2044" s="33">
        <v>6808</v>
      </c>
      <c r="N2044" s="36"/>
      <c r="O2044" s="33">
        <v>3</v>
      </c>
      <c r="P2044" s="33">
        <v>0</v>
      </c>
      <c r="Q2044" s="33">
        <v>3</v>
      </c>
      <c r="R2044" s="33" t="s">
        <v>130</v>
      </c>
      <c r="S2044" s="33" t="s">
        <v>263</v>
      </c>
    </row>
    <row r="2045" spans="8:19" ht="27.6" x14ac:dyDescent="0.3">
      <c r="H2045" s="32" t="s">
        <v>133</v>
      </c>
      <c r="I2045" s="33" t="s">
        <v>10</v>
      </c>
      <c r="J2045" s="34" t="s">
        <v>444</v>
      </c>
      <c r="K2045" s="35" t="s">
        <v>0</v>
      </c>
      <c r="L2045" s="33" t="s">
        <v>167</v>
      </c>
      <c r="M2045" s="33"/>
      <c r="N2045" s="36"/>
      <c r="O2045" s="33">
        <v>3</v>
      </c>
      <c r="P2045" s="33">
        <v>3</v>
      </c>
      <c r="Q2045" s="33">
        <v>3</v>
      </c>
      <c r="R2045" s="33" t="s">
        <v>130</v>
      </c>
      <c r="S2045" s="33" t="s">
        <v>263</v>
      </c>
    </row>
    <row r="2046" spans="8:19" ht="27.6" x14ac:dyDescent="0.3">
      <c r="H2046" s="32" t="s">
        <v>83</v>
      </c>
      <c r="I2046" s="33" t="s">
        <v>14</v>
      </c>
      <c r="J2046" s="34" t="s">
        <v>15</v>
      </c>
      <c r="K2046" s="35" t="s">
        <v>0</v>
      </c>
      <c r="L2046" s="33"/>
      <c r="M2046" s="33"/>
      <c r="N2046" s="36"/>
      <c r="O2046" s="33">
        <v>3</v>
      </c>
      <c r="P2046" s="33">
        <v>3</v>
      </c>
      <c r="Q2046" s="33">
        <v>3</v>
      </c>
      <c r="R2046" s="33" t="s">
        <v>130</v>
      </c>
      <c r="S2046" s="33" t="s">
        <v>263</v>
      </c>
    </row>
    <row r="2047" spans="8:19" ht="27.6" x14ac:dyDescent="0.3">
      <c r="H2047" s="32" t="s">
        <v>83</v>
      </c>
      <c r="I2047" s="33" t="s">
        <v>14</v>
      </c>
      <c r="J2047" s="34" t="s">
        <v>16</v>
      </c>
      <c r="K2047" s="35" t="s">
        <v>0</v>
      </c>
      <c r="L2047" s="33"/>
      <c r="M2047" s="33"/>
      <c r="N2047" s="36"/>
      <c r="O2047" s="33">
        <v>1</v>
      </c>
      <c r="P2047" s="33">
        <v>1</v>
      </c>
      <c r="Q2047" s="33">
        <v>1</v>
      </c>
      <c r="R2047" s="33" t="s">
        <v>130</v>
      </c>
      <c r="S2047" s="33" t="s">
        <v>263</v>
      </c>
    </row>
    <row r="2048" spans="8:19" ht="27.6" x14ac:dyDescent="0.3">
      <c r="H2048" s="32" t="s">
        <v>83</v>
      </c>
      <c r="I2048" s="33" t="s">
        <v>10</v>
      </c>
      <c r="J2048" s="34" t="s">
        <v>11</v>
      </c>
      <c r="K2048" s="35" t="s">
        <v>290</v>
      </c>
      <c r="L2048" s="33" t="s">
        <v>176</v>
      </c>
      <c r="M2048" s="33">
        <v>8775</v>
      </c>
      <c r="N2048" s="36"/>
      <c r="O2048" s="33">
        <v>3</v>
      </c>
      <c r="P2048" s="33">
        <v>0</v>
      </c>
      <c r="Q2048" s="33">
        <v>3</v>
      </c>
      <c r="R2048" s="33" t="s">
        <v>130</v>
      </c>
      <c r="S2048" s="33" t="s">
        <v>263</v>
      </c>
    </row>
    <row r="2049" spans="8:19" ht="27.6" x14ac:dyDescent="0.3">
      <c r="H2049" s="32" t="s">
        <v>83</v>
      </c>
      <c r="I2049" s="33" t="s">
        <v>10</v>
      </c>
      <c r="J2049" s="34" t="s">
        <v>316</v>
      </c>
      <c r="K2049" s="35" t="s">
        <v>0</v>
      </c>
      <c r="L2049" s="33"/>
      <c r="M2049" s="33"/>
      <c r="N2049" s="36"/>
      <c r="O2049" s="33">
        <v>3</v>
      </c>
      <c r="P2049" s="33">
        <v>3</v>
      </c>
      <c r="Q2049" s="33">
        <v>3</v>
      </c>
      <c r="R2049" s="33" t="s">
        <v>130</v>
      </c>
      <c r="S2049" s="33" t="s">
        <v>263</v>
      </c>
    </row>
    <row r="2050" spans="8:19" ht="27.6" x14ac:dyDescent="0.3">
      <c r="H2050" s="32" t="s">
        <v>83</v>
      </c>
      <c r="I2050" s="33" t="s">
        <v>10</v>
      </c>
      <c r="J2050" s="34" t="s">
        <v>444</v>
      </c>
      <c r="K2050" s="35" t="s">
        <v>291</v>
      </c>
      <c r="L2050" s="33"/>
      <c r="M2050" s="33">
        <v>8775</v>
      </c>
      <c r="N2050" s="36"/>
      <c r="O2050" s="33">
        <v>3</v>
      </c>
      <c r="P2050" s="33">
        <v>0</v>
      </c>
      <c r="Q2050" s="33">
        <v>3</v>
      </c>
      <c r="R2050" s="33" t="s">
        <v>130</v>
      </c>
      <c r="S2050" s="33" t="s">
        <v>263</v>
      </c>
    </row>
    <row r="2051" spans="8:19" ht="27.6" x14ac:dyDescent="0.3">
      <c r="H2051" s="32" t="s">
        <v>83</v>
      </c>
      <c r="I2051" s="33" t="s">
        <v>10</v>
      </c>
      <c r="J2051" s="34" t="s">
        <v>393</v>
      </c>
      <c r="K2051" s="60" t="s">
        <v>0</v>
      </c>
      <c r="L2051" s="33"/>
      <c r="M2051" s="33"/>
      <c r="N2051" s="36"/>
      <c r="O2051" s="33">
        <v>2</v>
      </c>
      <c r="P2051" s="33">
        <v>2</v>
      </c>
      <c r="Q2051" s="33">
        <v>2</v>
      </c>
      <c r="R2051" s="33" t="s">
        <v>130</v>
      </c>
      <c r="S2051" s="33" t="s">
        <v>263</v>
      </c>
    </row>
    <row r="2052" spans="8:19" ht="27.6" x14ac:dyDescent="0.3">
      <c r="H2052" s="32" t="s">
        <v>83</v>
      </c>
      <c r="I2052" s="33" t="s">
        <v>10</v>
      </c>
      <c r="J2052" s="34" t="s">
        <v>440</v>
      </c>
      <c r="K2052" s="35" t="s">
        <v>0</v>
      </c>
      <c r="L2052" s="33"/>
      <c r="M2052" s="33"/>
      <c r="N2052" s="36"/>
      <c r="O2052" s="33">
        <v>3</v>
      </c>
      <c r="P2052" s="33">
        <v>3</v>
      </c>
      <c r="Q2052" s="33">
        <v>3</v>
      </c>
      <c r="R2052" s="33" t="s">
        <v>130</v>
      </c>
      <c r="S2052" s="33" t="s">
        <v>263</v>
      </c>
    </row>
    <row r="2053" spans="8:19" ht="27.6" x14ac:dyDescent="0.3">
      <c r="H2053" s="32" t="s">
        <v>83</v>
      </c>
      <c r="I2053" s="33" t="s">
        <v>12</v>
      </c>
      <c r="J2053" s="34" t="s">
        <v>13</v>
      </c>
      <c r="K2053" s="35" t="s">
        <v>0</v>
      </c>
      <c r="L2053" s="33"/>
      <c r="M2053" s="33"/>
      <c r="N2053" s="36"/>
      <c r="O2053" s="33">
        <v>2</v>
      </c>
      <c r="P2053" s="33">
        <v>0</v>
      </c>
      <c r="Q2053" s="33">
        <v>2</v>
      </c>
      <c r="R2053" s="33" t="s">
        <v>130</v>
      </c>
      <c r="S2053" s="33" t="s">
        <v>263</v>
      </c>
    </row>
    <row r="2054" spans="8:19" ht="27.6" x14ac:dyDescent="0.3">
      <c r="H2054" s="32" t="s">
        <v>83</v>
      </c>
      <c r="I2054" s="33" t="s">
        <v>17</v>
      </c>
      <c r="J2054" s="34" t="s">
        <v>18</v>
      </c>
      <c r="K2054" s="35" t="s">
        <v>0</v>
      </c>
      <c r="L2054" s="33"/>
      <c r="M2054" s="33"/>
      <c r="N2054" s="36"/>
      <c r="O2054" s="33">
        <v>3</v>
      </c>
      <c r="P2054" s="33">
        <v>3</v>
      </c>
      <c r="Q2054" s="33">
        <v>3</v>
      </c>
      <c r="R2054" s="33" t="s">
        <v>130</v>
      </c>
      <c r="S2054" s="33" t="s">
        <v>263</v>
      </c>
    </row>
    <row r="2055" spans="8:19" ht="27.6" x14ac:dyDescent="0.3">
      <c r="H2055" s="32" t="s">
        <v>83</v>
      </c>
      <c r="I2055" s="33" t="s">
        <v>17</v>
      </c>
      <c r="J2055" s="34" t="s">
        <v>19</v>
      </c>
      <c r="K2055" s="35" t="s">
        <v>291</v>
      </c>
      <c r="L2055" s="33" t="s">
        <v>178</v>
      </c>
      <c r="M2055" s="33">
        <v>8775</v>
      </c>
      <c r="N2055" s="36"/>
      <c r="O2055" s="33">
        <v>1</v>
      </c>
      <c r="P2055" s="33">
        <v>1</v>
      </c>
      <c r="Q2055" s="33">
        <v>1</v>
      </c>
      <c r="R2055" s="33" t="s">
        <v>130</v>
      </c>
      <c r="S2055" s="33" t="s">
        <v>263</v>
      </c>
    </row>
    <row r="2056" spans="8:19" ht="27.6" x14ac:dyDescent="0.3">
      <c r="H2056" s="32" t="s">
        <v>83</v>
      </c>
      <c r="I2056" s="33" t="s">
        <v>20</v>
      </c>
      <c r="J2056" s="34" t="s">
        <v>441</v>
      </c>
      <c r="K2056" s="35" t="s">
        <v>291</v>
      </c>
      <c r="L2056" s="33"/>
      <c r="M2056" s="33">
        <v>8775</v>
      </c>
      <c r="N2056" s="36"/>
      <c r="O2056" s="33">
        <v>1</v>
      </c>
      <c r="P2056" s="33">
        <v>1</v>
      </c>
      <c r="Q2056" s="33">
        <v>1</v>
      </c>
      <c r="R2056" s="33" t="s">
        <v>130</v>
      </c>
      <c r="S2056" s="33" t="s">
        <v>263</v>
      </c>
    </row>
    <row r="2057" spans="8:19" ht="27.6" x14ac:dyDescent="0.3">
      <c r="H2057" s="32" t="s">
        <v>83</v>
      </c>
      <c r="I2057" s="33" t="s">
        <v>25</v>
      </c>
      <c r="J2057" s="34" t="s">
        <v>472</v>
      </c>
      <c r="K2057" s="35" t="s">
        <v>291</v>
      </c>
      <c r="L2057" s="33"/>
      <c r="M2057" s="33">
        <v>9884</v>
      </c>
      <c r="N2057" s="36"/>
      <c r="O2057" s="33">
        <v>3</v>
      </c>
      <c r="P2057" s="33">
        <v>0</v>
      </c>
      <c r="Q2057" s="33">
        <v>3</v>
      </c>
      <c r="R2057" s="33" t="s">
        <v>130</v>
      </c>
      <c r="S2057" s="33" t="s">
        <v>263</v>
      </c>
    </row>
    <row r="2058" spans="8:19" ht="27.6" x14ac:dyDescent="0.3">
      <c r="H2058" s="32" t="s">
        <v>83</v>
      </c>
      <c r="I2058" s="33" t="s">
        <v>25</v>
      </c>
      <c r="J2058" s="34" t="s">
        <v>320</v>
      </c>
      <c r="K2058" s="35" t="s">
        <v>0</v>
      </c>
      <c r="L2058" s="33"/>
      <c r="M2058" s="33"/>
      <c r="N2058" s="36"/>
      <c r="O2058" s="33">
        <v>3</v>
      </c>
      <c r="P2058" s="33">
        <v>3</v>
      </c>
      <c r="Q2058" s="33">
        <v>3</v>
      </c>
      <c r="R2058" s="33" t="s">
        <v>130</v>
      </c>
      <c r="S2058" s="33" t="s">
        <v>263</v>
      </c>
    </row>
    <row r="2059" spans="8:19" ht="27.6" x14ac:dyDescent="0.3">
      <c r="H2059" s="32" t="s">
        <v>83</v>
      </c>
      <c r="I2059" s="33" t="s">
        <v>30</v>
      </c>
      <c r="J2059" s="34" t="s">
        <v>470</v>
      </c>
      <c r="K2059" s="35" t="s">
        <v>0</v>
      </c>
      <c r="L2059" s="33"/>
      <c r="M2059" s="33"/>
      <c r="N2059" s="36"/>
      <c r="O2059" s="33">
        <v>3</v>
      </c>
      <c r="P2059" s="33">
        <v>3</v>
      </c>
      <c r="Q2059" s="33">
        <v>3</v>
      </c>
      <c r="R2059" s="33" t="s">
        <v>130</v>
      </c>
      <c r="S2059" s="33" t="s">
        <v>263</v>
      </c>
    </row>
    <row r="2060" spans="8:19" ht="27.6" x14ac:dyDescent="0.3">
      <c r="H2060" s="32" t="s">
        <v>83</v>
      </c>
      <c r="I2060" s="33" t="s">
        <v>25</v>
      </c>
      <c r="J2060" s="34" t="s">
        <v>449</v>
      </c>
      <c r="K2060" s="35" t="s">
        <v>0</v>
      </c>
      <c r="L2060" s="33"/>
      <c r="M2060" s="33"/>
      <c r="N2060" s="36"/>
      <c r="O2060" s="33">
        <v>3</v>
      </c>
      <c r="P2060" s="33">
        <v>3</v>
      </c>
      <c r="Q2060" s="33">
        <v>3</v>
      </c>
      <c r="R2060" s="33" t="s">
        <v>130</v>
      </c>
      <c r="S2060" s="33" t="s">
        <v>263</v>
      </c>
    </row>
    <row r="2061" spans="8:19" ht="41.4" x14ac:dyDescent="0.3">
      <c r="H2061" s="32" t="s">
        <v>83</v>
      </c>
      <c r="I2061" s="33" t="s">
        <v>41</v>
      </c>
      <c r="J2061" s="34" t="s">
        <v>442</v>
      </c>
      <c r="K2061" s="35" t="s">
        <v>291</v>
      </c>
      <c r="L2061" s="33" t="s">
        <v>423</v>
      </c>
      <c r="M2061" s="33">
        <v>8785</v>
      </c>
      <c r="N2061" s="36"/>
      <c r="O2061" s="33">
        <v>3</v>
      </c>
      <c r="P2061" s="33">
        <v>0</v>
      </c>
      <c r="Q2061" s="33">
        <v>1.5</v>
      </c>
      <c r="R2061" s="33" t="s">
        <v>130</v>
      </c>
      <c r="S2061" s="33" t="s">
        <v>263</v>
      </c>
    </row>
    <row r="2062" spans="8:19" ht="41.4" x14ac:dyDescent="0.3">
      <c r="H2062" s="32" t="s">
        <v>83</v>
      </c>
      <c r="I2062" s="53" t="s">
        <v>41</v>
      </c>
      <c r="J2062" s="34" t="s">
        <v>443</v>
      </c>
      <c r="K2062" s="54" t="s">
        <v>291</v>
      </c>
      <c r="L2062" s="53" t="s">
        <v>423</v>
      </c>
      <c r="M2062" s="53">
        <v>8785</v>
      </c>
      <c r="N2062" s="55"/>
      <c r="O2062" s="53">
        <v>2</v>
      </c>
      <c r="P2062" s="53">
        <v>0</v>
      </c>
      <c r="Q2062" s="33">
        <v>2</v>
      </c>
      <c r="R2062" s="33" t="s">
        <v>130</v>
      </c>
      <c r="S2062" s="33" t="s">
        <v>263</v>
      </c>
    </row>
    <row r="2063" spans="8:19" ht="34.799999999999997" customHeight="1" x14ac:dyDescent="0.3">
      <c r="H2063" s="16" t="s">
        <v>134</v>
      </c>
      <c r="I2063" s="17" t="s">
        <v>14</v>
      </c>
      <c r="J2063" s="18" t="s">
        <v>15</v>
      </c>
      <c r="K2063" s="19" t="s">
        <v>0</v>
      </c>
      <c r="L2063" s="17"/>
      <c r="M2063" s="17"/>
      <c r="N2063" s="20"/>
      <c r="O2063" s="17">
        <v>3</v>
      </c>
      <c r="P2063" s="17">
        <v>3</v>
      </c>
      <c r="Q2063" s="17">
        <v>3</v>
      </c>
      <c r="R2063" s="17" t="s">
        <v>130</v>
      </c>
      <c r="S2063" s="33" t="s">
        <v>263</v>
      </c>
    </row>
    <row r="2064" spans="8:19" ht="34.799999999999997" customHeight="1" x14ac:dyDescent="0.3">
      <c r="H2064" s="16" t="s">
        <v>134</v>
      </c>
      <c r="I2064" s="17" t="s">
        <v>14</v>
      </c>
      <c r="J2064" s="18" t="s">
        <v>16</v>
      </c>
      <c r="K2064" s="19" t="s">
        <v>291</v>
      </c>
      <c r="L2064" s="17"/>
      <c r="M2064" s="17"/>
      <c r="N2064" s="20"/>
      <c r="O2064" s="17">
        <v>1</v>
      </c>
      <c r="P2064" s="17">
        <v>1</v>
      </c>
      <c r="Q2064" s="17">
        <v>1</v>
      </c>
      <c r="R2064" s="17" t="s">
        <v>130</v>
      </c>
      <c r="S2064" s="33" t="s">
        <v>263</v>
      </c>
    </row>
    <row r="2065" spans="8:19" ht="34.799999999999997" customHeight="1" x14ac:dyDescent="0.3">
      <c r="H2065" s="16" t="s">
        <v>134</v>
      </c>
      <c r="I2065" s="17" t="s">
        <v>10</v>
      </c>
      <c r="J2065" s="18" t="s">
        <v>11</v>
      </c>
      <c r="K2065" s="19" t="s">
        <v>0</v>
      </c>
      <c r="L2065" s="17"/>
      <c r="M2065" s="17"/>
      <c r="N2065" s="20"/>
      <c r="O2065" s="17">
        <v>3</v>
      </c>
      <c r="P2065" s="17">
        <v>0</v>
      </c>
      <c r="Q2065" s="17">
        <v>3</v>
      </c>
      <c r="R2065" s="17" t="s">
        <v>130</v>
      </c>
      <c r="S2065" s="33" t="s">
        <v>263</v>
      </c>
    </row>
    <row r="2066" spans="8:19" ht="34.799999999999997" customHeight="1" x14ac:dyDescent="0.3">
      <c r="H2066" s="16" t="s">
        <v>134</v>
      </c>
      <c r="I2066" s="17" t="s">
        <v>10</v>
      </c>
      <c r="J2066" s="18" t="s">
        <v>316</v>
      </c>
      <c r="K2066" s="19" t="s">
        <v>0</v>
      </c>
      <c r="L2066" s="17"/>
      <c r="M2066" s="17"/>
      <c r="N2066" s="20"/>
      <c r="O2066" s="17">
        <v>3</v>
      </c>
      <c r="P2066" s="17">
        <v>3</v>
      </c>
      <c r="Q2066" s="17">
        <v>3</v>
      </c>
      <c r="R2066" s="17" t="s">
        <v>130</v>
      </c>
      <c r="S2066" s="33" t="s">
        <v>263</v>
      </c>
    </row>
    <row r="2067" spans="8:19" ht="34.799999999999997" customHeight="1" x14ac:dyDescent="0.3">
      <c r="H2067" s="16" t="s">
        <v>134</v>
      </c>
      <c r="I2067" s="17" t="s">
        <v>10</v>
      </c>
      <c r="J2067" s="18" t="s">
        <v>319</v>
      </c>
      <c r="K2067" s="19" t="s">
        <v>291</v>
      </c>
      <c r="L2067" s="17"/>
      <c r="M2067" s="17"/>
      <c r="N2067" s="20"/>
      <c r="O2067" s="17">
        <v>3</v>
      </c>
      <c r="P2067" s="17">
        <v>0</v>
      </c>
      <c r="Q2067" s="17">
        <v>3</v>
      </c>
      <c r="R2067" s="17" t="s">
        <v>130</v>
      </c>
      <c r="S2067" s="33" t="s">
        <v>263</v>
      </c>
    </row>
    <row r="2068" spans="8:19" ht="34.799999999999997" customHeight="1" x14ac:dyDescent="0.3">
      <c r="H2068" s="16" t="s">
        <v>134</v>
      </c>
      <c r="I2068" s="17" t="s">
        <v>10</v>
      </c>
      <c r="J2068" s="18" t="s">
        <v>393</v>
      </c>
      <c r="K2068" s="27" t="s">
        <v>0</v>
      </c>
      <c r="L2068" s="17"/>
      <c r="M2068" s="17"/>
      <c r="N2068" s="20"/>
      <c r="O2068" s="17">
        <v>2</v>
      </c>
      <c r="P2068" s="17">
        <v>2</v>
      </c>
      <c r="Q2068" s="17">
        <v>2</v>
      </c>
      <c r="R2068" s="17" t="s">
        <v>130</v>
      </c>
      <c r="S2068" s="33" t="s">
        <v>263</v>
      </c>
    </row>
    <row r="2069" spans="8:19" ht="34.799999999999997" customHeight="1" x14ac:dyDescent="0.3">
      <c r="H2069" s="16" t="s">
        <v>134</v>
      </c>
      <c r="I2069" s="17" t="s">
        <v>10</v>
      </c>
      <c r="J2069" s="18" t="s">
        <v>313</v>
      </c>
      <c r="K2069" s="19" t="s">
        <v>0</v>
      </c>
      <c r="L2069" s="17"/>
      <c r="M2069" s="17"/>
      <c r="N2069" s="20"/>
      <c r="O2069" s="17">
        <v>3</v>
      </c>
      <c r="P2069" s="17">
        <v>3</v>
      </c>
      <c r="Q2069" s="17">
        <v>3</v>
      </c>
      <c r="R2069" s="17" t="s">
        <v>130</v>
      </c>
      <c r="S2069" s="33" t="s">
        <v>263</v>
      </c>
    </row>
    <row r="2070" spans="8:19" ht="34.799999999999997" customHeight="1" x14ac:dyDescent="0.3">
      <c r="H2070" s="16" t="s">
        <v>134</v>
      </c>
      <c r="I2070" s="17" t="s">
        <v>12</v>
      </c>
      <c r="J2070" s="18" t="s">
        <v>13</v>
      </c>
      <c r="K2070" s="19" t="s">
        <v>0</v>
      </c>
      <c r="L2070" s="17"/>
      <c r="M2070" s="17"/>
      <c r="N2070" s="20"/>
      <c r="O2070" s="17">
        <v>2</v>
      </c>
      <c r="P2070" s="17">
        <v>0</v>
      </c>
      <c r="Q2070" s="17">
        <v>2</v>
      </c>
      <c r="R2070" s="17" t="s">
        <v>130</v>
      </c>
      <c r="S2070" s="33" t="s">
        <v>263</v>
      </c>
    </row>
    <row r="2071" spans="8:19" ht="34.799999999999997" customHeight="1" x14ac:dyDescent="0.3">
      <c r="H2071" s="16" t="s">
        <v>134</v>
      </c>
      <c r="I2071" s="17" t="s">
        <v>17</v>
      </c>
      <c r="J2071" s="18" t="s">
        <v>18</v>
      </c>
      <c r="K2071" s="19" t="s">
        <v>0</v>
      </c>
      <c r="L2071" s="17"/>
      <c r="M2071" s="17"/>
      <c r="N2071" s="20"/>
      <c r="O2071" s="17">
        <v>3</v>
      </c>
      <c r="P2071" s="17">
        <v>3</v>
      </c>
      <c r="Q2071" s="17">
        <v>3</v>
      </c>
      <c r="R2071" s="17" t="s">
        <v>130</v>
      </c>
      <c r="S2071" s="33" t="s">
        <v>263</v>
      </c>
    </row>
    <row r="2072" spans="8:19" ht="34.799999999999997" customHeight="1" x14ac:dyDescent="0.3">
      <c r="H2072" s="16" t="s">
        <v>134</v>
      </c>
      <c r="I2072" s="17" t="s">
        <v>17</v>
      </c>
      <c r="J2072" s="18" t="s">
        <v>19</v>
      </c>
      <c r="K2072" s="19" t="s">
        <v>0</v>
      </c>
      <c r="L2072" s="17"/>
      <c r="M2072" s="17"/>
      <c r="N2072" s="20"/>
      <c r="O2072" s="17">
        <v>1</v>
      </c>
      <c r="P2072" s="17">
        <v>1</v>
      </c>
      <c r="Q2072" s="17">
        <v>1</v>
      </c>
      <c r="R2072" s="17" t="s">
        <v>130</v>
      </c>
      <c r="S2072" s="33" t="s">
        <v>263</v>
      </c>
    </row>
    <row r="2073" spans="8:19" ht="34.799999999999997" customHeight="1" x14ac:dyDescent="0.3">
      <c r="H2073" s="16" t="s">
        <v>134</v>
      </c>
      <c r="I2073" s="17" t="s">
        <v>20</v>
      </c>
      <c r="J2073" s="18" t="s">
        <v>21</v>
      </c>
      <c r="K2073" s="19" t="s">
        <v>0</v>
      </c>
      <c r="L2073" s="17"/>
      <c r="M2073" s="17"/>
      <c r="N2073" s="20"/>
      <c r="O2073" s="17">
        <v>3</v>
      </c>
      <c r="P2073" s="17">
        <v>3</v>
      </c>
      <c r="Q2073" s="17">
        <v>3</v>
      </c>
      <c r="R2073" s="17" t="s">
        <v>130</v>
      </c>
      <c r="S2073" s="33" t="s">
        <v>263</v>
      </c>
    </row>
    <row r="2074" spans="8:19" ht="34.799999999999997" customHeight="1" x14ac:dyDescent="0.3">
      <c r="H2074" s="16" t="s">
        <v>134</v>
      </c>
      <c r="I2074" s="17" t="s">
        <v>20</v>
      </c>
      <c r="J2074" s="18" t="s">
        <v>311</v>
      </c>
      <c r="K2074" s="19" t="s">
        <v>0</v>
      </c>
      <c r="L2074" s="17"/>
      <c r="M2074" s="17"/>
      <c r="N2074" s="20"/>
      <c r="O2074" s="17">
        <v>1</v>
      </c>
      <c r="P2074" s="17">
        <v>1</v>
      </c>
      <c r="Q2074" s="17">
        <v>1</v>
      </c>
      <c r="R2074" s="17" t="s">
        <v>130</v>
      </c>
      <c r="S2074" s="33" t="s">
        <v>263</v>
      </c>
    </row>
    <row r="2075" spans="8:19" ht="34.799999999999997" customHeight="1" x14ac:dyDescent="0.3">
      <c r="H2075" s="16" t="s">
        <v>134</v>
      </c>
      <c r="I2075" s="17" t="s">
        <v>22</v>
      </c>
      <c r="J2075" s="18" t="s">
        <v>23</v>
      </c>
      <c r="K2075" s="27" t="s">
        <v>0</v>
      </c>
      <c r="L2075" s="17"/>
      <c r="M2075" s="17"/>
      <c r="N2075" s="20"/>
      <c r="O2075" s="17">
        <v>1</v>
      </c>
      <c r="P2075" s="17">
        <v>1</v>
      </c>
      <c r="Q2075" s="17">
        <v>1</v>
      </c>
      <c r="R2075" s="17" t="s">
        <v>130</v>
      </c>
      <c r="S2075" s="33" t="s">
        <v>263</v>
      </c>
    </row>
    <row r="2076" spans="8:19" ht="34.799999999999997" customHeight="1" x14ac:dyDescent="0.3">
      <c r="H2076" s="16" t="s">
        <v>134</v>
      </c>
      <c r="I2076" s="17" t="s">
        <v>22</v>
      </c>
      <c r="J2076" s="18" t="s">
        <v>322</v>
      </c>
      <c r="K2076" s="27" t="s">
        <v>0</v>
      </c>
      <c r="L2076" s="17"/>
      <c r="M2076" s="17"/>
      <c r="N2076" s="20"/>
      <c r="O2076" s="17">
        <v>1</v>
      </c>
      <c r="P2076" s="17">
        <v>1</v>
      </c>
      <c r="Q2076" s="17">
        <v>1</v>
      </c>
      <c r="R2076" s="17" t="s">
        <v>130</v>
      </c>
      <c r="S2076" s="33" t="s">
        <v>263</v>
      </c>
    </row>
    <row r="2077" spans="8:19" ht="34.799999999999997" customHeight="1" x14ac:dyDescent="0.3">
      <c r="H2077" s="16" t="s">
        <v>134</v>
      </c>
      <c r="I2077" s="17" t="s">
        <v>25</v>
      </c>
      <c r="J2077" s="18" t="s">
        <v>321</v>
      </c>
      <c r="K2077" s="19" t="s">
        <v>291</v>
      </c>
      <c r="L2077" s="17"/>
      <c r="M2077" s="17"/>
      <c r="N2077" s="20"/>
      <c r="O2077" s="17">
        <v>3</v>
      </c>
      <c r="P2077" s="17">
        <v>0</v>
      </c>
      <c r="Q2077" s="17">
        <v>3</v>
      </c>
      <c r="R2077" s="17" t="s">
        <v>130</v>
      </c>
      <c r="S2077" s="33" t="s">
        <v>263</v>
      </c>
    </row>
    <row r="2078" spans="8:19" ht="34.799999999999997" customHeight="1" x14ac:dyDescent="0.3">
      <c r="H2078" s="16" t="s">
        <v>134</v>
      </c>
      <c r="I2078" s="17" t="s">
        <v>25</v>
      </c>
      <c r="J2078" s="18" t="s">
        <v>320</v>
      </c>
      <c r="K2078" s="19" t="s">
        <v>291</v>
      </c>
      <c r="L2078" s="17"/>
      <c r="M2078" s="17"/>
      <c r="N2078" s="20"/>
      <c r="O2078" s="17">
        <v>3</v>
      </c>
      <c r="P2078" s="17">
        <v>3</v>
      </c>
      <c r="Q2078" s="17">
        <v>3</v>
      </c>
      <c r="R2078" s="17" t="s">
        <v>130</v>
      </c>
      <c r="S2078" s="33" t="s">
        <v>263</v>
      </c>
    </row>
    <row r="2079" spans="8:19" ht="34.799999999999997" customHeight="1" x14ac:dyDescent="0.3">
      <c r="H2079" s="16" t="s">
        <v>134</v>
      </c>
      <c r="I2079" s="17" t="s">
        <v>30</v>
      </c>
      <c r="J2079" s="18" t="s">
        <v>315</v>
      </c>
      <c r="K2079" s="19" t="s">
        <v>0</v>
      </c>
      <c r="L2079" s="17"/>
      <c r="M2079" s="17"/>
      <c r="N2079" s="20"/>
      <c r="O2079" s="17">
        <v>3</v>
      </c>
      <c r="P2079" s="17">
        <v>3</v>
      </c>
      <c r="Q2079" s="17">
        <v>3</v>
      </c>
      <c r="R2079" s="17" t="s">
        <v>130</v>
      </c>
      <c r="S2079" s="33" t="s">
        <v>263</v>
      </c>
    </row>
    <row r="2080" spans="8:19" ht="34.799999999999997" customHeight="1" x14ac:dyDescent="0.3">
      <c r="H2080" s="16" t="s">
        <v>134</v>
      </c>
      <c r="I2080" s="17" t="s">
        <v>25</v>
      </c>
      <c r="J2080" s="18" t="s">
        <v>312</v>
      </c>
      <c r="K2080" s="19" t="s">
        <v>0</v>
      </c>
      <c r="L2080" s="17"/>
      <c r="M2080" s="17"/>
      <c r="N2080" s="20"/>
      <c r="O2080" s="17">
        <v>3</v>
      </c>
      <c r="P2080" s="17">
        <v>3</v>
      </c>
      <c r="Q2080" s="17">
        <v>3</v>
      </c>
      <c r="R2080" s="17" t="s">
        <v>130</v>
      </c>
      <c r="S2080" s="33" t="s">
        <v>263</v>
      </c>
    </row>
    <row r="2081" spans="8:19" ht="34.799999999999997" customHeight="1" x14ac:dyDescent="0.3">
      <c r="H2081" s="16" t="s">
        <v>134</v>
      </c>
      <c r="I2081" s="17" t="s">
        <v>41</v>
      </c>
      <c r="J2081" s="18" t="s">
        <v>307</v>
      </c>
      <c r="K2081" s="19" t="s">
        <v>0</v>
      </c>
      <c r="L2081" s="17"/>
      <c r="M2081" s="17"/>
      <c r="N2081" s="20"/>
      <c r="O2081" s="17">
        <v>3</v>
      </c>
      <c r="P2081" s="17">
        <v>0</v>
      </c>
      <c r="Q2081" s="17">
        <v>1.5</v>
      </c>
      <c r="R2081" s="17" t="s">
        <v>130</v>
      </c>
      <c r="S2081" s="33" t="s">
        <v>263</v>
      </c>
    </row>
    <row r="2082" spans="8:19" ht="34.799999999999997" customHeight="1" x14ac:dyDescent="0.3">
      <c r="H2082" s="16" t="s">
        <v>134</v>
      </c>
      <c r="I2082" s="23" t="s">
        <v>41</v>
      </c>
      <c r="J2082" s="18" t="s">
        <v>308</v>
      </c>
      <c r="K2082" s="24" t="s">
        <v>0</v>
      </c>
      <c r="L2082" s="23"/>
      <c r="M2082" s="23"/>
      <c r="N2082" s="25"/>
      <c r="O2082" s="23">
        <v>2</v>
      </c>
      <c r="P2082" s="23">
        <v>0</v>
      </c>
      <c r="Q2082" s="17">
        <v>2</v>
      </c>
      <c r="R2082" s="17" t="s">
        <v>130</v>
      </c>
      <c r="S2082" s="33" t="s">
        <v>263</v>
      </c>
    </row>
    <row r="2083" spans="8:19" ht="37.200000000000003" customHeight="1" x14ac:dyDescent="0.3">
      <c r="H2083" s="16" t="s">
        <v>76</v>
      </c>
      <c r="I2083" s="17" t="s">
        <v>14</v>
      </c>
      <c r="J2083" s="18" t="s">
        <v>15</v>
      </c>
      <c r="K2083" s="19" t="s">
        <v>0</v>
      </c>
      <c r="L2083" s="17"/>
      <c r="M2083" s="17"/>
      <c r="N2083" s="20"/>
      <c r="O2083" s="17">
        <v>3</v>
      </c>
      <c r="P2083" s="17">
        <v>3</v>
      </c>
      <c r="Q2083" s="17">
        <v>3</v>
      </c>
      <c r="R2083" s="17" t="s">
        <v>130</v>
      </c>
      <c r="S2083" s="33" t="s">
        <v>263</v>
      </c>
    </row>
    <row r="2084" spans="8:19" ht="37.200000000000003" customHeight="1" x14ac:dyDescent="0.3">
      <c r="H2084" s="16" t="s">
        <v>76</v>
      </c>
      <c r="I2084" s="17" t="s">
        <v>14</v>
      </c>
      <c r="J2084" s="18" t="s">
        <v>16</v>
      </c>
      <c r="K2084" s="19" t="s">
        <v>290</v>
      </c>
      <c r="L2084" s="17" t="s">
        <v>476</v>
      </c>
      <c r="M2084" s="17"/>
      <c r="N2084" s="20"/>
      <c r="O2084" s="17">
        <v>1</v>
      </c>
      <c r="P2084" s="17">
        <v>1</v>
      </c>
      <c r="Q2084" s="17">
        <v>1</v>
      </c>
      <c r="R2084" s="17" t="s">
        <v>130</v>
      </c>
      <c r="S2084" s="33" t="s">
        <v>263</v>
      </c>
    </row>
    <row r="2085" spans="8:19" ht="37.200000000000003" customHeight="1" x14ac:dyDescent="0.3">
      <c r="H2085" s="16" t="s">
        <v>76</v>
      </c>
      <c r="I2085" s="17" t="s">
        <v>10</v>
      </c>
      <c r="J2085" s="18" t="s">
        <v>11</v>
      </c>
      <c r="K2085" s="19" t="s">
        <v>0</v>
      </c>
      <c r="L2085" s="17"/>
      <c r="M2085" s="17"/>
      <c r="N2085" s="20"/>
      <c r="O2085" s="17">
        <v>3</v>
      </c>
      <c r="P2085" s="17">
        <v>0</v>
      </c>
      <c r="Q2085" s="17">
        <v>3</v>
      </c>
      <c r="R2085" s="17" t="s">
        <v>130</v>
      </c>
      <c r="S2085" s="33" t="s">
        <v>263</v>
      </c>
    </row>
    <row r="2086" spans="8:19" ht="37.200000000000003" customHeight="1" x14ac:dyDescent="0.3">
      <c r="H2086" s="16" t="s">
        <v>76</v>
      </c>
      <c r="I2086" s="17" t="s">
        <v>10</v>
      </c>
      <c r="J2086" s="18" t="s">
        <v>316</v>
      </c>
      <c r="K2086" s="19" t="s">
        <v>0</v>
      </c>
      <c r="L2086" s="17"/>
      <c r="M2086" s="17"/>
      <c r="N2086" s="20"/>
      <c r="O2086" s="17">
        <v>3</v>
      </c>
      <c r="P2086" s="17">
        <v>3</v>
      </c>
      <c r="Q2086" s="17">
        <v>3</v>
      </c>
      <c r="R2086" s="17" t="s">
        <v>130</v>
      </c>
      <c r="S2086" s="33" t="s">
        <v>263</v>
      </c>
    </row>
    <row r="2087" spans="8:19" ht="37.200000000000003" customHeight="1" x14ac:dyDescent="0.3">
      <c r="H2087" s="16" t="s">
        <v>76</v>
      </c>
      <c r="I2087" s="17" t="s">
        <v>10</v>
      </c>
      <c r="J2087" s="18" t="s">
        <v>319</v>
      </c>
      <c r="K2087" s="19" t="s">
        <v>0</v>
      </c>
      <c r="L2087" s="17"/>
      <c r="M2087" s="17"/>
      <c r="N2087" s="20"/>
      <c r="O2087" s="17">
        <v>3</v>
      </c>
      <c r="P2087" s="17">
        <v>0</v>
      </c>
      <c r="Q2087" s="17">
        <v>3</v>
      </c>
      <c r="R2087" s="17" t="s">
        <v>130</v>
      </c>
      <c r="S2087" s="33" t="s">
        <v>263</v>
      </c>
    </row>
    <row r="2088" spans="8:19" ht="37.200000000000003" customHeight="1" x14ac:dyDescent="0.3">
      <c r="H2088" s="16" t="s">
        <v>76</v>
      </c>
      <c r="I2088" s="17" t="s">
        <v>10</v>
      </c>
      <c r="J2088" s="18" t="s">
        <v>393</v>
      </c>
      <c r="K2088" s="27" t="s">
        <v>0</v>
      </c>
      <c r="L2088" s="17"/>
      <c r="M2088" s="17"/>
      <c r="N2088" s="20"/>
      <c r="O2088" s="17">
        <v>2</v>
      </c>
      <c r="P2088" s="17">
        <v>2</v>
      </c>
      <c r="Q2088" s="17">
        <v>2</v>
      </c>
      <c r="R2088" s="17" t="s">
        <v>130</v>
      </c>
      <c r="S2088" s="33" t="s">
        <v>263</v>
      </c>
    </row>
    <row r="2089" spans="8:19" ht="37.200000000000003" customHeight="1" x14ac:dyDescent="0.3">
      <c r="H2089" s="16" t="s">
        <v>76</v>
      </c>
      <c r="I2089" s="17" t="s">
        <v>10</v>
      </c>
      <c r="J2089" s="18" t="s">
        <v>313</v>
      </c>
      <c r="K2089" s="19" t="s">
        <v>0</v>
      </c>
      <c r="L2089" s="17"/>
      <c r="M2089" s="17"/>
      <c r="N2089" s="20"/>
      <c r="O2089" s="17">
        <v>3</v>
      </c>
      <c r="P2089" s="17">
        <v>3</v>
      </c>
      <c r="Q2089" s="17">
        <v>3</v>
      </c>
      <c r="R2089" s="17" t="s">
        <v>130</v>
      </c>
      <c r="S2089" s="33" t="s">
        <v>263</v>
      </c>
    </row>
    <row r="2090" spans="8:19" ht="37.200000000000003" customHeight="1" x14ac:dyDescent="0.3">
      <c r="H2090" s="16" t="s">
        <v>76</v>
      </c>
      <c r="I2090" s="17" t="s">
        <v>12</v>
      </c>
      <c r="J2090" s="18" t="s">
        <v>13</v>
      </c>
      <c r="K2090" s="19" t="s">
        <v>0</v>
      </c>
      <c r="L2090" s="17"/>
      <c r="M2090" s="17"/>
      <c r="N2090" s="20"/>
      <c r="O2090" s="17">
        <v>2</v>
      </c>
      <c r="P2090" s="17">
        <v>0</v>
      </c>
      <c r="Q2090" s="17">
        <v>2</v>
      </c>
      <c r="R2090" s="17" t="s">
        <v>130</v>
      </c>
      <c r="S2090" s="33" t="s">
        <v>263</v>
      </c>
    </row>
    <row r="2091" spans="8:19" ht="37.200000000000003" customHeight="1" x14ac:dyDescent="0.3">
      <c r="H2091" s="16" t="s">
        <v>76</v>
      </c>
      <c r="I2091" s="17" t="s">
        <v>17</v>
      </c>
      <c r="J2091" s="18" t="s">
        <v>18</v>
      </c>
      <c r="K2091" s="19" t="s">
        <v>0</v>
      </c>
      <c r="L2091" s="17"/>
      <c r="M2091" s="17"/>
      <c r="N2091" s="20"/>
      <c r="O2091" s="17">
        <v>3</v>
      </c>
      <c r="P2091" s="17">
        <v>3</v>
      </c>
      <c r="Q2091" s="17">
        <v>3</v>
      </c>
      <c r="R2091" s="17" t="s">
        <v>130</v>
      </c>
      <c r="S2091" s="33" t="s">
        <v>263</v>
      </c>
    </row>
    <row r="2092" spans="8:19" ht="37.200000000000003" customHeight="1" x14ac:dyDescent="0.3">
      <c r="H2092" s="16" t="s">
        <v>76</v>
      </c>
      <c r="I2092" s="17" t="s">
        <v>17</v>
      </c>
      <c r="J2092" s="18" t="s">
        <v>19</v>
      </c>
      <c r="K2092" s="19" t="s">
        <v>0</v>
      </c>
      <c r="L2092" s="17"/>
      <c r="M2092" s="17"/>
      <c r="N2092" s="20"/>
      <c r="O2092" s="17">
        <v>1</v>
      </c>
      <c r="P2092" s="17">
        <v>1</v>
      </c>
      <c r="Q2092" s="17">
        <v>1</v>
      </c>
      <c r="R2092" s="17" t="s">
        <v>130</v>
      </c>
      <c r="S2092" s="33" t="s">
        <v>263</v>
      </c>
    </row>
    <row r="2093" spans="8:19" ht="37.200000000000003" customHeight="1" x14ac:dyDescent="0.3">
      <c r="H2093" s="16" t="s">
        <v>76</v>
      </c>
      <c r="I2093" s="17" t="s">
        <v>20</v>
      </c>
      <c r="J2093" s="18" t="s">
        <v>21</v>
      </c>
      <c r="K2093" s="19" t="s">
        <v>291</v>
      </c>
      <c r="L2093" s="17"/>
      <c r="M2093" s="17">
        <v>9348</v>
      </c>
      <c r="N2093" s="20"/>
      <c r="O2093" s="17">
        <v>3</v>
      </c>
      <c r="P2093" s="17">
        <v>3</v>
      </c>
      <c r="Q2093" s="17">
        <v>3</v>
      </c>
      <c r="R2093" s="17" t="s">
        <v>130</v>
      </c>
      <c r="S2093" s="33" t="s">
        <v>263</v>
      </c>
    </row>
    <row r="2094" spans="8:19" ht="37.200000000000003" customHeight="1" x14ac:dyDescent="0.3">
      <c r="H2094" s="16" t="s">
        <v>76</v>
      </c>
      <c r="I2094" s="17" t="s">
        <v>20</v>
      </c>
      <c r="J2094" s="18" t="s">
        <v>311</v>
      </c>
      <c r="K2094" s="19" t="s">
        <v>290</v>
      </c>
      <c r="L2094" s="17" t="s">
        <v>477</v>
      </c>
      <c r="M2094" s="17"/>
      <c r="N2094" s="20"/>
      <c r="O2094" s="17">
        <v>1</v>
      </c>
      <c r="P2094" s="17">
        <v>1</v>
      </c>
      <c r="Q2094" s="17">
        <v>1</v>
      </c>
      <c r="R2094" s="17" t="s">
        <v>130</v>
      </c>
      <c r="S2094" s="33" t="s">
        <v>263</v>
      </c>
    </row>
    <row r="2095" spans="8:19" ht="37.200000000000003" customHeight="1" x14ac:dyDescent="0.3">
      <c r="H2095" s="16" t="s">
        <v>76</v>
      </c>
      <c r="I2095" s="17" t="s">
        <v>22</v>
      </c>
      <c r="J2095" s="18" t="s">
        <v>23</v>
      </c>
      <c r="K2095" s="27" t="s">
        <v>0</v>
      </c>
      <c r="L2095" s="17"/>
      <c r="M2095" s="17"/>
      <c r="N2095" s="20"/>
      <c r="O2095" s="17">
        <v>1</v>
      </c>
      <c r="P2095" s="17">
        <v>1</v>
      </c>
      <c r="Q2095" s="17">
        <v>1</v>
      </c>
      <c r="R2095" s="17" t="s">
        <v>130</v>
      </c>
      <c r="S2095" s="33" t="s">
        <v>263</v>
      </c>
    </row>
    <row r="2096" spans="8:19" ht="37.200000000000003" customHeight="1" x14ac:dyDescent="0.3">
      <c r="H2096" s="16" t="s">
        <v>76</v>
      </c>
      <c r="I2096" s="17" t="s">
        <v>22</v>
      </c>
      <c r="J2096" s="18" t="s">
        <v>322</v>
      </c>
      <c r="K2096" s="27" t="s">
        <v>0</v>
      </c>
      <c r="L2096" s="17"/>
      <c r="M2096" s="17"/>
      <c r="N2096" s="20"/>
      <c r="O2096" s="17">
        <v>1</v>
      </c>
      <c r="P2096" s="17">
        <v>1</v>
      </c>
      <c r="Q2096" s="17">
        <v>1</v>
      </c>
      <c r="R2096" s="17" t="s">
        <v>130</v>
      </c>
      <c r="S2096" s="33" t="s">
        <v>263</v>
      </c>
    </row>
    <row r="2097" spans="8:19" ht="37.200000000000003" customHeight="1" x14ac:dyDescent="0.3">
      <c r="H2097" s="16" t="s">
        <v>76</v>
      </c>
      <c r="I2097" s="17" t="s">
        <v>25</v>
      </c>
      <c r="J2097" s="18" t="s">
        <v>321</v>
      </c>
      <c r="K2097" s="19" t="s">
        <v>290</v>
      </c>
      <c r="L2097" s="17"/>
      <c r="M2097" s="17"/>
      <c r="N2097" s="20"/>
      <c r="O2097" s="17">
        <v>3</v>
      </c>
      <c r="P2097" s="17">
        <v>0</v>
      </c>
      <c r="Q2097" s="17">
        <v>3</v>
      </c>
      <c r="R2097" s="17" t="s">
        <v>130</v>
      </c>
      <c r="S2097" s="33" t="s">
        <v>263</v>
      </c>
    </row>
    <row r="2098" spans="8:19" ht="37.200000000000003" customHeight="1" x14ac:dyDescent="0.3">
      <c r="H2098" s="16" t="s">
        <v>76</v>
      </c>
      <c r="I2098" s="17" t="s">
        <v>25</v>
      </c>
      <c r="J2098" s="18" t="s">
        <v>320</v>
      </c>
      <c r="K2098" s="19" t="s">
        <v>0</v>
      </c>
      <c r="L2098" s="17"/>
      <c r="M2098" s="17"/>
      <c r="N2098" s="20"/>
      <c r="O2098" s="17">
        <v>3</v>
      </c>
      <c r="P2098" s="17">
        <v>3</v>
      </c>
      <c r="Q2098" s="17">
        <v>3</v>
      </c>
      <c r="R2098" s="17" t="s">
        <v>130</v>
      </c>
      <c r="S2098" s="33" t="s">
        <v>263</v>
      </c>
    </row>
    <row r="2099" spans="8:19" ht="37.200000000000003" customHeight="1" x14ac:dyDescent="0.3">
      <c r="H2099" s="16" t="s">
        <v>76</v>
      </c>
      <c r="I2099" s="17" t="s">
        <v>30</v>
      </c>
      <c r="J2099" s="18" t="s">
        <v>315</v>
      </c>
      <c r="K2099" s="19" t="s">
        <v>0</v>
      </c>
      <c r="L2099" s="17"/>
      <c r="M2099" s="17"/>
      <c r="N2099" s="20"/>
      <c r="O2099" s="17">
        <v>3</v>
      </c>
      <c r="P2099" s="17">
        <v>3</v>
      </c>
      <c r="Q2099" s="17">
        <v>3</v>
      </c>
      <c r="R2099" s="17" t="s">
        <v>130</v>
      </c>
      <c r="S2099" s="33" t="s">
        <v>263</v>
      </c>
    </row>
    <row r="2100" spans="8:19" ht="37.200000000000003" customHeight="1" x14ac:dyDescent="0.3">
      <c r="H2100" s="16" t="s">
        <v>76</v>
      </c>
      <c r="I2100" s="17" t="s">
        <v>25</v>
      </c>
      <c r="J2100" s="18" t="s">
        <v>312</v>
      </c>
      <c r="K2100" s="19" t="s">
        <v>291</v>
      </c>
      <c r="L2100" s="17"/>
      <c r="M2100" s="17">
        <v>4611</v>
      </c>
      <c r="N2100" s="20"/>
      <c r="O2100" s="17">
        <v>3</v>
      </c>
      <c r="P2100" s="17">
        <v>3</v>
      </c>
      <c r="Q2100" s="17">
        <v>3</v>
      </c>
      <c r="R2100" s="17" t="s">
        <v>130</v>
      </c>
      <c r="S2100" s="33" t="s">
        <v>263</v>
      </c>
    </row>
    <row r="2101" spans="8:19" ht="37.200000000000003" customHeight="1" x14ac:dyDescent="0.3">
      <c r="H2101" s="16" t="s">
        <v>76</v>
      </c>
      <c r="I2101" s="17" t="s">
        <v>41</v>
      </c>
      <c r="J2101" s="18" t="s">
        <v>307</v>
      </c>
      <c r="K2101" s="19" t="s">
        <v>290</v>
      </c>
      <c r="L2101" s="17" t="s">
        <v>285</v>
      </c>
      <c r="M2101" s="17"/>
      <c r="N2101" s="20"/>
      <c r="O2101" s="17">
        <v>3</v>
      </c>
      <c r="P2101" s="17">
        <v>0</v>
      </c>
      <c r="Q2101" s="17">
        <v>1.5</v>
      </c>
      <c r="R2101" s="17" t="s">
        <v>130</v>
      </c>
      <c r="S2101" s="33" t="s">
        <v>263</v>
      </c>
    </row>
    <row r="2102" spans="8:19" ht="37.200000000000003" customHeight="1" x14ac:dyDescent="0.3">
      <c r="H2102" s="16" t="s">
        <v>76</v>
      </c>
      <c r="I2102" s="23" t="s">
        <v>41</v>
      </c>
      <c r="J2102" s="18" t="s">
        <v>308</v>
      </c>
      <c r="K2102" s="24" t="s">
        <v>290</v>
      </c>
      <c r="L2102" s="23" t="s">
        <v>285</v>
      </c>
      <c r="M2102" s="23"/>
      <c r="N2102" s="25"/>
      <c r="O2102" s="23">
        <v>2</v>
      </c>
      <c r="P2102" s="23">
        <v>0</v>
      </c>
      <c r="Q2102" s="17">
        <v>2</v>
      </c>
      <c r="R2102" s="17" t="s">
        <v>130</v>
      </c>
      <c r="S2102" s="33" t="s">
        <v>263</v>
      </c>
    </row>
    <row r="2103" spans="8:19" ht="31.8" customHeight="1" x14ac:dyDescent="0.3">
      <c r="H2103" s="16" t="s">
        <v>69</v>
      </c>
      <c r="I2103" s="17" t="s">
        <v>14</v>
      </c>
      <c r="J2103" s="18" t="s">
        <v>15</v>
      </c>
      <c r="K2103" s="19" t="s">
        <v>0</v>
      </c>
      <c r="L2103" s="17"/>
      <c r="M2103" s="17"/>
      <c r="N2103" s="20"/>
      <c r="O2103" s="17">
        <v>3</v>
      </c>
      <c r="P2103" s="17">
        <v>3</v>
      </c>
      <c r="Q2103" s="17">
        <v>3</v>
      </c>
      <c r="R2103" s="17" t="s">
        <v>130</v>
      </c>
      <c r="S2103" s="33" t="s">
        <v>263</v>
      </c>
    </row>
    <row r="2104" spans="8:19" ht="31.8" customHeight="1" x14ac:dyDescent="0.3">
      <c r="H2104" s="16" t="s">
        <v>69</v>
      </c>
      <c r="I2104" s="17" t="s">
        <v>14</v>
      </c>
      <c r="J2104" s="18" t="s">
        <v>16</v>
      </c>
      <c r="K2104" s="19" t="s">
        <v>0</v>
      </c>
      <c r="L2104" s="17"/>
      <c r="M2104" s="17"/>
      <c r="N2104" s="20"/>
      <c r="O2104" s="17">
        <v>1</v>
      </c>
      <c r="P2104" s="17">
        <v>1</v>
      </c>
      <c r="Q2104" s="17">
        <v>1</v>
      </c>
      <c r="R2104" s="17" t="s">
        <v>130</v>
      </c>
      <c r="S2104" s="33" t="s">
        <v>263</v>
      </c>
    </row>
    <row r="2105" spans="8:19" ht="31.8" customHeight="1" x14ac:dyDescent="0.3">
      <c r="H2105" s="16" t="s">
        <v>69</v>
      </c>
      <c r="I2105" s="17" t="s">
        <v>10</v>
      </c>
      <c r="J2105" s="18" t="s">
        <v>11</v>
      </c>
      <c r="K2105" s="19" t="s">
        <v>0</v>
      </c>
      <c r="L2105" s="17"/>
      <c r="M2105" s="17"/>
      <c r="N2105" s="20"/>
      <c r="O2105" s="17">
        <v>3</v>
      </c>
      <c r="P2105" s="17">
        <v>0</v>
      </c>
      <c r="Q2105" s="17">
        <v>3</v>
      </c>
      <c r="R2105" s="17" t="s">
        <v>130</v>
      </c>
      <c r="S2105" s="33" t="s">
        <v>263</v>
      </c>
    </row>
    <row r="2106" spans="8:19" ht="31.8" customHeight="1" x14ac:dyDescent="0.3">
      <c r="H2106" s="16" t="s">
        <v>69</v>
      </c>
      <c r="I2106" s="17" t="s">
        <v>10</v>
      </c>
      <c r="J2106" s="18" t="s">
        <v>316</v>
      </c>
      <c r="K2106" s="19" t="s">
        <v>0</v>
      </c>
      <c r="L2106" s="17"/>
      <c r="M2106" s="17"/>
      <c r="N2106" s="20"/>
      <c r="O2106" s="17">
        <v>3</v>
      </c>
      <c r="P2106" s="17">
        <v>3</v>
      </c>
      <c r="Q2106" s="17">
        <v>3</v>
      </c>
      <c r="R2106" s="17" t="s">
        <v>130</v>
      </c>
      <c r="S2106" s="33" t="s">
        <v>263</v>
      </c>
    </row>
    <row r="2107" spans="8:19" ht="31.8" customHeight="1" x14ac:dyDescent="0.3">
      <c r="H2107" s="16" t="s">
        <v>69</v>
      </c>
      <c r="I2107" s="17" t="s">
        <v>10</v>
      </c>
      <c r="J2107" s="18" t="s">
        <v>319</v>
      </c>
      <c r="K2107" s="19" t="s">
        <v>291</v>
      </c>
      <c r="L2107" s="17"/>
      <c r="M2107" s="17">
        <v>4188</v>
      </c>
      <c r="N2107" s="20"/>
      <c r="O2107" s="17">
        <v>3</v>
      </c>
      <c r="P2107" s="17">
        <v>0</v>
      </c>
      <c r="Q2107" s="17">
        <v>3</v>
      </c>
      <c r="R2107" s="17" t="s">
        <v>130</v>
      </c>
      <c r="S2107" s="33" t="s">
        <v>263</v>
      </c>
    </row>
    <row r="2108" spans="8:19" ht="31.8" customHeight="1" x14ac:dyDescent="0.3">
      <c r="H2108" s="16" t="s">
        <v>69</v>
      </c>
      <c r="I2108" s="17" t="s">
        <v>10</v>
      </c>
      <c r="J2108" s="18" t="s">
        <v>319</v>
      </c>
      <c r="K2108" s="19" t="s">
        <v>290</v>
      </c>
      <c r="L2108" s="17"/>
      <c r="M2108" s="17"/>
      <c r="N2108" s="20"/>
      <c r="O2108" s="17">
        <v>3</v>
      </c>
      <c r="P2108" s="17">
        <v>0</v>
      </c>
      <c r="Q2108" s="17">
        <v>3</v>
      </c>
      <c r="R2108" s="17" t="s">
        <v>130</v>
      </c>
      <c r="S2108" s="33" t="s">
        <v>263</v>
      </c>
    </row>
    <row r="2109" spans="8:19" ht="31.8" customHeight="1" x14ac:dyDescent="0.3">
      <c r="H2109" s="16" t="s">
        <v>69</v>
      </c>
      <c r="I2109" s="17" t="s">
        <v>10</v>
      </c>
      <c r="J2109" s="18" t="s">
        <v>393</v>
      </c>
      <c r="K2109" s="27" t="s">
        <v>0</v>
      </c>
      <c r="L2109" s="17"/>
      <c r="M2109" s="17"/>
      <c r="N2109" s="20"/>
      <c r="O2109" s="17">
        <v>2</v>
      </c>
      <c r="P2109" s="17">
        <v>2</v>
      </c>
      <c r="Q2109" s="17">
        <v>2</v>
      </c>
      <c r="R2109" s="17" t="s">
        <v>130</v>
      </c>
      <c r="S2109" s="33" t="s">
        <v>263</v>
      </c>
    </row>
    <row r="2110" spans="8:19" ht="31.8" customHeight="1" x14ac:dyDescent="0.3">
      <c r="H2110" s="16" t="s">
        <v>69</v>
      </c>
      <c r="I2110" s="17" t="s">
        <v>10</v>
      </c>
      <c r="J2110" s="18" t="s">
        <v>313</v>
      </c>
      <c r="K2110" s="19" t="s">
        <v>0</v>
      </c>
      <c r="L2110" s="17"/>
      <c r="M2110" s="17"/>
      <c r="N2110" s="20"/>
      <c r="O2110" s="17">
        <v>3</v>
      </c>
      <c r="P2110" s="17">
        <v>3</v>
      </c>
      <c r="Q2110" s="17">
        <v>3</v>
      </c>
      <c r="R2110" s="17" t="s">
        <v>130</v>
      </c>
      <c r="S2110" s="33" t="s">
        <v>263</v>
      </c>
    </row>
    <row r="2111" spans="8:19" ht="31.8" customHeight="1" x14ac:dyDescent="0.3">
      <c r="H2111" s="16" t="s">
        <v>69</v>
      </c>
      <c r="I2111" s="17" t="s">
        <v>12</v>
      </c>
      <c r="J2111" s="18" t="s">
        <v>13</v>
      </c>
      <c r="K2111" s="19" t="s">
        <v>0</v>
      </c>
      <c r="L2111" s="17"/>
      <c r="M2111" s="17"/>
      <c r="N2111" s="20"/>
      <c r="O2111" s="17">
        <v>2</v>
      </c>
      <c r="P2111" s="17">
        <v>0</v>
      </c>
      <c r="Q2111" s="17">
        <v>2</v>
      </c>
      <c r="R2111" s="17" t="s">
        <v>130</v>
      </c>
      <c r="S2111" s="33" t="s">
        <v>263</v>
      </c>
    </row>
    <row r="2112" spans="8:19" ht="31.8" customHeight="1" x14ac:dyDescent="0.3">
      <c r="H2112" s="16" t="s">
        <v>69</v>
      </c>
      <c r="I2112" s="17" t="s">
        <v>17</v>
      </c>
      <c r="J2112" s="18" t="s">
        <v>18</v>
      </c>
      <c r="K2112" s="19" t="s">
        <v>0</v>
      </c>
      <c r="L2112" s="17"/>
      <c r="M2112" s="17"/>
      <c r="N2112" s="20"/>
      <c r="O2112" s="17">
        <v>3</v>
      </c>
      <c r="P2112" s="17">
        <v>3</v>
      </c>
      <c r="Q2112" s="17">
        <v>3</v>
      </c>
      <c r="R2112" s="17" t="s">
        <v>130</v>
      </c>
      <c r="S2112" s="33" t="s">
        <v>263</v>
      </c>
    </row>
    <row r="2113" spans="8:19" ht="31.8" customHeight="1" x14ac:dyDescent="0.3">
      <c r="H2113" s="16" t="s">
        <v>69</v>
      </c>
      <c r="I2113" s="17" t="s">
        <v>17</v>
      </c>
      <c r="J2113" s="18" t="s">
        <v>19</v>
      </c>
      <c r="K2113" s="19" t="s">
        <v>0</v>
      </c>
      <c r="L2113" s="17"/>
      <c r="M2113" s="17"/>
      <c r="N2113" s="20"/>
      <c r="O2113" s="17">
        <v>1</v>
      </c>
      <c r="P2113" s="17">
        <v>1</v>
      </c>
      <c r="Q2113" s="17">
        <v>1</v>
      </c>
      <c r="R2113" s="17" t="s">
        <v>130</v>
      </c>
      <c r="S2113" s="33" t="s">
        <v>263</v>
      </c>
    </row>
    <row r="2114" spans="8:19" ht="31.8" customHeight="1" x14ac:dyDescent="0.3">
      <c r="H2114" s="16" t="s">
        <v>69</v>
      </c>
      <c r="I2114" s="17" t="s">
        <v>20</v>
      </c>
      <c r="J2114" s="18" t="s">
        <v>21</v>
      </c>
      <c r="K2114" s="19" t="s">
        <v>1</v>
      </c>
      <c r="L2114" s="17"/>
      <c r="M2114" s="17"/>
      <c r="N2114" s="20"/>
      <c r="O2114" s="17">
        <v>3</v>
      </c>
      <c r="P2114" s="17">
        <v>3</v>
      </c>
      <c r="Q2114" s="17">
        <v>3</v>
      </c>
      <c r="R2114" s="17" t="s">
        <v>130</v>
      </c>
      <c r="S2114" s="33" t="s">
        <v>263</v>
      </c>
    </row>
    <row r="2115" spans="8:19" ht="31.8" customHeight="1" x14ac:dyDescent="0.3">
      <c r="H2115" s="16" t="s">
        <v>69</v>
      </c>
      <c r="I2115" s="17" t="s">
        <v>20</v>
      </c>
      <c r="J2115" s="18" t="s">
        <v>311</v>
      </c>
      <c r="K2115" s="19" t="s">
        <v>1</v>
      </c>
      <c r="L2115" s="17"/>
      <c r="M2115" s="17"/>
      <c r="N2115" s="20"/>
      <c r="O2115" s="17">
        <v>1</v>
      </c>
      <c r="P2115" s="17">
        <v>1</v>
      </c>
      <c r="Q2115" s="17">
        <v>1</v>
      </c>
      <c r="R2115" s="17" t="s">
        <v>130</v>
      </c>
      <c r="S2115" s="33" t="s">
        <v>263</v>
      </c>
    </row>
    <row r="2116" spans="8:19" ht="31.8" customHeight="1" x14ac:dyDescent="0.3">
      <c r="H2116" s="16" t="s">
        <v>69</v>
      </c>
      <c r="I2116" s="17" t="s">
        <v>22</v>
      </c>
      <c r="J2116" s="18" t="s">
        <v>23</v>
      </c>
      <c r="K2116" s="27" t="s">
        <v>0</v>
      </c>
      <c r="L2116" s="17"/>
      <c r="M2116" s="17"/>
      <c r="N2116" s="20"/>
      <c r="O2116" s="17">
        <v>1</v>
      </c>
      <c r="P2116" s="17">
        <v>1</v>
      </c>
      <c r="Q2116" s="17">
        <v>1</v>
      </c>
      <c r="R2116" s="17" t="s">
        <v>130</v>
      </c>
      <c r="S2116" s="33" t="s">
        <v>263</v>
      </c>
    </row>
    <row r="2117" spans="8:19" ht="31.8" customHeight="1" x14ac:dyDescent="0.3">
      <c r="H2117" s="16" t="s">
        <v>69</v>
      </c>
      <c r="I2117" s="17" t="s">
        <v>22</v>
      </c>
      <c r="J2117" s="18" t="s">
        <v>322</v>
      </c>
      <c r="K2117" s="27" t="s">
        <v>0</v>
      </c>
      <c r="L2117" s="17"/>
      <c r="M2117" s="17"/>
      <c r="N2117" s="20"/>
      <c r="O2117" s="17">
        <v>1</v>
      </c>
      <c r="P2117" s="17">
        <v>1</v>
      </c>
      <c r="Q2117" s="17">
        <v>1</v>
      </c>
      <c r="R2117" s="17" t="s">
        <v>130</v>
      </c>
      <c r="S2117" s="33" t="s">
        <v>263</v>
      </c>
    </row>
    <row r="2118" spans="8:19" ht="31.8" customHeight="1" x14ac:dyDescent="0.3">
      <c r="H2118" s="16" t="s">
        <v>69</v>
      </c>
      <c r="I2118" s="17" t="s">
        <v>25</v>
      </c>
      <c r="J2118" s="18" t="s">
        <v>321</v>
      </c>
      <c r="K2118" s="19" t="s">
        <v>0</v>
      </c>
      <c r="L2118" s="17"/>
      <c r="M2118" s="17"/>
      <c r="N2118" s="20"/>
      <c r="O2118" s="17">
        <v>3</v>
      </c>
      <c r="P2118" s="17">
        <v>0</v>
      </c>
      <c r="Q2118" s="17">
        <v>3</v>
      </c>
      <c r="R2118" s="17" t="s">
        <v>130</v>
      </c>
      <c r="S2118" s="33" t="s">
        <v>263</v>
      </c>
    </row>
    <row r="2119" spans="8:19" ht="31.8" customHeight="1" x14ac:dyDescent="0.3">
      <c r="H2119" s="16" t="s">
        <v>69</v>
      </c>
      <c r="I2119" s="17" t="s">
        <v>25</v>
      </c>
      <c r="J2119" s="18" t="s">
        <v>320</v>
      </c>
      <c r="K2119" s="19" t="s">
        <v>0</v>
      </c>
      <c r="L2119" s="17"/>
      <c r="M2119" s="17"/>
      <c r="N2119" s="20"/>
      <c r="O2119" s="17">
        <v>3</v>
      </c>
      <c r="P2119" s="17">
        <v>3</v>
      </c>
      <c r="Q2119" s="17">
        <v>3</v>
      </c>
      <c r="R2119" s="17" t="s">
        <v>130</v>
      </c>
      <c r="S2119" s="33" t="s">
        <v>263</v>
      </c>
    </row>
    <row r="2120" spans="8:19" ht="31.8" customHeight="1" x14ac:dyDescent="0.3">
      <c r="H2120" s="16" t="s">
        <v>69</v>
      </c>
      <c r="I2120" s="17" t="s">
        <v>30</v>
      </c>
      <c r="J2120" s="18" t="s">
        <v>315</v>
      </c>
      <c r="K2120" s="19" t="s">
        <v>0</v>
      </c>
      <c r="L2120" s="17"/>
      <c r="M2120" s="17"/>
      <c r="N2120" s="20"/>
      <c r="O2120" s="17">
        <v>3</v>
      </c>
      <c r="P2120" s="17">
        <v>3</v>
      </c>
      <c r="Q2120" s="17">
        <v>3</v>
      </c>
      <c r="R2120" s="17" t="s">
        <v>130</v>
      </c>
      <c r="S2120" s="33" t="s">
        <v>263</v>
      </c>
    </row>
    <row r="2121" spans="8:19" ht="31.8" customHeight="1" x14ac:dyDescent="0.3">
      <c r="H2121" s="16" t="s">
        <v>69</v>
      </c>
      <c r="I2121" s="17" t="s">
        <v>25</v>
      </c>
      <c r="J2121" s="18" t="s">
        <v>312</v>
      </c>
      <c r="K2121" s="19" t="s">
        <v>0</v>
      </c>
      <c r="L2121" s="17"/>
      <c r="M2121" s="17"/>
      <c r="N2121" s="20"/>
      <c r="O2121" s="17">
        <v>3</v>
      </c>
      <c r="P2121" s="17">
        <v>3</v>
      </c>
      <c r="Q2121" s="17">
        <v>3</v>
      </c>
      <c r="R2121" s="17" t="s">
        <v>130</v>
      </c>
      <c r="S2121" s="33" t="s">
        <v>263</v>
      </c>
    </row>
    <row r="2122" spans="8:19" ht="31.8" customHeight="1" x14ac:dyDescent="0.3">
      <c r="H2122" s="16" t="s">
        <v>69</v>
      </c>
      <c r="I2122" s="17" t="s">
        <v>41</v>
      </c>
      <c r="J2122" s="18" t="s">
        <v>307</v>
      </c>
      <c r="K2122" s="19" t="s">
        <v>1</v>
      </c>
      <c r="L2122" s="17"/>
      <c r="M2122" s="17"/>
      <c r="N2122" s="20"/>
      <c r="O2122" s="17">
        <v>3</v>
      </c>
      <c r="P2122" s="17">
        <v>0</v>
      </c>
      <c r="Q2122" s="17">
        <v>1.5</v>
      </c>
      <c r="R2122" s="17" t="s">
        <v>130</v>
      </c>
      <c r="S2122" s="33" t="s">
        <v>263</v>
      </c>
    </row>
    <row r="2123" spans="8:19" ht="31.8" customHeight="1" x14ac:dyDescent="0.3">
      <c r="H2123" s="16" t="s">
        <v>69</v>
      </c>
      <c r="I2123" s="23" t="s">
        <v>41</v>
      </c>
      <c r="J2123" s="18" t="s">
        <v>308</v>
      </c>
      <c r="K2123" s="24" t="s">
        <v>1</v>
      </c>
      <c r="L2123" s="23"/>
      <c r="M2123" s="23"/>
      <c r="N2123" s="25"/>
      <c r="O2123" s="23">
        <v>2</v>
      </c>
      <c r="P2123" s="23">
        <v>0</v>
      </c>
      <c r="Q2123" s="17">
        <v>2</v>
      </c>
      <c r="R2123" s="17" t="s">
        <v>130</v>
      </c>
      <c r="S2123" s="33" t="s">
        <v>263</v>
      </c>
    </row>
    <row r="2124" spans="8:19" ht="33.6" customHeight="1" x14ac:dyDescent="0.3">
      <c r="H2124" s="16" t="s">
        <v>51</v>
      </c>
      <c r="I2124" s="17" t="s">
        <v>14</v>
      </c>
      <c r="J2124" s="18" t="s">
        <v>15</v>
      </c>
      <c r="K2124" s="19" t="s">
        <v>0</v>
      </c>
      <c r="L2124" s="17"/>
      <c r="M2124" s="17"/>
      <c r="N2124" s="20"/>
      <c r="O2124" s="17">
        <v>3</v>
      </c>
      <c r="P2124" s="17">
        <v>3</v>
      </c>
      <c r="Q2124" s="17">
        <v>3</v>
      </c>
      <c r="R2124" s="17" t="s">
        <v>130</v>
      </c>
      <c r="S2124" s="33" t="s">
        <v>263</v>
      </c>
    </row>
    <row r="2125" spans="8:19" ht="33.6" customHeight="1" x14ac:dyDescent="0.3">
      <c r="H2125" s="16" t="s">
        <v>51</v>
      </c>
      <c r="I2125" s="17" t="s">
        <v>14</v>
      </c>
      <c r="J2125" s="18" t="s">
        <v>16</v>
      </c>
      <c r="K2125" s="19" t="s">
        <v>0</v>
      </c>
      <c r="L2125" s="17"/>
      <c r="M2125" s="17"/>
      <c r="N2125" s="20"/>
      <c r="O2125" s="17">
        <v>1</v>
      </c>
      <c r="P2125" s="17">
        <v>1</v>
      </c>
      <c r="Q2125" s="17">
        <v>1</v>
      </c>
      <c r="R2125" s="17" t="s">
        <v>130</v>
      </c>
      <c r="S2125" s="33" t="s">
        <v>263</v>
      </c>
    </row>
    <row r="2126" spans="8:19" ht="33.6" customHeight="1" x14ac:dyDescent="0.3">
      <c r="H2126" s="16" t="s">
        <v>51</v>
      </c>
      <c r="I2126" s="17" t="s">
        <v>10</v>
      </c>
      <c r="J2126" s="18" t="s">
        <v>11</v>
      </c>
      <c r="K2126" s="19" t="s">
        <v>0</v>
      </c>
      <c r="L2126" s="17"/>
      <c r="M2126" s="17"/>
      <c r="N2126" s="20"/>
      <c r="O2126" s="17">
        <v>3</v>
      </c>
      <c r="P2126" s="17">
        <v>0</v>
      </c>
      <c r="Q2126" s="17">
        <v>3</v>
      </c>
      <c r="R2126" s="17" t="s">
        <v>130</v>
      </c>
      <c r="S2126" s="33" t="s">
        <v>263</v>
      </c>
    </row>
    <row r="2127" spans="8:19" ht="33.6" customHeight="1" x14ac:dyDescent="0.3">
      <c r="H2127" s="16" t="s">
        <v>51</v>
      </c>
      <c r="I2127" s="17" t="s">
        <v>10</v>
      </c>
      <c r="J2127" s="18" t="s">
        <v>316</v>
      </c>
      <c r="K2127" s="19" t="s">
        <v>0</v>
      </c>
      <c r="L2127" s="17"/>
      <c r="M2127" s="17"/>
      <c r="N2127" s="20"/>
      <c r="O2127" s="17">
        <v>3</v>
      </c>
      <c r="P2127" s="17">
        <v>3</v>
      </c>
      <c r="Q2127" s="17">
        <v>3</v>
      </c>
      <c r="R2127" s="17" t="s">
        <v>130</v>
      </c>
      <c r="S2127" s="33" t="s">
        <v>263</v>
      </c>
    </row>
    <row r="2128" spans="8:19" ht="33.6" customHeight="1" x14ac:dyDescent="0.3">
      <c r="H2128" s="16" t="s">
        <v>51</v>
      </c>
      <c r="I2128" s="17" t="s">
        <v>10</v>
      </c>
      <c r="J2128" s="18" t="s">
        <v>319</v>
      </c>
      <c r="K2128" s="19" t="s">
        <v>0</v>
      </c>
      <c r="L2128" s="17"/>
      <c r="M2128" s="17"/>
      <c r="N2128" s="20"/>
      <c r="O2128" s="17">
        <v>3</v>
      </c>
      <c r="P2128" s="17">
        <v>0</v>
      </c>
      <c r="Q2128" s="17">
        <v>3</v>
      </c>
      <c r="R2128" s="17" t="s">
        <v>130</v>
      </c>
      <c r="S2128" s="33" t="s">
        <v>263</v>
      </c>
    </row>
    <row r="2129" spans="8:19" ht="33.6" customHeight="1" x14ac:dyDescent="0.3">
      <c r="H2129" s="16" t="s">
        <v>51</v>
      </c>
      <c r="I2129" s="17" t="s">
        <v>10</v>
      </c>
      <c r="J2129" s="18" t="s">
        <v>393</v>
      </c>
      <c r="K2129" s="27" t="s">
        <v>0</v>
      </c>
      <c r="L2129" s="17"/>
      <c r="M2129" s="17"/>
      <c r="N2129" s="20"/>
      <c r="O2129" s="17">
        <v>2</v>
      </c>
      <c r="P2129" s="17">
        <v>2</v>
      </c>
      <c r="Q2129" s="17">
        <v>2</v>
      </c>
      <c r="R2129" s="17" t="s">
        <v>130</v>
      </c>
      <c r="S2129" s="33" t="s">
        <v>263</v>
      </c>
    </row>
    <row r="2130" spans="8:19" ht="33.6" customHeight="1" x14ac:dyDescent="0.3">
      <c r="H2130" s="16" t="s">
        <v>51</v>
      </c>
      <c r="I2130" s="17" t="s">
        <v>10</v>
      </c>
      <c r="J2130" s="18" t="s">
        <v>313</v>
      </c>
      <c r="K2130" s="19" t="s">
        <v>0</v>
      </c>
      <c r="L2130" s="17"/>
      <c r="M2130" s="17"/>
      <c r="N2130" s="20"/>
      <c r="O2130" s="17">
        <v>3</v>
      </c>
      <c r="P2130" s="17">
        <v>3</v>
      </c>
      <c r="Q2130" s="17">
        <v>3</v>
      </c>
      <c r="R2130" s="17" t="s">
        <v>130</v>
      </c>
      <c r="S2130" s="33" t="s">
        <v>263</v>
      </c>
    </row>
    <row r="2131" spans="8:19" ht="33.6" customHeight="1" x14ac:dyDescent="0.3">
      <c r="H2131" s="16" t="s">
        <v>51</v>
      </c>
      <c r="I2131" s="17" t="s">
        <v>12</v>
      </c>
      <c r="J2131" s="18" t="s">
        <v>13</v>
      </c>
      <c r="K2131" s="19" t="s">
        <v>0</v>
      </c>
      <c r="L2131" s="17"/>
      <c r="M2131" s="17"/>
      <c r="N2131" s="20"/>
      <c r="O2131" s="17">
        <v>2</v>
      </c>
      <c r="P2131" s="17">
        <v>0</v>
      </c>
      <c r="Q2131" s="17">
        <v>2</v>
      </c>
      <c r="R2131" s="17" t="s">
        <v>130</v>
      </c>
      <c r="S2131" s="33" t="s">
        <v>263</v>
      </c>
    </row>
    <row r="2132" spans="8:19" ht="33.6" customHeight="1" x14ac:dyDescent="0.3">
      <c r="H2132" s="16" t="s">
        <v>51</v>
      </c>
      <c r="I2132" s="17" t="s">
        <v>17</v>
      </c>
      <c r="J2132" s="18" t="s">
        <v>18</v>
      </c>
      <c r="K2132" s="19" t="s">
        <v>0</v>
      </c>
      <c r="L2132" s="17"/>
      <c r="M2132" s="17"/>
      <c r="N2132" s="20"/>
      <c r="O2132" s="17">
        <v>3</v>
      </c>
      <c r="P2132" s="17">
        <v>3</v>
      </c>
      <c r="Q2132" s="17">
        <v>3</v>
      </c>
      <c r="R2132" s="17" t="s">
        <v>130</v>
      </c>
      <c r="S2132" s="33" t="s">
        <v>263</v>
      </c>
    </row>
    <row r="2133" spans="8:19" ht="33.6" customHeight="1" x14ac:dyDescent="0.3">
      <c r="H2133" s="16" t="s">
        <v>51</v>
      </c>
      <c r="I2133" s="17" t="s">
        <v>17</v>
      </c>
      <c r="J2133" s="18" t="s">
        <v>19</v>
      </c>
      <c r="K2133" s="19" t="s">
        <v>0</v>
      </c>
      <c r="L2133" s="17"/>
      <c r="M2133" s="17"/>
      <c r="N2133" s="20"/>
      <c r="O2133" s="17">
        <v>1</v>
      </c>
      <c r="P2133" s="17">
        <v>1</v>
      </c>
      <c r="Q2133" s="17">
        <v>1</v>
      </c>
      <c r="R2133" s="17" t="s">
        <v>130</v>
      </c>
      <c r="S2133" s="33" t="s">
        <v>263</v>
      </c>
    </row>
    <row r="2134" spans="8:19" ht="33.6" customHeight="1" x14ac:dyDescent="0.3">
      <c r="H2134" s="16" t="s">
        <v>51</v>
      </c>
      <c r="I2134" s="17" t="s">
        <v>20</v>
      </c>
      <c r="J2134" s="18" t="s">
        <v>21</v>
      </c>
      <c r="K2134" s="19" t="s">
        <v>0</v>
      </c>
      <c r="L2134" s="17"/>
      <c r="M2134" s="17"/>
      <c r="N2134" s="20"/>
      <c r="O2134" s="17">
        <v>3</v>
      </c>
      <c r="P2134" s="17">
        <v>3</v>
      </c>
      <c r="Q2134" s="17">
        <v>3</v>
      </c>
      <c r="R2134" s="17" t="s">
        <v>130</v>
      </c>
      <c r="S2134" s="33" t="s">
        <v>263</v>
      </c>
    </row>
    <row r="2135" spans="8:19" ht="33.6" customHeight="1" x14ac:dyDescent="0.3">
      <c r="H2135" s="16" t="s">
        <v>51</v>
      </c>
      <c r="I2135" s="17" t="s">
        <v>20</v>
      </c>
      <c r="J2135" s="18" t="s">
        <v>311</v>
      </c>
      <c r="K2135" s="19" t="s">
        <v>0</v>
      </c>
      <c r="L2135" s="17"/>
      <c r="M2135" s="17"/>
      <c r="N2135" s="20"/>
      <c r="O2135" s="17">
        <v>1</v>
      </c>
      <c r="P2135" s="17">
        <v>1</v>
      </c>
      <c r="Q2135" s="17">
        <v>1</v>
      </c>
      <c r="R2135" s="17" t="s">
        <v>130</v>
      </c>
      <c r="S2135" s="33" t="s">
        <v>263</v>
      </c>
    </row>
    <row r="2136" spans="8:19" ht="33.6" customHeight="1" x14ac:dyDescent="0.3">
      <c r="H2136" s="16" t="s">
        <v>51</v>
      </c>
      <c r="I2136" s="17" t="s">
        <v>22</v>
      </c>
      <c r="J2136" s="18" t="s">
        <v>23</v>
      </c>
      <c r="K2136" s="27" t="s">
        <v>0</v>
      </c>
      <c r="L2136" s="17"/>
      <c r="M2136" s="17"/>
      <c r="N2136" s="20"/>
      <c r="O2136" s="17">
        <v>1</v>
      </c>
      <c r="P2136" s="17">
        <v>1</v>
      </c>
      <c r="Q2136" s="17">
        <v>1</v>
      </c>
      <c r="R2136" s="17" t="s">
        <v>130</v>
      </c>
      <c r="S2136" s="33" t="s">
        <v>263</v>
      </c>
    </row>
    <row r="2137" spans="8:19" ht="33.6" customHeight="1" x14ac:dyDescent="0.3">
      <c r="H2137" s="16" t="s">
        <v>51</v>
      </c>
      <c r="I2137" s="17" t="s">
        <v>22</v>
      </c>
      <c r="J2137" s="18" t="s">
        <v>322</v>
      </c>
      <c r="K2137" s="27" t="s">
        <v>290</v>
      </c>
      <c r="L2137" s="17"/>
      <c r="M2137" s="17"/>
      <c r="N2137" s="20"/>
      <c r="O2137" s="17">
        <v>1</v>
      </c>
      <c r="P2137" s="17">
        <v>1</v>
      </c>
      <c r="Q2137" s="17">
        <v>1</v>
      </c>
      <c r="R2137" s="17" t="s">
        <v>130</v>
      </c>
      <c r="S2137" s="33" t="s">
        <v>263</v>
      </c>
    </row>
    <row r="2138" spans="8:19" ht="33.6" customHeight="1" x14ac:dyDescent="0.3">
      <c r="H2138" s="16" t="s">
        <v>51</v>
      </c>
      <c r="I2138" s="17" t="s">
        <v>25</v>
      </c>
      <c r="J2138" s="18" t="s">
        <v>321</v>
      </c>
      <c r="K2138" s="19" t="s">
        <v>290</v>
      </c>
      <c r="L2138" s="17"/>
      <c r="M2138" s="17"/>
      <c r="N2138" s="20"/>
      <c r="O2138" s="17">
        <v>3</v>
      </c>
      <c r="P2138" s="17">
        <v>0</v>
      </c>
      <c r="Q2138" s="17">
        <v>3</v>
      </c>
      <c r="R2138" s="17" t="s">
        <v>130</v>
      </c>
      <c r="S2138" s="33" t="s">
        <v>263</v>
      </c>
    </row>
    <row r="2139" spans="8:19" ht="33.6" customHeight="1" x14ac:dyDescent="0.3">
      <c r="H2139" s="16" t="s">
        <v>51</v>
      </c>
      <c r="I2139" s="17" t="s">
        <v>25</v>
      </c>
      <c r="J2139" s="18" t="s">
        <v>320</v>
      </c>
      <c r="K2139" s="19" t="s">
        <v>0</v>
      </c>
      <c r="L2139" s="17"/>
      <c r="M2139" s="17"/>
      <c r="N2139" s="20"/>
      <c r="O2139" s="17">
        <v>3</v>
      </c>
      <c r="P2139" s="17">
        <v>3</v>
      </c>
      <c r="Q2139" s="17">
        <v>3</v>
      </c>
      <c r="R2139" s="17" t="s">
        <v>130</v>
      </c>
      <c r="S2139" s="33" t="s">
        <v>263</v>
      </c>
    </row>
    <row r="2140" spans="8:19" ht="33.6" customHeight="1" x14ac:dyDescent="0.3">
      <c r="H2140" s="16" t="s">
        <v>51</v>
      </c>
      <c r="I2140" s="17" t="s">
        <v>30</v>
      </c>
      <c r="J2140" s="18" t="s">
        <v>315</v>
      </c>
      <c r="K2140" s="19" t="s">
        <v>291</v>
      </c>
      <c r="L2140" s="17"/>
      <c r="M2140" s="33">
        <v>8147</v>
      </c>
      <c r="N2140" s="20"/>
      <c r="O2140" s="17">
        <v>3</v>
      </c>
      <c r="P2140" s="17">
        <v>3</v>
      </c>
      <c r="Q2140" s="17">
        <v>3</v>
      </c>
      <c r="R2140" s="17" t="s">
        <v>130</v>
      </c>
      <c r="S2140" s="33" t="s">
        <v>263</v>
      </c>
    </row>
    <row r="2141" spans="8:19" ht="33.6" customHeight="1" x14ac:dyDescent="0.3">
      <c r="H2141" s="16" t="s">
        <v>51</v>
      </c>
      <c r="I2141" s="17" t="s">
        <v>25</v>
      </c>
      <c r="J2141" s="18" t="s">
        <v>312</v>
      </c>
      <c r="K2141" s="19" t="s">
        <v>291</v>
      </c>
      <c r="L2141" s="17"/>
      <c r="M2141" s="33">
        <v>6568</v>
      </c>
      <c r="N2141" s="20"/>
      <c r="O2141" s="17">
        <v>3</v>
      </c>
      <c r="P2141" s="17">
        <v>3</v>
      </c>
      <c r="Q2141" s="17">
        <v>3</v>
      </c>
      <c r="R2141" s="17" t="s">
        <v>130</v>
      </c>
      <c r="S2141" s="33" t="s">
        <v>263</v>
      </c>
    </row>
    <row r="2142" spans="8:19" ht="33.6" customHeight="1" x14ac:dyDescent="0.3">
      <c r="H2142" s="16" t="s">
        <v>51</v>
      </c>
      <c r="I2142" s="17" t="s">
        <v>41</v>
      </c>
      <c r="J2142" s="18" t="s">
        <v>307</v>
      </c>
      <c r="K2142" s="19" t="s">
        <v>0</v>
      </c>
      <c r="L2142" s="17"/>
      <c r="M2142" s="17"/>
      <c r="N2142" s="20"/>
      <c r="O2142" s="17">
        <v>3</v>
      </c>
      <c r="P2142" s="17">
        <v>0</v>
      </c>
      <c r="Q2142" s="17">
        <v>1.5</v>
      </c>
      <c r="R2142" s="17" t="s">
        <v>130</v>
      </c>
      <c r="S2142" s="33" t="s">
        <v>263</v>
      </c>
    </row>
    <row r="2143" spans="8:19" ht="33.6" customHeight="1" x14ac:dyDescent="0.3">
      <c r="H2143" s="16" t="s">
        <v>51</v>
      </c>
      <c r="I2143" s="23" t="s">
        <v>41</v>
      </c>
      <c r="J2143" s="18" t="s">
        <v>308</v>
      </c>
      <c r="K2143" s="24" t="s">
        <v>290</v>
      </c>
      <c r="L2143" s="23"/>
      <c r="M2143" s="23"/>
      <c r="N2143" s="25"/>
      <c r="O2143" s="23">
        <v>2</v>
      </c>
      <c r="P2143" s="23">
        <v>0</v>
      </c>
      <c r="Q2143" s="17">
        <v>2</v>
      </c>
      <c r="R2143" s="17" t="s">
        <v>130</v>
      </c>
      <c r="S2143" s="33" t="s">
        <v>263</v>
      </c>
    </row>
    <row r="2144" spans="8:19" ht="33.6" customHeight="1" x14ac:dyDescent="0.3">
      <c r="H2144" s="17" t="s">
        <v>42</v>
      </c>
      <c r="I2144" s="17" t="s">
        <v>14</v>
      </c>
      <c r="J2144" s="18" t="s">
        <v>15</v>
      </c>
      <c r="K2144" s="19" t="s">
        <v>0</v>
      </c>
      <c r="L2144" s="17"/>
      <c r="M2144" s="17"/>
      <c r="N2144" s="20"/>
      <c r="O2144" s="17">
        <v>3</v>
      </c>
      <c r="P2144" s="17">
        <v>3</v>
      </c>
      <c r="Q2144" s="17">
        <v>3</v>
      </c>
      <c r="R2144" s="17" t="s">
        <v>130</v>
      </c>
      <c r="S2144" s="33" t="s">
        <v>263</v>
      </c>
    </row>
    <row r="2145" spans="8:19" ht="33.6" customHeight="1" x14ac:dyDescent="0.3">
      <c r="H2145" s="17" t="s">
        <v>42</v>
      </c>
      <c r="I2145" s="17" t="s">
        <v>14</v>
      </c>
      <c r="J2145" s="18" t="s">
        <v>16</v>
      </c>
      <c r="K2145" s="19" t="s">
        <v>0</v>
      </c>
      <c r="L2145" s="17"/>
      <c r="M2145" s="17"/>
      <c r="N2145" s="20"/>
      <c r="O2145" s="17">
        <v>1</v>
      </c>
      <c r="P2145" s="17">
        <v>0</v>
      </c>
      <c r="Q2145" s="17">
        <v>1</v>
      </c>
      <c r="R2145" s="17" t="s">
        <v>130</v>
      </c>
      <c r="S2145" s="33" t="s">
        <v>263</v>
      </c>
    </row>
    <row r="2146" spans="8:19" ht="33.6" customHeight="1" x14ac:dyDescent="0.3">
      <c r="H2146" s="17" t="s">
        <v>42</v>
      </c>
      <c r="I2146" s="17" t="s">
        <v>10</v>
      </c>
      <c r="J2146" s="18" t="s">
        <v>11</v>
      </c>
      <c r="K2146" s="19" t="s">
        <v>0</v>
      </c>
      <c r="L2146" s="17"/>
      <c r="M2146" s="17"/>
      <c r="N2146" s="20"/>
      <c r="O2146" s="17">
        <v>2</v>
      </c>
      <c r="P2146" s="17">
        <v>2</v>
      </c>
      <c r="Q2146" s="17">
        <v>2</v>
      </c>
      <c r="R2146" s="17" t="s">
        <v>130</v>
      </c>
      <c r="S2146" s="33" t="s">
        <v>263</v>
      </c>
    </row>
    <row r="2147" spans="8:19" ht="33.6" customHeight="1" x14ac:dyDescent="0.3">
      <c r="H2147" s="17" t="s">
        <v>42</v>
      </c>
      <c r="I2147" s="17" t="s">
        <v>10</v>
      </c>
      <c r="J2147" s="18" t="s">
        <v>316</v>
      </c>
      <c r="K2147" s="19" t="s">
        <v>0</v>
      </c>
      <c r="L2147" s="17"/>
      <c r="M2147" s="17"/>
      <c r="N2147" s="20"/>
      <c r="O2147" s="17">
        <v>3</v>
      </c>
      <c r="P2147" s="17">
        <v>3</v>
      </c>
      <c r="Q2147" s="17">
        <v>3</v>
      </c>
      <c r="R2147" s="17" t="s">
        <v>130</v>
      </c>
      <c r="S2147" s="33" t="s">
        <v>263</v>
      </c>
    </row>
    <row r="2148" spans="8:19" ht="33.6" customHeight="1" x14ac:dyDescent="0.3">
      <c r="H2148" s="17" t="s">
        <v>42</v>
      </c>
      <c r="I2148" s="17" t="s">
        <v>10</v>
      </c>
      <c r="J2148" s="18" t="s">
        <v>319</v>
      </c>
      <c r="K2148" s="19" t="s">
        <v>0</v>
      </c>
      <c r="L2148" s="17"/>
      <c r="M2148" s="17"/>
      <c r="N2148" s="20"/>
      <c r="O2148" s="17">
        <v>3</v>
      </c>
      <c r="P2148" s="17">
        <v>0</v>
      </c>
      <c r="Q2148" s="17">
        <v>3</v>
      </c>
      <c r="R2148" s="17" t="s">
        <v>130</v>
      </c>
      <c r="S2148" s="33" t="s">
        <v>263</v>
      </c>
    </row>
    <row r="2149" spans="8:19" ht="33.6" customHeight="1" x14ac:dyDescent="0.3">
      <c r="H2149" s="17" t="s">
        <v>42</v>
      </c>
      <c r="I2149" s="17" t="s">
        <v>10</v>
      </c>
      <c r="J2149" s="18" t="s">
        <v>393</v>
      </c>
      <c r="K2149" s="27" t="s">
        <v>0</v>
      </c>
      <c r="L2149" s="17"/>
      <c r="M2149" s="17"/>
      <c r="N2149" s="31"/>
      <c r="O2149" s="29">
        <v>2</v>
      </c>
      <c r="P2149" s="29">
        <v>2</v>
      </c>
      <c r="Q2149" s="29">
        <v>2</v>
      </c>
      <c r="R2149" s="17" t="s">
        <v>130</v>
      </c>
      <c r="S2149" s="33" t="s">
        <v>263</v>
      </c>
    </row>
    <row r="2150" spans="8:19" ht="33.6" customHeight="1" x14ac:dyDescent="0.3">
      <c r="H2150" s="17" t="s">
        <v>42</v>
      </c>
      <c r="I2150" s="17" t="s">
        <v>10</v>
      </c>
      <c r="J2150" s="18" t="s">
        <v>313</v>
      </c>
      <c r="K2150" s="19" t="s">
        <v>0</v>
      </c>
      <c r="L2150" s="17"/>
      <c r="M2150" s="17"/>
      <c r="N2150" s="20"/>
      <c r="O2150" s="17">
        <v>3</v>
      </c>
      <c r="P2150" s="17">
        <v>3</v>
      </c>
      <c r="Q2150" s="17">
        <v>3</v>
      </c>
      <c r="R2150" s="17" t="s">
        <v>130</v>
      </c>
      <c r="S2150" s="33" t="s">
        <v>263</v>
      </c>
    </row>
    <row r="2151" spans="8:19" ht="33.6" customHeight="1" x14ac:dyDescent="0.3">
      <c r="H2151" s="17" t="s">
        <v>42</v>
      </c>
      <c r="I2151" s="17" t="s">
        <v>12</v>
      </c>
      <c r="J2151" s="18" t="s">
        <v>13</v>
      </c>
      <c r="K2151" s="19" t="s">
        <v>0</v>
      </c>
      <c r="L2151" s="17"/>
      <c r="M2151" s="17"/>
      <c r="N2151" s="20"/>
      <c r="O2151" s="17">
        <v>2</v>
      </c>
      <c r="P2151" s="17">
        <v>0</v>
      </c>
      <c r="Q2151" s="17">
        <v>1</v>
      </c>
      <c r="R2151" s="17" t="s">
        <v>130</v>
      </c>
      <c r="S2151" s="33" t="s">
        <v>263</v>
      </c>
    </row>
    <row r="2152" spans="8:19" ht="33.6" customHeight="1" x14ac:dyDescent="0.3">
      <c r="H2152" s="17" t="s">
        <v>42</v>
      </c>
      <c r="I2152" s="17" t="s">
        <v>17</v>
      </c>
      <c r="J2152" s="18" t="s">
        <v>18</v>
      </c>
      <c r="K2152" s="19" t="s">
        <v>0</v>
      </c>
      <c r="L2152" s="17"/>
      <c r="M2152" s="17"/>
      <c r="N2152" s="20"/>
      <c r="O2152" s="17">
        <v>3</v>
      </c>
      <c r="P2152" s="17">
        <v>3</v>
      </c>
      <c r="Q2152" s="17">
        <v>3</v>
      </c>
      <c r="R2152" s="17" t="s">
        <v>130</v>
      </c>
      <c r="S2152" s="33" t="s">
        <v>263</v>
      </c>
    </row>
    <row r="2153" spans="8:19" ht="33.6" customHeight="1" x14ac:dyDescent="0.3">
      <c r="H2153" s="17" t="s">
        <v>42</v>
      </c>
      <c r="I2153" s="17" t="s">
        <v>17</v>
      </c>
      <c r="J2153" s="18" t="s">
        <v>19</v>
      </c>
      <c r="K2153" s="19" t="s">
        <v>290</v>
      </c>
      <c r="L2153" s="17"/>
      <c r="M2153" s="17"/>
      <c r="N2153" s="20"/>
      <c r="O2153" s="17">
        <v>3</v>
      </c>
      <c r="P2153" s="17">
        <v>0</v>
      </c>
      <c r="Q2153" s="17">
        <v>3</v>
      </c>
      <c r="R2153" s="17" t="s">
        <v>130</v>
      </c>
      <c r="S2153" s="33" t="s">
        <v>263</v>
      </c>
    </row>
    <row r="2154" spans="8:19" ht="33.6" customHeight="1" x14ac:dyDescent="0.3">
      <c r="H2154" s="17" t="s">
        <v>42</v>
      </c>
      <c r="I2154" s="17" t="s">
        <v>20</v>
      </c>
      <c r="J2154" s="18" t="s">
        <v>21</v>
      </c>
      <c r="K2154" s="19" t="s">
        <v>290</v>
      </c>
      <c r="L2154" s="33" t="s">
        <v>149</v>
      </c>
      <c r="M2154" s="33">
        <v>2441</v>
      </c>
      <c r="N2154" s="20"/>
      <c r="O2154" s="17">
        <v>3</v>
      </c>
      <c r="P2154" s="17">
        <v>0</v>
      </c>
      <c r="Q2154" s="17">
        <v>3</v>
      </c>
      <c r="R2154" s="17" t="s">
        <v>130</v>
      </c>
      <c r="S2154" s="33" t="s">
        <v>263</v>
      </c>
    </row>
    <row r="2155" spans="8:19" ht="33.6" customHeight="1" x14ac:dyDescent="0.3">
      <c r="H2155" s="17" t="s">
        <v>42</v>
      </c>
      <c r="I2155" s="17" t="s">
        <v>20</v>
      </c>
      <c r="J2155" s="18" t="s">
        <v>311</v>
      </c>
      <c r="K2155" s="19" t="s">
        <v>0</v>
      </c>
      <c r="L2155" s="17"/>
      <c r="M2155" s="17"/>
      <c r="N2155" s="20"/>
      <c r="O2155" s="17">
        <v>1</v>
      </c>
      <c r="P2155" s="17">
        <v>0</v>
      </c>
      <c r="Q2155" s="17">
        <v>1</v>
      </c>
      <c r="R2155" s="17" t="s">
        <v>130</v>
      </c>
      <c r="S2155" s="33" t="s">
        <v>263</v>
      </c>
    </row>
    <row r="2156" spans="8:19" ht="33.6" customHeight="1" x14ac:dyDescent="0.3">
      <c r="H2156" s="17" t="s">
        <v>42</v>
      </c>
      <c r="I2156" s="17" t="s">
        <v>30</v>
      </c>
      <c r="J2156" s="18" t="s">
        <v>315</v>
      </c>
      <c r="K2156" s="19" t="s">
        <v>0</v>
      </c>
      <c r="L2156" s="17"/>
      <c r="M2156" s="17"/>
      <c r="N2156" s="20"/>
      <c r="O2156" s="17">
        <v>3</v>
      </c>
      <c r="P2156" s="17">
        <v>3</v>
      </c>
      <c r="Q2156" s="17">
        <v>3</v>
      </c>
      <c r="R2156" s="17" t="s">
        <v>130</v>
      </c>
      <c r="S2156" s="33" t="s">
        <v>263</v>
      </c>
    </row>
    <row r="2157" spans="8:19" ht="33.6" customHeight="1" x14ac:dyDescent="0.3">
      <c r="H2157" s="17" t="s">
        <v>42</v>
      </c>
      <c r="I2157" s="17" t="s">
        <v>43</v>
      </c>
      <c r="J2157" s="18" t="s">
        <v>44</v>
      </c>
      <c r="K2157" s="19" t="s">
        <v>0</v>
      </c>
      <c r="L2157" s="17"/>
      <c r="M2157" s="17"/>
      <c r="N2157" s="20"/>
      <c r="O2157" s="17">
        <v>3</v>
      </c>
      <c r="P2157" s="17">
        <v>3</v>
      </c>
      <c r="Q2157" s="17">
        <v>3</v>
      </c>
      <c r="R2157" s="17" t="s">
        <v>130</v>
      </c>
      <c r="S2157" s="33" t="s">
        <v>263</v>
      </c>
    </row>
    <row r="2158" spans="8:19" ht="33.6" customHeight="1" x14ac:dyDescent="0.3">
      <c r="H2158" s="17" t="s">
        <v>42</v>
      </c>
      <c r="I2158" s="17" t="s">
        <v>45</v>
      </c>
      <c r="J2158" s="18" t="s">
        <v>46</v>
      </c>
      <c r="K2158" s="19" t="s">
        <v>0</v>
      </c>
      <c r="L2158" s="17"/>
      <c r="M2158" s="17"/>
      <c r="N2158" s="20"/>
      <c r="O2158" s="17">
        <v>3</v>
      </c>
      <c r="P2158" s="17">
        <v>3</v>
      </c>
      <c r="Q2158" s="17">
        <v>3</v>
      </c>
      <c r="R2158" s="17" t="s">
        <v>130</v>
      </c>
      <c r="S2158" s="33" t="s">
        <v>263</v>
      </c>
    </row>
    <row r="2159" spans="8:19" ht="33.6" customHeight="1" x14ac:dyDescent="0.3">
      <c r="H2159" s="17" t="s">
        <v>42</v>
      </c>
      <c r="I2159" s="17" t="s">
        <v>22</v>
      </c>
      <c r="J2159" s="18" t="s">
        <v>23</v>
      </c>
      <c r="K2159" s="27" t="s">
        <v>0</v>
      </c>
      <c r="L2159" s="17"/>
      <c r="M2159" s="17"/>
      <c r="N2159" s="20"/>
      <c r="O2159" s="17">
        <v>1</v>
      </c>
      <c r="P2159" s="17">
        <v>1</v>
      </c>
      <c r="Q2159" s="17">
        <v>1</v>
      </c>
      <c r="R2159" s="17" t="s">
        <v>130</v>
      </c>
      <c r="S2159" s="33" t="s">
        <v>263</v>
      </c>
    </row>
    <row r="2160" spans="8:19" ht="33.6" customHeight="1" x14ac:dyDescent="0.3">
      <c r="H2160" s="17" t="s">
        <v>42</v>
      </c>
      <c r="I2160" s="17" t="s">
        <v>22</v>
      </c>
      <c r="J2160" s="18" t="s">
        <v>322</v>
      </c>
      <c r="K2160" s="27" t="s">
        <v>0</v>
      </c>
      <c r="L2160" s="17"/>
      <c r="M2160" s="17"/>
      <c r="N2160" s="20"/>
      <c r="O2160" s="17">
        <v>1</v>
      </c>
      <c r="P2160" s="17">
        <v>1</v>
      </c>
      <c r="Q2160" s="17">
        <v>1</v>
      </c>
      <c r="R2160" s="17" t="s">
        <v>130</v>
      </c>
      <c r="S2160" s="33" t="s">
        <v>263</v>
      </c>
    </row>
    <row r="2161" spans="8:19" ht="33.6" customHeight="1" x14ac:dyDescent="0.3">
      <c r="H2161" s="17" t="s">
        <v>42</v>
      </c>
      <c r="I2161" s="17" t="s">
        <v>25</v>
      </c>
      <c r="J2161" s="18" t="s">
        <v>28</v>
      </c>
      <c r="K2161" s="19" t="s">
        <v>290</v>
      </c>
      <c r="L2161" s="17"/>
      <c r="M2161" s="17"/>
      <c r="N2161" s="20"/>
      <c r="O2161" s="17">
        <v>3</v>
      </c>
      <c r="P2161" s="17">
        <v>0</v>
      </c>
      <c r="Q2161" s="17">
        <v>3</v>
      </c>
      <c r="R2161" s="17" t="s">
        <v>130</v>
      </c>
      <c r="S2161" s="33" t="s">
        <v>263</v>
      </c>
    </row>
    <row r="2162" spans="8:19" ht="33.6" customHeight="1" x14ac:dyDescent="0.3">
      <c r="H2162" s="17" t="s">
        <v>42</v>
      </c>
      <c r="I2162" s="17" t="s">
        <v>25</v>
      </c>
      <c r="J2162" s="18" t="s">
        <v>29</v>
      </c>
      <c r="K2162" s="19" t="s">
        <v>0</v>
      </c>
      <c r="L2162" s="17"/>
      <c r="M2162" s="17"/>
      <c r="N2162" s="20"/>
      <c r="O2162" s="17">
        <v>3</v>
      </c>
      <c r="P2162" s="17">
        <v>3</v>
      </c>
      <c r="Q2162" s="17">
        <v>3</v>
      </c>
      <c r="R2162" s="17" t="s">
        <v>130</v>
      </c>
      <c r="S2162" s="33" t="s">
        <v>263</v>
      </c>
    </row>
    <row r="2163" spans="8:19" ht="33.6" customHeight="1" x14ac:dyDescent="0.3">
      <c r="H2163" s="17" t="s">
        <v>42</v>
      </c>
      <c r="I2163" s="17" t="s">
        <v>41</v>
      </c>
      <c r="J2163" s="18" t="s">
        <v>307</v>
      </c>
      <c r="K2163" s="19" t="s">
        <v>0</v>
      </c>
      <c r="L2163" s="17"/>
      <c r="M2163" s="17"/>
      <c r="N2163" s="20"/>
      <c r="O2163" s="17">
        <v>3</v>
      </c>
      <c r="P2163" s="17">
        <v>0</v>
      </c>
      <c r="Q2163" s="17">
        <v>1.5</v>
      </c>
      <c r="R2163" s="17" t="s">
        <v>130</v>
      </c>
      <c r="S2163" s="33" t="s">
        <v>263</v>
      </c>
    </row>
    <row r="2164" spans="8:19" ht="33.6" customHeight="1" x14ac:dyDescent="0.3">
      <c r="H2164" s="17" t="s">
        <v>42</v>
      </c>
      <c r="I2164" s="23" t="s">
        <v>41</v>
      </c>
      <c r="J2164" s="18" t="s">
        <v>308</v>
      </c>
      <c r="K2164" s="24" t="s">
        <v>290</v>
      </c>
      <c r="L2164" s="23"/>
      <c r="M2164" s="23"/>
      <c r="N2164" s="25"/>
      <c r="O2164" s="23">
        <v>2</v>
      </c>
      <c r="P2164" s="23">
        <v>0</v>
      </c>
      <c r="Q2164" s="23">
        <v>2</v>
      </c>
      <c r="R2164" s="17" t="s">
        <v>130</v>
      </c>
      <c r="S2164" s="33" t="s">
        <v>263</v>
      </c>
    </row>
    <row r="2165" spans="8:19" ht="32.4" customHeight="1" x14ac:dyDescent="0.3">
      <c r="H2165" s="16" t="s">
        <v>49</v>
      </c>
      <c r="I2165" s="17" t="s">
        <v>14</v>
      </c>
      <c r="J2165" s="18" t="s">
        <v>15</v>
      </c>
      <c r="K2165" s="19" t="s">
        <v>0</v>
      </c>
      <c r="L2165" s="17"/>
      <c r="M2165" s="17"/>
      <c r="N2165" s="20"/>
      <c r="O2165" s="17">
        <v>3</v>
      </c>
      <c r="P2165" s="17">
        <v>3</v>
      </c>
      <c r="Q2165" s="17">
        <v>3</v>
      </c>
      <c r="R2165" s="17" t="s">
        <v>130</v>
      </c>
      <c r="S2165" s="33" t="s">
        <v>263</v>
      </c>
    </row>
    <row r="2166" spans="8:19" ht="32.4" customHeight="1" x14ac:dyDescent="0.3">
      <c r="H2166" s="16" t="s">
        <v>49</v>
      </c>
      <c r="I2166" s="17" t="s">
        <v>14</v>
      </c>
      <c r="J2166" s="18" t="s">
        <v>16</v>
      </c>
      <c r="K2166" s="19" t="s">
        <v>0</v>
      </c>
      <c r="L2166" s="17"/>
      <c r="M2166" s="17"/>
      <c r="N2166" s="20"/>
      <c r="O2166" s="17">
        <v>1</v>
      </c>
      <c r="P2166" s="17">
        <v>1</v>
      </c>
      <c r="Q2166" s="17">
        <v>1</v>
      </c>
      <c r="R2166" s="17" t="s">
        <v>130</v>
      </c>
      <c r="S2166" s="33" t="s">
        <v>263</v>
      </c>
    </row>
    <row r="2167" spans="8:19" ht="32.4" customHeight="1" x14ac:dyDescent="0.3">
      <c r="H2167" s="16" t="s">
        <v>49</v>
      </c>
      <c r="I2167" s="17" t="s">
        <v>10</v>
      </c>
      <c r="J2167" s="18" t="s">
        <v>11</v>
      </c>
      <c r="K2167" s="19" t="s">
        <v>0</v>
      </c>
      <c r="L2167" s="17"/>
      <c r="M2167" s="17"/>
      <c r="N2167" s="20"/>
      <c r="O2167" s="17">
        <v>3</v>
      </c>
      <c r="P2167" s="17">
        <v>0</v>
      </c>
      <c r="Q2167" s="17">
        <v>3</v>
      </c>
      <c r="R2167" s="17" t="s">
        <v>130</v>
      </c>
      <c r="S2167" s="33" t="s">
        <v>263</v>
      </c>
    </row>
    <row r="2168" spans="8:19" ht="32.4" customHeight="1" x14ac:dyDescent="0.3">
      <c r="H2168" s="16" t="s">
        <v>49</v>
      </c>
      <c r="I2168" s="17" t="s">
        <v>10</v>
      </c>
      <c r="J2168" s="18" t="s">
        <v>316</v>
      </c>
      <c r="K2168" s="19" t="s">
        <v>0</v>
      </c>
      <c r="L2168" s="17"/>
      <c r="M2168" s="17"/>
      <c r="N2168" s="20"/>
      <c r="O2168" s="17">
        <v>3</v>
      </c>
      <c r="P2168" s="17">
        <v>3</v>
      </c>
      <c r="Q2168" s="17">
        <v>3</v>
      </c>
      <c r="R2168" s="17" t="s">
        <v>130</v>
      </c>
      <c r="S2168" s="33" t="s">
        <v>263</v>
      </c>
    </row>
    <row r="2169" spans="8:19" ht="32.4" customHeight="1" x14ac:dyDescent="0.3">
      <c r="H2169" s="16" t="s">
        <v>49</v>
      </c>
      <c r="I2169" s="17" t="s">
        <v>10</v>
      </c>
      <c r="J2169" s="18" t="s">
        <v>319</v>
      </c>
      <c r="K2169" s="19" t="s">
        <v>0</v>
      </c>
      <c r="L2169" s="17"/>
      <c r="M2169" s="17"/>
      <c r="N2169" s="20"/>
      <c r="O2169" s="17">
        <v>3</v>
      </c>
      <c r="P2169" s="17">
        <v>0</v>
      </c>
      <c r="Q2169" s="17">
        <v>3</v>
      </c>
      <c r="R2169" s="17" t="s">
        <v>130</v>
      </c>
      <c r="S2169" s="33" t="s">
        <v>263</v>
      </c>
    </row>
    <row r="2170" spans="8:19" ht="32.4" customHeight="1" x14ac:dyDescent="0.3">
      <c r="H2170" s="16" t="s">
        <v>49</v>
      </c>
      <c r="I2170" s="17" t="s">
        <v>10</v>
      </c>
      <c r="J2170" s="18" t="s">
        <v>393</v>
      </c>
      <c r="K2170" s="27" t="s">
        <v>0</v>
      </c>
      <c r="L2170" s="17"/>
      <c r="M2170" s="17"/>
      <c r="N2170" s="20"/>
      <c r="O2170" s="17">
        <v>2</v>
      </c>
      <c r="P2170" s="17">
        <v>2</v>
      </c>
      <c r="Q2170" s="17">
        <v>2</v>
      </c>
      <c r="R2170" s="17" t="s">
        <v>130</v>
      </c>
      <c r="S2170" s="33" t="s">
        <v>263</v>
      </c>
    </row>
    <row r="2171" spans="8:19" ht="32.4" customHeight="1" x14ac:dyDescent="0.3">
      <c r="H2171" s="16" t="s">
        <v>49</v>
      </c>
      <c r="I2171" s="17" t="s">
        <v>10</v>
      </c>
      <c r="J2171" s="18" t="s">
        <v>313</v>
      </c>
      <c r="K2171" s="19" t="s">
        <v>0</v>
      </c>
      <c r="L2171" s="17"/>
      <c r="M2171" s="17"/>
      <c r="N2171" s="20"/>
      <c r="O2171" s="17">
        <v>3</v>
      </c>
      <c r="P2171" s="17">
        <v>3</v>
      </c>
      <c r="Q2171" s="17">
        <v>3</v>
      </c>
      <c r="R2171" s="17" t="s">
        <v>130</v>
      </c>
      <c r="S2171" s="33" t="s">
        <v>263</v>
      </c>
    </row>
    <row r="2172" spans="8:19" ht="32.4" customHeight="1" x14ac:dyDescent="0.3">
      <c r="H2172" s="16" t="s">
        <v>49</v>
      </c>
      <c r="I2172" s="17" t="s">
        <v>12</v>
      </c>
      <c r="J2172" s="18" t="s">
        <v>13</v>
      </c>
      <c r="K2172" s="19" t="s">
        <v>0</v>
      </c>
      <c r="L2172" s="17"/>
      <c r="M2172" s="17"/>
      <c r="N2172" s="20"/>
      <c r="O2172" s="17">
        <v>2</v>
      </c>
      <c r="P2172" s="17">
        <v>0</v>
      </c>
      <c r="Q2172" s="17">
        <v>2</v>
      </c>
      <c r="R2172" s="17" t="s">
        <v>130</v>
      </c>
      <c r="S2172" s="33" t="s">
        <v>263</v>
      </c>
    </row>
    <row r="2173" spans="8:19" ht="32.4" customHeight="1" x14ac:dyDescent="0.3">
      <c r="H2173" s="16" t="s">
        <v>49</v>
      </c>
      <c r="I2173" s="17" t="s">
        <v>17</v>
      </c>
      <c r="J2173" s="18" t="s">
        <v>18</v>
      </c>
      <c r="K2173" s="19" t="s">
        <v>0</v>
      </c>
      <c r="L2173" s="17"/>
      <c r="M2173" s="17"/>
      <c r="N2173" s="20"/>
      <c r="O2173" s="17">
        <v>3</v>
      </c>
      <c r="P2173" s="17">
        <v>3</v>
      </c>
      <c r="Q2173" s="17">
        <v>3</v>
      </c>
      <c r="R2173" s="17" t="s">
        <v>130</v>
      </c>
      <c r="S2173" s="33" t="s">
        <v>263</v>
      </c>
    </row>
    <row r="2174" spans="8:19" ht="32.4" customHeight="1" x14ac:dyDescent="0.3">
      <c r="H2174" s="16" t="s">
        <v>49</v>
      </c>
      <c r="I2174" s="17" t="s">
        <v>17</v>
      </c>
      <c r="J2174" s="18" t="s">
        <v>19</v>
      </c>
      <c r="K2174" s="19" t="s">
        <v>290</v>
      </c>
      <c r="L2174" s="17"/>
      <c r="M2174" s="17"/>
      <c r="N2174" s="20"/>
      <c r="O2174" s="17">
        <v>1</v>
      </c>
      <c r="P2174" s="17">
        <v>1</v>
      </c>
      <c r="Q2174" s="17">
        <v>1</v>
      </c>
      <c r="R2174" s="17" t="s">
        <v>130</v>
      </c>
      <c r="S2174" s="33" t="s">
        <v>263</v>
      </c>
    </row>
    <row r="2175" spans="8:19" ht="32.4" customHeight="1" x14ac:dyDescent="0.3">
      <c r="H2175" s="16" t="s">
        <v>49</v>
      </c>
      <c r="I2175" s="17" t="s">
        <v>20</v>
      </c>
      <c r="J2175" s="18" t="s">
        <v>21</v>
      </c>
      <c r="K2175" s="19" t="s">
        <v>0</v>
      </c>
      <c r="L2175" s="17"/>
      <c r="M2175" s="17"/>
      <c r="N2175" s="20"/>
      <c r="O2175" s="17">
        <v>3</v>
      </c>
      <c r="P2175" s="17">
        <v>3</v>
      </c>
      <c r="Q2175" s="17">
        <v>3</v>
      </c>
      <c r="R2175" s="17" t="s">
        <v>130</v>
      </c>
      <c r="S2175" s="33" t="s">
        <v>263</v>
      </c>
    </row>
    <row r="2176" spans="8:19" ht="32.4" customHeight="1" x14ac:dyDescent="0.3">
      <c r="H2176" s="16" t="s">
        <v>49</v>
      </c>
      <c r="I2176" s="17" t="s">
        <v>20</v>
      </c>
      <c r="J2176" s="18" t="s">
        <v>311</v>
      </c>
      <c r="K2176" s="19" t="s">
        <v>0</v>
      </c>
      <c r="L2176" s="17"/>
      <c r="M2176" s="17"/>
      <c r="N2176" s="20"/>
      <c r="O2176" s="17">
        <v>1</v>
      </c>
      <c r="P2176" s="17">
        <v>1</v>
      </c>
      <c r="Q2176" s="17">
        <v>1</v>
      </c>
      <c r="R2176" s="17" t="s">
        <v>130</v>
      </c>
      <c r="S2176" s="33" t="s">
        <v>263</v>
      </c>
    </row>
    <row r="2177" spans="8:19" ht="32.4" customHeight="1" x14ac:dyDescent="0.3">
      <c r="H2177" s="16" t="s">
        <v>49</v>
      </c>
      <c r="I2177" s="17" t="s">
        <v>22</v>
      </c>
      <c r="J2177" s="18" t="s">
        <v>23</v>
      </c>
      <c r="K2177" s="27" t="s">
        <v>0</v>
      </c>
      <c r="L2177" s="17"/>
      <c r="M2177" s="17"/>
      <c r="N2177" s="20"/>
      <c r="O2177" s="17">
        <v>1</v>
      </c>
      <c r="P2177" s="17">
        <v>1</v>
      </c>
      <c r="Q2177" s="17">
        <v>1</v>
      </c>
      <c r="R2177" s="17" t="s">
        <v>130</v>
      </c>
      <c r="S2177" s="33" t="s">
        <v>263</v>
      </c>
    </row>
    <row r="2178" spans="8:19" ht="32.4" customHeight="1" x14ac:dyDescent="0.3">
      <c r="H2178" s="16" t="s">
        <v>49</v>
      </c>
      <c r="I2178" s="17" t="s">
        <v>22</v>
      </c>
      <c r="J2178" s="18" t="s">
        <v>322</v>
      </c>
      <c r="K2178" s="27" t="s">
        <v>0</v>
      </c>
      <c r="L2178" s="17"/>
      <c r="M2178" s="17"/>
      <c r="N2178" s="20"/>
      <c r="O2178" s="17">
        <v>1</v>
      </c>
      <c r="P2178" s="17">
        <v>1</v>
      </c>
      <c r="Q2178" s="17">
        <v>1</v>
      </c>
      <c r="R2178" s="17" t="s">
        <v>130</v>
      </c>
      <c r="S2178" s="33" t="s">
        <v>263</v>
      </c>
    </row>
    <row r="2179" spans="8:19" ht="32.4" customHeight="1" x14ac:dyDescent="0.3">
      <c r="H2179" s="16" t="s">
        <v>49</v>
      </c>
      <c r="I2179" s="17" t="s">
        <v>25</v>
      </c>
      <c r="J2179" s="18" t="s">
        <v>321</v>
      </c>
      <c r="K2179" s="19" t="s">
        <v>0</v>
      </c>
      <c r="L2179" s="17"/>
      <c r="M2179" s="17"/>
      <c r="N2179" s="20"/>
      <c r="O2179" s="17">
        <v>3</v>
      </c>
      <c r="P2179" s="17">
        <v>0</v>
      </c>
      <c r="Q2179" s="17">
        <v>3</v>
      </c>
      <c r="R2179" s="17" t="s">
        <v>130</v>
      </c>
      <c r="S2179" s="33" t="s">
        <v>263</v>
      </c>
    </row>
    <row r="2180" spans="8:19" ht="32.4" customHeight="1" x14ac:dyDescent="0.3">
      <c r="H2180" s="16" t="s">
        <v>49</v>
      </c>
      <c r="I2180" s="17" t="s">
        <v>25</v>
      </c>
      <c r="J2180" s="18" t="s">
        <v>320</v>
      </c>
      <c r="K2180" s="19" t="s">
        <v>0</v>
      </c>
      <c r="L2180" s="17"/>
      <c r="M2180" s="17"/>
      <c r="N2180" s="20"/>
      <c r="O2180" s="17">
        <v>3</v>
      </c>
      <c r="P2180" s="17">
        <v>3</v>
      </c>
      <c r="Q2180" s="17">
        <v>3</v>
      </c>
      <c r="R2180" s="17" t="s">
        <v>130</v>
      </c>
      <c r="S2180" s="33" t="s">
        <v>263</v>
      </c>
    </row>
    <row r="2181" spans="8:19" ht="32.4" customHeight="1" x14ac:dyDescent="0.3">
      <c r="H2181" s="16" t="s">
        <v>49</v>
      </c>
      <c r="I2181" s="17" t="s">
        <v>30</v>
      </c>
      <c r="J2181" s="18" t="s">
        <v>315</v>
      </c>
      <c r="K2181" s="19" t="s">
        <v>0</v>
      </c>
      <c r="L2181" s="17"/>
      <c r="M2181" s="17"/>
      <c r="N2181" s="20"/>
      <c r="O2181" s="17">
        <v>3</v>
      </c>
      <c r="P2181" s="17">
        <v>3</v>
      </c>
      <c r="Q2181" s="17">
        <v>3</v>
      </c>
      <c r="R2181" s="17" t="s">
        <v>130</v>
      </c>
      <c r="S2181" s="33" t="s">
        <v>263</v>
      </c>
    </row>
    <row r="2182" spans="8:19" ht="32.4" customHeight="1" x14ac:dyDescent="0.3">
      <c r="H2182" s="16" t="s">
        <v>49</v>
      </c>
      <c r="I2182" s="17" t="s">
        <v>25</v>
      </c>
      <c r="J2182" s="18" t="s">
        <v>312</v>
      </c>
      <c r="K2182" s="19" t="s">
        <v>0</v>
      </c>
      <c r="L2182" s="17"/>
      <c r="M2182" s="17"/>
      <c r="N2182" s="20"/>
      <c r="O2182" s="17">
        <v>3</v>
      </c>
      <c r="P2182" s="17">
        <v>3</v>
      </c>
      <c r="Q2182" s="17">
        <v>3</v>
      </c>
      <c r="R2182" s="17" t="s">
        <v>130</v>
      </c>
      <c r="S2182" s="33" t="s">
        <v>263</v>
      </c>
    </row>
    <row r="2183" spans="8:19" ht="32.4" customHeight="1" x14ac:dyDescent="0.3">
      <c r="H2183" s="16" t="s">
        <v>49</v>
      </c>
      <c r="I2183" s="17" t="s">
        <v>41</v>
      </c>
      <c r="J2183" s="18" t="s">
        <v>307</v>
      </c>
      <c r="K2183" s="19" t="s">
        <v>0</v>
      </c>
      <c r="L2183" s="17"/>
      <c r="M2183" s="17"/>
      <c r="N2183" s="20"/>
      <c r="O2183" s="17">
        <v>3</v>
      </c>
      <c r="P2183" s="17">
        <v>0</v>
      </c>
      <c r="Q2183" s="17">
        <v>1.5</v>
      </c>
      <c r="R2183" s="17" t="s">
        <v>130</v>
      </c>
      <c r="S2183" s="33" t="s">
        <v>263</v>
      </c>
    </row>
    <row r="2184" spans="8:19" ht="32.4" customHeight="1" x14ac:dyDescent="0.3">
      <c r="H2184" s="16" t="s">
        <v>49</v>
      </c>
      <c r="I2184" s="23" t="s">
        <v>41</v>
      </c>
      <c r="J2184" s="18" t="s">
        <v>308</v>
      </c>
      <c r="K2184" s="24" t="s">
        <v>290</v>
      </c>
      <c r="L2184" s="23" t="s">
        <v>478</v>
      </c>
      <c r="M2184" s="23"/>
      <c r="N2184" s="25"/>
      <c r="O2184" s="23">
        <v>2</v>
      </c>
      <c r="P2184" s="23">
        <v>0</v>
      </c>
      <c r="Q2184" s="17">
        <v>2</v>
      </c>
      <c r="R2184" s="17" t="s">
        <v>130</v>
      </c>
      <c r="S2184" s="33" t="s">
        <v>263</v>
      </c>
    </row>
    <row r="2185" spans="8:19" ht="31.8" customHeight="1" x14ac:dyDescent="0.3">
      <c r="H2185" s="16" t="s">
        <v>54</v>
      </c>
      <c r="I2185" s="17" t="s">
        <v>14</v>
      </c>
      <c r="J2185" s="18" t="s">
        <v>15</v>
      </c>
      <c r="K2185" s="19" t="s">
        <v>0</v>
      </c>
      <c r="L2185" s="17"/>
      <c r="M2185" s="17"/>
      <c r="N2185" s="20"/>
      <c r="O2185" s="17">
        <v>3</v>
      </c>
      <c r="P2185" s="17">
        <v>3</v>
      </c>
      <c r="Q2185" s="17">
        <v>3</v>
      </c>
      <c r="R2185" s="17" t="s">
        <v>130</v>
      </c>
      <c r="S2185" s="33" t="s">
        <v>263</v>
      </c>
    </row>
    <row r="2186" spans="8:19" ht="31.8" customHeight="1" x14ac:dyDescent="0.3">
      <c r="H2186" s="16" t="s">
        <v>54</v>
      </c>
      <c r="I2186" s="17" t="s">
        <v>14</v>
      </c>
      <c r="J2186" s="18" t="s">
        <v>16</v>
      </c>
      <c r="K2186" s="19" t="s">
        <v>0</v>
      </c>
      <c r="L2186" s="17"/>
      <c r="M2186" s="17"/>
      <c r="N2186" s="20"/>
      <c r="O2186" s="17">
        <v>1</v>
      </c>
      <c r="P2186" s="17">
        <v>1</v>
      </c>
      <c r="Q2186" s="17">
        <v>1</v>
      </c>
      <c r="R2186" s="17" t="s">
        <v>130</v>
      </c>
      <c r="S2186" s="33" t="s">
        <v>263</v>
      </c>
    </row>
    <row r="2187" spans="8:19" ht="31.8" customHeight="1" x14ac:dyDescent="0.3">
      <c r="H2187" s="16" t="s">
        <v>54</v>
      </c>
      <c r="I2187" s="17" t="s">
        <v>10</v>
      </c>
      <c r="J2187" s="18" t="s">
        <v>11</v>
      </c>
      <c r="K2187" s="19" t="s">
        <v>0</v>
      </c>
      <c r="L2187" s="17"/>
      <c r="M2187" s="17"/>
      <c r="N2187" s="20"/>
      <c r="O2187" s="17">
        <v>3</v>
      </c>
      <c r="P2187" s="17">
        <v>0</v>
      </c>
      <c r="Q2187" s="17">
        <v>3</v>
      </c>
      <c r="R2187" s="17" t="s">
        <v>130</v>
      </c>
      <c r="S2187" s="33" t="s">
        <v>263</v>
      </c>
    </row>
    <row r="2188" spans="8:19" ht="31.8" customHeight="1" x14ac:dyDescent="0.3">
      <c r="H2188" s="16" t="s">
        <v>54</v>
      </c>
      <c r="I2188" s="17" t="s">
        <v>10</v>
      </c>
      <c r="J2188" s="18" t="s">
        <v>316</v>
      </c>
      <c r="K2188" s="19" t="s">
        <v>0</v>
      </c>
      <c r="L2188" s="17"/>
      <c r="M2188" s="17"/>
      <c r="N2188" s="20"/>
      <c r="O2188" s="17">
        <v>3</v>
      </c>
      <c r="P2188" s="17">
        <v>3</v>
      </c>
      <c r="Q2188" s="17">
        <v>3</v>
      </c>
      <c r="R2188" s="17" t="s">
        <v>130</v>
      </c>
      <c r="S2188" s="33" t="s">
        <v>263</v>
      </c>
    </row>
    <row r="2189" spans="8:19" ht="31.8" customHeight="1" x14ac:dyDescent="0.3">
      <c r="H2189" s="16" t="s">
        <v>54</v>
      </c>
      <c r="I2189" s="17" t="s">
        <v>10</v>
      </c>
      <c r="J2189" s="18" t="s">
        <v>319</v>
      </c>
      <c r="K2189" s="19" t="s">
        <v>0</v>
      </c>
      <c r="L2189" s="17"/>
      <c r="M2189" s="17"/>
      <c r="N2189" s="20"/>
      <c r="O2189" s="17">
        <v>3</v>
      </c>
      <c r="P2189" s="17">
        <v>0</v>
      </c>
      <c r="Q2189" s="17">
        <v>3</v>
      </c>
      <c r="R2189" s="17" t="s">
        <v>130</v>
      </c>
      <c r="S2189" s="33" t="s">
        <v>263</v>
      </c>
    </row>
    <row r="2190" spans="8:19" ht="31.8" customHeight="1" x14ac:dyDescent="0.3">
      <c r="H2190" s="16" t="s">
        <v>54</v>
      </c>
      <c r="I2190" s="17" t="s">
        <v>10</v>
      </c>
      <c r="J2190" s="18" t="s">
        <v>393</v>
      </c>
      <c r="K2190" s="27" t="s">
        <v>0</v>
      </c>
      <c r="L2190" s="17"/>
      <c r="M2190" s="17"/>
      <c r="N2190" s="20"/>
      <c r="O2190" s="17">
        <v>2</v>
      </c>
      <c r="P2190" s="17">
        <v>2</v>
      </c>
      <c r="Q2190" s="17">
        <v>2</v>
      </c>
      <c r="R2190" s="17" t="s">
        <v>130</v>
      </c>
      <c r="S2190" s="33" t="s">
        <v>263</v>
      </c>
    </row>
    <row r="2191" spans="8:19" ht="31.8" customHeight="1" x14ac:dyDescent="0.3">
      <c r="H2191" s="16" t="s">
        <v>54</v>
      </c>
      <c r="I2191" s="17" t="s">
        <v>10</v>
      </c>
      <c r="J2191" s="18" t="s">
        <v>313</v>
      </c>
      <c r="K2191" s="19" t="s">
        <v>0</v>
      </c>
      <c r="L2191" s="17"/>
      <c r="M2191" s="17"/>
      <c r="N2191" s="20"/>
      <c r="O2191" s="17">
        <v>3</v>
      </c>
      <c r="P2191" s="17">
        <v>3</v>
      </c>
      <c r="Q2191" s="17">
        <v>3</v>
      </c>
      <c r="R2191" s="17" t="s">
        <v>130</v>
      </c>
      <c r="S2191" s="33" t="s">
        <v>263</v>
      </c>
    </row>
    <row r="2192" spans="8:19" ht="31.8" customHeight="1" x14ac:dyDescent="0.3">
      <c r="H2192" s="16" t="s">
        <v>54</v>
      </c>
      <c r="I2192" s="17" t="s">
        <v>12</v>
      </c>
      <c r="J2192" s="18" t="s">
        <v>13</v>
      </c>
      <c r="K2192" s="19" t="s">
        <v>0</v>
      </c>
      <c r="L2192" s="17"/>
      <c r="M2192" s="17"/>
      <c r="N2192" s="20"/>
      <c r="O2192" s="17">
        <v>2</v>
      </c>
      <c r="P2192" s="17">
        <v>0</v>
      </c>
      <c r="Q2192" s="17">
        <v>2</v>
      </c>
      <c r="R2192" s="17" t="s">
        <v>130</v>
      </c>
      <c r="S2192" s="33" t="s">
        <v>263</v>
      </c>
    </row>
    <row r="2193" spans="8:19" ht="31.8" customHeight="1" x14ac:dyDescent="0.3">
      <c r="H2193" s="16" t="s">
        <v>54</v>
      </c>
      <c r="I2193" s="17" t="s">
        <v>17</v>
      </c>
      <c r="J2193" s="18" t="s">
        <v>18</v>
      </c>
      <c r="K2193" s="19" t="s">
        <v>0</v>
      </c>
      <c r="L2193" s="17"/>
      <c r="M2193" s="17"/>
      <c r="N2193" s="20"/>
      <c r="O2193" s="17">
        <v>3</v>
      </c>
      <c r="P2193" s="17">
        <v>3</v>
      </c>
      <c r="Q2193" s="17">
        <v>3</v>
      </c>
      <c r="R2193" s="17" t="s">
        <v>130</v>
      </c>
      <c r="S2193" s="33" t="s">
        <v>263</v>
      </c>
    </row>
    <row r="2194" spans="8:19" ht="31.8" customHeight="1" x14ac:dyDescent="0.3">
      <c r="H2194" s="16" t="s">
        <v>54</v>
      </c>
      <c r="I2194" s="17" t="s">
        <v>17</v>
      </c>
      <c r="J2194" s="18" t="s">
        <v>19</v>
      </c>
      <c r="K2194" s="19" t="s">
        <v>290</v>
      </c>
      <c r="L2194" s="17"/>
      <c r="M2194" s="17"/>
      <c r="N2194" s="20"/>
      <c r="O2194" s="17">
        <v>1</v>
      </c>
      <c r="P2194" s="17">
        <v>1</v>
      </c>
      <c r="Q2194" s="17">
        <v>1</v>
      </c>
      <c r="R2194" s="17" t="s">
        <v>130</v>
      </c>
      <c r="S2194" s="33" t="s">
        <v>263</v>
      </c>
    </row>
    <row r="2195" spans="8:19" ht="31.8" customHeight="1" x14ac:dyDescent="0.3">
      <c r="H2195" s="16" t="s">
        <v>54</v>
      </c>
      <c r="I2195" s="17" t="s">
        <v>20</v>
      </c>
      <c r="J2195" s="18" t="s">
        <v>21</v>
      </c>
      <c r="K2195" s="19" t="s">
        <v>0</v>
      </c>
      <c r="L2195" s="17"/>
      <c r="M2195" s="17"/>
      <c r="N2195" s="20"/>
      <c r="O2195" s="17">
        <v>3</v>
      </c>
      <c r="P2195" s="17">
        <v>3</v>
      </c>
      <c r="Q2195" s="17">
        <v>3</v>
      </c>
      <c r="R2195" s="17" t="s">
        <v>130</v>
      </c>
      <c r="S2195" s="33" t="s">
        <v>263</v>
      </c>
    </row>
    <row r="2196" spans="8:19" ht="31.8" customHeight="1" x14ac:dyDescent="0.3">
      <c r="H2196" s="16" t="s">
        <v>54</v>
      </c>
      <c r="I2196" s="17" t="s">
        <v>20</v>
      </c>
      <c r="J2196" s="18" t="s">
        <v>311</v>
      </c>
      <c r="K2196" s="19" t="s">
        <v>290</v>
      </c>
      <c r="L2196" s="17"/>
      <c r="M2196" s="17"/>
      <c r="N2196" s="20"/>
      <c r="O2196" s="17">
        <v>1</v>
      </c>
      <c r="P2196" s="17">
        <v>1</v>
      </c>
      <c r="Q2196" s="17">
        <v>1</v>
      </c>
      <c r="R2196" s="17" t="s">
        <v>130</v>
      </c>
      <c r="S2196" s="33" t="s">
        <v>263</v>
      </c>
    </row>
    <row r="2197" spans="8:19" ht="31.8" customHeight="1" x14ac:dyDescent="0.3">
      <c r="H2197" s="16" t="s">
        <v>54</v>
      </c>
      <c r="I2197" s="17" t="s">
        <v>22</v>
      </c>
      <c r="J2197" s="18" t="s">
        <v>23</v>
      </c>
      <c r="K2197" s="27" t="s">
        <v>290</v>
      </c>
      <c r="L2197" s="17"/>
      <c r="M2197" s="17"/>
      <c r="N2197" s="20"/>
      <c r="O2197" s="17">
        <v>1</v>
      </c>
      <c r="P2197" s="17">
        <v>1</v>
      </c>
      <c r="Q2197" s="17">
        <v>1</v>
      </c>
      <c r="R2197" s="17" t="s">
        <v>130</v>
      </c>
      <c r="S2197" s="33" t="s">
        <v>263</v>
      </c>
    </row>
    <row r="2198" spans="8:19" ht="31.8" customHeight="1" x14ac:dyDescent="0.3">
      <c r="H2198" s="16" t="s">
        <v>54</v>
      </c>
      <c r="I2198" s="17" t="s">
        <v>22</v>
      </c>
      <c r="J2198" s="18" t="s">
        <v>322</v>
      </c>
      <c r="K2198" s="27" t="s">
        <v>0</v>
      </c>
      <c r="L2198" s="17"/>
      <c r="M2198" s="17"/>
      <c r="N2198" s="20"/>
      <c r="O2198" s="17">
        <v>1</v>
      </c>
      <c r="P2198" s="17">
        <v>1</v>
      </c>
      <c r="Q2198" s="17">
        <v>1</v>
      </c>
      <c r="R2198" s="17" t="s">
        <v>130</v>
      </c>
      <c r="S2198" s="33" t="s">
        <v>263</v>
      </c>
    </row>
    <row r="2199" spans="8:19" ht="31.8" customHeight="1" x14ac:dyDescent="0.3">
      <c r="H2199" s="16" t="s">
        <v>54</v>
      </c>
      <c r="I2199" s="17" t="s">
        <v>25</v>
      </c>
      <c r="J2199" s="18" t="s">
        <v>321</v>
      </c>
      <c r="K2199" s="19" t="s">
        <v>290</v>
      </c>
      <c r="L2199" s="17"/>
      <c r="M2199" s="17"/>
      <c r="N2199" s="20"/>
      <c r="O2199" s="17">
        <v>3</v>
      </c>
      <c r="P2199" s="17">
        <v>0</v>
      </c>
      <c r="Q2199" s="17">
        <v>3</v>
      </c>
      <c r="R2199" s="17" t="s">
        <v>130</v>
      </c>
      <c r="S2199" s="33" t="s">
        <v>263</v>
      </c>
    </row>
    <row r="2200" spans="8:19" ht="31.8" customHeight="1" x14ac:dyDescent="0.3">
      <c r="H2200" s="16" t="s">
        <v>54</v>
      </c>
      <c r="I2200" s="17" t="s">
        <v>25</v>
      </c>
      <c r="J2200" s="18" t="s">
        <v>320</v>
      </c>
      <c r="K2200" s="19" t="s">
        <v>0</v>
      </c>
      <c r="L2200" s="17"/>
      <c r="M2200" s="17"/>
      <c r="N2200" s="20"/>
      <c r="O2200" s="17">
        <v>3</v>
      </c>
      <c r="P2200" s="17">
        <v>3</v>
      </c>
      <c r="Q2200" s="17">
        <v>3</v>
      </c>
      <c r="R2200" s="17" t="s">
        <v>130</v>
      </c>
      <c r="S2200" s="33" t="s">
        <v>263</v>
      </c>
    </row>
    <row r="2201" spans="8:19" ht="31.8" customHeight="1" x14ac:dyDescent="0.3">
      <c r="H2201" s="16" t="s">
        <v>54</v>
      </c>
      <c r="I2201" s="17" t="s">
        <v>30</v>
      </c>
      <c r="J2201" s="18" t="s">
        <v>315</v>
      </c>
      <c r="K2201" s="19" t="s">
        <v>0</v>
      </c>
      <c r="L2201" s="17"/>
      <c r="M2201" s="17"/>
      <c r="N2201" s="20"/>
      <c r="O2201" s="17">
        <v>3</v>
      </c>
      <c r="P2201" s="17">
        <v>3</v>
      </c>
      <c r="Q2201" s="17">
        <v>3</v>
      </c>
      <c r="R2201" s="17" t="s">
        <v>130</v>
      </c>
      <c r="S2201" s="33" t="s">
        <v>263</v>
      </c>
    </row>
    <row r="2202" spans="8:19" ht="31.8" customHeight="1" x14ac:dyDescent="0.3">
      <c r="H2202" s="16" t="s">
        <v>54</v>
      </c>
      <c r="I2202" s="17" t="s">
        <v>25</v>
      </c>
      <c r="J2202" s="18" t="s">
        <v>312</v>
      </c>
      <c r="K2202" s="19" t="s">
        <v>0</v>
      </c>
      <c r="L2202" s="17"/>
      <c r="M2202" s="17"/>
      <c r="N2202" s="20"/>
      <c r="O2202" s="17">
        <v>3</v>
      </c>
      <c r="P2202" s="17">
        <v>3</v>
      </c>
      <c r="Q2202" s="17">
        <v>3</v>
      </c>
      <c r="R2202" s="17" t="s">
        <v>130</v>
      </c>
      <c r="S2202" s="33" t="s">
        <v>263</v>
      </c>
    </row>
    <row r="2203" spans="8:19" ht="31.8" customHeight="1" x14ac:dyDescent="0.3">
      <c r="H2203" s="16" t="s">
        <v>54</v>
      </c>
      <c r="I2203" s="17" t="s">
        <v>41</v>
      </c>
      <c r="J2203" s="18" t="s">
        <v>307</v>
      </c>
      <c r="K2203" s="19" t="s">
        <v>0</v>
      </c>
      <c r="L2203" s="17"/>
      <c r="M2203" s="17"/>
      <c r="N2203" s="20"/>
      <c r="O2203" s="17">
        <v>3</v>
      </c>
      <c r="P2203" s="17">
        <v>0</v>
      </c>
      <c r="Q2203" s="17">
        <v>1.5</v>
      </c>
      <c r="R2203" s="17" t="s">
        <v>130</v>
      </c>
      <c r="S2203" s="33" t="s">
        <v>263</v>
      </c>
    </row>
    <row r="2204" spans="8:19" ht="31.8" customHeight="1" x14ac:dyDescent="0.3">
      <c r="H2204" s="16" t="s">
        <v>54</v>
      </c>
      <c r="I2204" s="23" t="s">
        <v>41</v>
      </c>
      <c r="J2204" s="18" t="s">
        <v>308</v>
      </c>
      <c r="K2204" s="24" t="s">
        <v>290</v>
      </c>
      <c r="L2204" s="23"/>
      <c r="M2204" s="23"/>
      <c r="N2204" s="25"/>
      <c r="O2204" s="23">
        <v>2</v>
      </c>
      <c r="P2204" s="23">
        <v>0</v>
      </c>
      <c r="Q2204" s="17">
        <v>2</v>
      </c>
      <c r="R2204" s="17" t="s">
        <v>130</v>
      </c>
      <c r="S2204" s="33" t="s">
        <v>263</v>
      </c>
    </row>
    <row r="2205" spans="8:19" ht="28.8" x14ac:dyDescent="0.3">
      <c r="H2205" s="16" t="s">
        <v>56</v>
      </c>
      <c r="I2205" s="17" t="s">
        <v>14</v>
      </c>
      <c r="J2205" s="18" t="s">
        <v>15</v>
      </c>
      <c r="K2205" s="19" t="s">
        <v>0</v>
      </c>
      <c r="L2205" s="17"/>
      <c r="M2205" s="17"/>
      <c r="N2205" s="20"/>
      <c r="O2205" s="17">
        <v>3</v>
      </c>
      <c r="P2205" s="17">
        <v>3</v>
      </c>
      <c r="Q2205" s="17">
        <v>3</v>
      </c>
      <c r="R2205" s="17" t="s">
        <v>130</v>
      </c>
      <c r="S2205" s="33" t="s">
        <v>263</v>
      </c>
    </row>
    <row r="2206" spans="8:19" ht="28.8" x14ac:dyDescent="0.3">
      <c r="H2206" s="16" t="s">
        <v>56</v>
      </c>
      <c r="I2206" s="17" t="s">
        <v>14</v>
      </c>
      <c r="J2206" s="18" t="s">
        <v>16</v>
      </c>
      <c r="K2206" s="19" t="s">
        <v>0</v>
      </c>
      <c r="L2206" s="17"/>
      <c r="M2206" s="17"/>
      <c r="N2206" s="20"/>
      <c r="O2206" s="17">
        <v>1</v>
      </c>
      <c r="P2206" s="17">
        <v>1</v>
      </c>
      <c r="Q2206" s="17">
        <v>1</v>
      </c>
      <c r="R2206" s="17" t="s">
        <v>130</v>
      </c>
      <c r="S2206" s="33" t="s">
        <v>263</v>
      </c>
    </row>
    <row r="2207" spans="8:19" ht="28.8" x14ac:dyDescent="0.3">
      <c r="H2207" s="16" t="s">
        <v>56</v>
      </c>
      <c r="I2207" s="17" t="s">
        <v>10</v>
      </c>
      <c r="J2207" s="18" t="s">
        <v>11</v>
      </c>
      <c r="K2207" s="19" t="s">
        <v>0</v>
      </c>
      <c r="L2207" s="17"/>
      <c r="M2207" s="17"/>
      <c r="N2207" s="20"/>
      <c r="O2207" s="17">
        <v>3</v>
      </c>
      <c r="P2207" s="17">
        <v>0</v>
      </c>
      <c r="Q2207" s="17">
        <v>3</v>
      </c>
      <c r="R2207" s="17" t="s">
        <v>130</v>
      </c>
      <c r="S2207" s="33" t="s">
        <v>263</v>
      </c>
    </row>
    <row r="2208" spans="8:19" ht="28.8" x14ac:dyDescent="0.3">
      <c r="H2208" s="16" t="s">
        <v>56</v>
      </c>
      <c r="I2208" s="17" t="s">
        <v>10</v>
      </c>
      <c r="J2208" s="18" t="s">
        <v>316</v>
      </c>
      <c r="K2208" s="19" t="s">
        <v>0</v>
      </c>
      <c r="L2208" s="17"/>
      <c r="M2208" s="17"/>
      <c r="N2208" s="20"/>
      <c r="O2208" s="17">
        <v>3</v>
      </c>
      <c r="P2208" s="17">
        <v>3</v>
      </c>
      <c r="Q2208" s="17">
        <v>3</v>
      </c>
      <c r="R2208" s="17" t="s">
        <v>130</v>
      </c>
      <c r="S2208" s="33" t="s">
        <v>263</v>
      </c>
    </row>
    <row r="2209" spans="8:19" ht="28.8" x14ac:dyDescent="0.3">
      <c r="H2209" s="16" t="s">
        <v>56</v>
      </c>
      <c r="I2209" s="17" t="s">
        <v>10</v>
      </c>
      <c r="J2209" s="18" t="s">
        <v>319</v>
      </c>
      <c r="K2209" s="19" t="s">
        <v>0</v>
      </c>
      <c r="L2209" s="17"/>
      <c r="M2209" s="17"/>
      <c r="N2209" s="20"/>
      <c r="O2209" s="17">
        <v>3</v>
      </c>
      <c r="P2209" s="17">
        <v>0</v>
      </c>
      <c r="Q2209" s="17">
        <v>3</v>
      </c>
      <c r="R2209" s="17" t="s">
        <v>130</v>
      </c>
      <c r="S2209" s="33" t="s">
        <v>263</v>
      </c>
    </row>
    <row r="2210" spans="8:19" ht="28.8" x14ac:dyDescent="0.3">
      <c r="H2210" s="16" t="s">
        <v>56</v>
      </c>
      <c r="I2210" s="17" t="s">
        <v>10</v>
      </c>
      <c r="J2210" s="18" t="s">
        <v>393</v>
      </c>
      <c r="K2210" s="27" t="s">
        <v>0</v>
      </c>
      <c r="L2210" s="17"/>
      <c r="M2210" s="17"/>
      <c r="N2210" s="20"/>
      <c r="O2210" s="17">
        <v>2</v>
      </c>
      <c r="P2210" s="17">
        <v>2</v>
      </c>
      <c r="Q2210" s="17">
        <v>2</v>
      </c>
      <c r="R2210" s="17" t="s">
        <v>130</v>
      </c>
      <c r="S2210" s="33" t="s">
        <v>263</v>
      </c>
    </row>
    <row r="2211" spans="8:19" ht="28.8" x14ac:dyDescent="0.3">
      <c r="H2211" s="16" t="s">
        <v>56</v>
      </c>
      <c r="I2211" s="17" t="s">
        <v>10</v>
      </c>
      <c r="J2211" s="18" t="s">
        <v>313</v>
      </c>
      <c r="K2211" s="19" t="s">
        <v>0</v>
      </c>
      <c r="L2211" s="17"/>
      <c r="M2211" s="17"/>
      <c r="N2211" s="20"/>
      <c r="O2211" s="17">
        <v>3</v>
      </c>
      <c r="P2211" s="17">
        <v>3</v>
      </c>
      <c r="Q2211" s="17">
        <v>3</v>
      </c>
      <c r="R2211" s="17" t="s">
        <v>130</v>
      </c>
      <c r="S2211" s="33" t="s">
        <v>263</v>
      </c>
    </row>
    <row r="2212" spans="8:19" ht="28.8" x14ac:dyDescent="0.3">
      <c r="H2212" s="16" t="s">
        <v>56</v>
      </c>
      <c r="I2212" s="17" t="s">
        <v>12</v>
      </c>
      <c r="J2212" s="18" t="s">
        <v>13</v>
      </c>
      <c r="K2212" s="19" t="s">
        <v>0</v>
      </c>
      <c r="L2212" s="17"/>
      <c r="M2212" s="17"/>
      <c r="N2212" s="20"/>
      <c r="O2212" s="17">
        <v>2</v>
      </c>
      <c r="P2212" s="17">
        <v>0</v>
      </c>
      <c r="Q2212" s="17">
        <v>2</v>
      </c>
      <c r="R2212" s="17" t="s">
        <v>130</v>
      </c>
      <c r="S2212" s="33" t="s">
        <v>263</v>
      </c>
    </row>
    <row r="2213" spans="8:19" ht="28.8" x14ac:dyDescent="0.3">
      <c r="H2213" s="16" t="s">
        <v>56</v>
      </c>
      <c r="I2213" s="17" t="s">
        <v>17</v>
      </c>
      <c r="J2213" s="18" t="s">
        <v>18</v>
      </c>
      <c r="K2213" s="19" t="s">
        <v>0</v>
      </c>
      <c r="L2213" s="17"/>
      <c r="M2213" s="17"/>
      <c r="N2213" s="20"/>
      <c r="O2213" s="17">
        <v>3</v>
      </c>
      <c r="P2213" s="17">
        <v>3</v>
      </c>
      <c r="Q2213" s="17">
        <v>3</v>
      </c>
      <c r="R2213" s="17" t="s">
        <v>130</v>
      </c>
      <c r="S2213" s="33" t="s">
        <v>263</v>
      </c>
    </row>
    <row r="2214" spans="8:19" ht="28.8" x14ac:dyDescent="0.3">
      <c r="H2214" s="16" t="s">
        <v>56</v>
      </c>
      <c r="I2214" s="17" t="s">
        <v>17</v>
      </c>
      <c r="J2214" s="18" t="s">
        <v>19</v>
      </c>
      <c r="K2214" s="19" t="s">
        <v>290</v>
      </c>
      <c r="L2214" s="17"/>
      <c r="M2214" s="17"/>
      <c r="N2214" s="20"/>
      <c r="O2214" s="17">
        <v>1</v>
      </c>
      <c r="P2214" s="17">
        <v>1</v>
      </c>
      <c r="Q2214" s="17">
        <v>1</v>
      </c>
      <c r="R2214" s="17" t="s">
        <v>130</v>
      </c>
      <c r="S2214" s="33" t="s">
        <v>263</v>
      </c>
    </row>
    <row r="2215" spans="8:19" ht="28.8" x14ac:dyDescent="0.3">
      <c r="H2215" s="16" t="s">
        <v>56</v>
      </c>
      <c r="I2215" s="17" t="s">
        <v>20</v>
      </c>
      <c r="J2215" s="18" t="s">
        <v>21</v>
      </c>
      <c r="K2215" s="19" t="s">
        <v>0</v>
      </c>
      <c r="L2215" s="17"/>
      <c r="M2215" s="17"/>
      <c r="N2215" s="20"/>
      <c r="O2215" s="17">
        <v>3</v>
      </c>
      <c r="P2215" s="17">
        <v>3</v>
      </c>
      <c r="Q2215" s="17">
        <v>3</v>
      </c>
      <c r="R2215" s="17" t="s">
        <v>130</v>
      </c>
      <c r="S2215" s="33" t="s">
        <v>263</v>
      </c>
    </row>
    <row r="2216" spans="8:19" ht="28.8" x14ac:dyDescent="0.3">
      <c r="H2216" s="16" t="s">
        <v>56</v>
      </c>
      <c r="I2216" s="17" t="s">
        <v>20</v>
      </c>
      <c r="J2216" s="18" t="s">
        <v>311</v>
      </c>
      <c r="K2216" s="19" t="s">
        <v>290</v>
      </c>
      <c r="L2216" s="17"/>
      <c r="M2216" s="17"/>
      <c r="N2216" s="20"/>
      <c r="O2216" s="17">
        <v>1</v>
      </c>
      <c r="P2216" s="17">
        <v>1</v>
      </c>
      <c r="Q2216" s="17">
        <v>1</v>
      </c>
      <c r="R2216" s="17" t="s">
        <v>130</v>
      </c>
      <c r="S2216" s="33" t="s">
        <v>263</v>
      </c>
    </row>
    <row r="2217" spans="8:19" ht="28.8" x14ac:dyDescent="0.3">
      <c r="H2217" s="16" t="s">
        <v>56</v>
      </c>
      <c r="I2217" s="17" t="s">
        <v>22</v>
      </c>
      <c r="J2217" s="18" t="s">
        <v>23</v>
      </c>
      <c r="K2217" s="27" t="s">
        <v>290</v>
      </c>
      <c r="L2217" s="17"/>
      <c r="M2217" s="17"/>
      <c r="N2217" s="20"/>
      <c r="O2217" s="17">
        <v>1</v>
      </c>
      <c r="P2217" s="17">
        <v>1</v>
      </c>
      <c r="Q2217" s="17">
        <v>1</v>
      </c>
      <c r="R2217" s="17" t="s">
        <v>130</v>
      </c>
      <c r="S2217" s="33" t="s">
        <v>263</v>
      </c>
    </row>
    <row r="2218" spans="8:19" ht="28.8" x14ac:dyDescent="0.3">
      <c r="H2218" s="16" t="s">
        <v>56</v>
      </c>
      <c r="I2218" s="17" t="s">
        <v>22</v>
      </c>
      <c r="J2218" s="18" t="s">
        <v>322</v>
      </c>
      <c r="K2218" s="27" t="s">
        <v>0</v>
      </c>
      <c r="L2218" s="17"/>
      <c r="M2218" s="17"/>
      <c r="N2218" s="20"/>
      <c r="O2218" s="17">
        <v>1</v>
      </c>
      <c r="P2218" s="17">
        <v>1</v>
      </c>
      <c r="Q2218" s="17">
        <v>1</v>
      </c>
      <c r="R2218" s="17" t="s">
        <v>130</v>
      </c>
      <c r="S2218" s="33" t="s">
        <v>263</v>
      </c>
    </row>
    <row r="2219" spans="8:19" ht="28.8" x14ac:dyDescent="0.3">
      <c r="H2219" s="16" t="s">
        <v>56</v>
      </c>
      <c r="I2219" s="17" t="s">
        <v>25</v>
      </c>
      <c r="J2219" s="18" t="s">
        <v>321</v>
      </c>
      <c r="K2219" s="19" t="s">
        <v>290</v>
      </c>
      <c r="L2219" s="17"/>
      <c r="M2219" s="17"/>
      <c r="N2219" s="20"/>
      <c r="O2219" s="17">
        <v>3</v>
      </c>
      <c r="P2219" s="17">
        <v>0</v>
      </c>
      <c r="Q2219" s="17">
        <v>3</v>
      </c>
      <c r="R2219" s="17" t="s">
        <v>130</v>
      </c>
      <c r="S2219" s="33" t="s">
        <v>263</v>
      </c>
    </row>
    <row r="2220" spans="8:19" ht="28.8" x14ac:dyDescent="0.3">
      <c r="H2220" s="16" t="s">
        <v>56</v>
      </c>
      <c r="I2220" s="17" t="s">
        <v>25</v>
      </c>
      <c r="J2220" s="18" t="s">
        <v>320</v>
      </c>
      <c r="K2220" s="19" t="s">
        <v>0</v>
      </c>
      <c r="L2220" s="17"/>
      <c r="M2220" s="17"/>
      <c r="N2220" s="20"/>
      <c r="O2220" s="17">
        <v>3</v>
      </c>
      <c r="P2220" s="17">
        <v>3</v>
      </c>
      <c r="Q2220" s="17">
        <v>3</v>
      </c>
      <c r="R2220" s="17" t="s">
        <v>130</v>
      </c>
      <c r="S2220" s="33" t="s">
        <v>263</v>
      </c>
    </row>
    <row r="2221" spans="8:19" ht="28.8" x14ac:dyDescent="0.3">
      <c r="H2221" s="16" t="s">
        <v>56</v>
      </c>
      <c r="I2221" s="17" t="s">
        <v>30</v>
      </c>
      <c r="J2221" s="18" t="s">
        <v>315</v>
      </c>
      <c r="K2221" s="19" t="s">
        <v>0</v>
      </c>
      <c r="L2221" s="17"/>
      <c r="M2221" s="17"/>
      <c r="N2221" s="20"/>
      <c r="O2221" s="17">
        <v>3</v>
      </c>
      <c r="P2221" s="17">
        <v>3</v>
      </c>
      <c r="Q2221" s="17">
        <v>3</v>
      </c>
      <c r="R2221" s="17" t="s">
        <v>130</v>
      </c>
      <c r="S2221" s="33" t="s">
        <v>263</v>
      </c>
    </row>
    <row r="2222" spans="8:19" ht="31.8" customHeight="1" x14ac:dyDescent="0.3">
      <c r="H2222" s="16" t="s">
        <v>56</v>
      </c>
      <c r="I2222" s="17" t="s">
        <v>25</v>
      </c>
      <c r="J2222" s="18" t="s">
        <v>312</v>
      </c>
      <c r="K2222" s="19" t="s">
        <v>0</v>
      </c>
      <c r="L2222" s="17"/>
      <c r="M2222" s="17"/>
      <c r="N2222" s="20"/>
      <c r="O2222" s="17">
        <v>3</v>
      </c>
      <c r="P2222" s="17">
        <v>3</v>
      </c>
      <c r="Q2222" s="17">
        <v>3</v>
      </c>
      <c r="R2222" s="17" t="s">
        <v>130</v>
      </c>
      <c r="S2222" s="33" t="s">
        <v>263</v>
      </c>
    </row>
    <row r="2223" spans="8:19" ht="31.8" customHeight="1" x14ac:dyDescent="0.3">
      <c r="H2223" s="16" t="s">
        <v>56</v>
      </c>
      <c r="I2223" s="17" t="s">
        <v>41</v>
      </c>
      <c r="J2223" s="18" t="s">
        <v>307</v>
      </c>
      <c r="K2223" s="19" t="s">
        <v>0</v>
      </c>
      <c r="L2223" s="17"/>
      <c r="M2223" s="17"/>
      <c r="N2223" s="20"/>
      <c r="O2223" s="17">
        <v>3</v>
      </c>
      <c r="P2223" s="17">
        <v>0</v>
      </c>
      <c r="Q2223" s="17">
        <v>1.5</v>
      </c>
      <c r="R2223" s="17" t="s">
        <v>130</v>
      </c>
      <c r="S2223" s="33" t="s">
        <v>263</v>
      </c>
    </row>
    <row r="2224" spans="8:19" ht="31.8" customHeight="1" x14ac:dyDescent="0.3">
      <c r="H2224" s="16" t="s">
        <v>56</v>
      </c>
      <c r="I2224" s="23" t="s">
        <v>41</v>
      </c>
      <c r="J2224" s="18" t="s">
        <v>308</v>
      </c>
      <c r="K2224" s="24" t="s">
        <v>290</v>
      </c>
      <c r="L2224" s="23"/>
      <c r="M2224" s="23"/>
      <c r="N2224" s="25"/>
      <c r="O2224" s="23">
        <v>2</v>
      </c>
      <c r="P2224" s="23">
        <v>0</v>
      </c>
      <c r="Q2224" s="17">
        <v>2</v>
      </c>
      <c r="R2224" s="17" t="s">
        <v>130</v>
      </c>
      <c r="S2224" s="33" t="s">
        <v>263</v>
      </c>
    </row>
    <row r="2225" spans="8:19" ht="35.4" customHeight="1" x14ac:dyDescent="0.3">
      <c r="H2225" s="17" t="s">
        <v>9</v>
      </c>
      <c r="I2225" s="17" t="s">
        <v>14</v>
      </c>
      <c r="J2225" s="18" t="s">
        <v>15</v>
      </c>
      <c r="K2225" s="27" t="s">
        <v>0</v>
      </c>
      <c r="L2225" s="17"/>
      <c r="M2225" s="17"/>
      <c r="N2225" s="20"/>
      <c r="O2225" s="17">
        <v>3</v>
      </c>
      <c r="P2225" s="17">
        <v>3</v>
      </c>
      <c r="Q2225" s="17">
        <v>3</v>
      </c>
      <c r="R2225" s="17" t="s">
        <v>130</v>
      </c>
      <c r="S2225" s="33" t="s">
        <v>263</v>
      </c>
    </row>
    <row r="2226" spans="8:19" ht="35.4" customHeight="1" x14ac:dyDescent="0.3">
      <c r="H2226" s="17" t="s">
        <v>9</v>
      </c>
      <c r="I2226" s="17" t="s">
        <v>14</v>
      </c>
      <c r="J2226" s="18" t="s">
        <v>16</v>
      </c>
      <c r="K2226" s="27" t="s">
        <v>0</v>
      </c>
      <c r="L2226" s="17"/>
      <c r="M2226" s="17"/>
      <c r="N2226" s="20"/>
      <c r="O2226" s="17">
        <v>1</v>
      </c>
      <c r="P2226" s="17">
        <v>0</v>
      </c>
      <c r="Q2226" s="26">
        <v>0.5</v>
      </c>
      <c r="R2226" s="17" t="s">
        <v>130</v>
      </c>
      <c r="S2226" s="33" t="s">
        <v>263</v>
      </c>
    </row>
    <row r="2227" spans="8:19" ht="35.4" customHeight="1" x14ac:dyDescent="0.3">
      <c r="H2227" s="17" t="s">
        <v>9</v>
      </c>
      <c r="I2227" s="17" t="s">
        <v>10</v>
      </c>
      <c r="J2227" s="18" t="s">
        <v>11</v>
      </c>
      <c r="K2227" s="27" t="s">
        <v>0</v>
      </c>
      <c r="L2227" s="17"/>
      <c r="M2227" s="17"/>
      <c r="N2227" s="20"/>
      <c r="O2227" s="17">
        <v>3</v>
      </c>
      <c r="P2227" s="17">
        <v>3</v>
      </c>
      <c r="Q2227" s="17">
        <v>3</v>
      </c>
      <c r="R2227" s="17" t="s">
        <v>130</v>
      </c>
      <c r="S2227" s="33" t="s">
        <v>263</v>
      </c>
    </row>
    <row r="2228" spans="8:19" ht="35.4" customHeight="1" x14ac:dyDescent="0.3">
      <c r="H2228" s="17" t="s">
        <v>9</v>
      </c>
      <c r="I2228" s="17" t="s">
        <v>10</v>
      </c>
      <c r="J2228" s="18" t="s">
        <v>316</v>
      </c>
      <c r="K2228" s="27" t="s">
        <v>0</v>
      </c>
      <c r="L2228" s="17"/>
      <c r="M2228" s="17"/>
      <c r="N2228" s="20"/>
      <c r="O2228" s="17">
        <v>3</v>
      </c>
      <c r="P2228" s="17">
        <v>3</v>
      </c>
      <c r="Q2228" s="17">
        <v>3</v>
      </c>
      <c r="R2228" s="17" t="s">
        <v>130</v>
      </c>
      <c r="S2228" s="33" t="s">
        <v>263</v>
      </c>
    </row>
    <row r="2229" spans="8:19" ht="35.4" customHeight="1" x14ac:dyDescent="0.3">
      <c r="H2229" s="17" t="s">
        <v>9</v>
      </c>
      <c r="I2229" s="17" t="s">
        <v>10</v>
      </c>
      <c r="J2229" s="18" t="s">
        <v>319</v>
      </c>
      <c r="K2229" s="27" t="s">
        <v>0</v>
      </c>
      <c r="L2229" s="17"/>
      <c r="M2229" s="17"/>
      <c r="N2229" s="20"/>
      <c r="O2229" s="17">
        <v>3</v>
      </c>
      <c r="P2229" s="17">
        <v>3</v>
      </c>
      <c r="Q2229" s="17">
        <v>3</v>
      </c>
      <c r="R2229" s="17" t="s">
        <v>130</v>
      </c>
      <c r="S2229" s="33" t="s">
        <v>263</v>
      </c>
    </row>
    <row r="2230" spans="8:19" ht="35.4" customHeight="1" x14ac:dyDescent="0.3">
      <c r="H2230" s="17" t="s">
        <v>9</v>
      </c>
      <c r="I2230" s="17" t="s">
        <v>10</v>
      </c>
      <c r="J2230" s="18" t="s">
        <v>313</v>
      </c>
      <c r="K2230" s="27" t="s">
        <v>0</v>
      </c>
      <c r="L2230" s="17"/>
      <c r="M2230" s="17"/>
      <c r="N2230" s="20"/>
      <c r="O2230" s="17">
        <v>3</v>
      </c>
      <c r="P2230" s="17">
        <v>3</v>
      </c>
      <c r="Q2230" s="17">
        <v>3</v>
      </c>
      <c r="R2230" s="17" t="s">
        <v>130</v>
      </c>
      <c r="S2230" s="33" t="s">
        <v>263</v>
      </c>
    </row>
    <row r="2231" spans="8:19" ht="35.4" customHeight="1" x14ac:dyDescent="0.3">
      <c r="H2231" s="17" t="s">
        <v>9</v>
      </c>
      <c r="I2231" s="72" t="s">
        <v>10</v>
      </c>
      <c r="J2231" s="73" t="s">
        <v>393</v>
      </c>
      <c r="K2231" s="30" t="s">
        <v>0</v>
      </c>
      <c r="L2231" s="29"/>
      <c r="M2231" s="29"/>
      <c r="N2231" s="31"/>
      <c r="O2231" s="29">
        <v>2</v>
      </c>
      <c r="P2231" s="29">
        <v>2</v>
      </c>
      <c r="Q2231" s="29">
        <v>2</v>
      </c>
      <c r="R2231" s="17" t="s">
        <v>130</v>
      </c>
      <c r="S2231" s="33" t="s">
        <v>263</v>
      </c>
    </row>
    <row r="2232" spans="8:19" ht="35.4" customHeight="1" x14ac:dyDescent="0.3">
      <c r="H2232" s="17" t="s">
        <v>9</v>
      </c>
      <c r="I2232" s="17" t="s">
        <v>12</v>
      </c>
      <c r="J2232" s="18" t="s">
        <v>324</v>
      </c>
      <c r="K2232" s="27" t="s">
        <v>0</v>
      </c>
      <c r="L2232" s="17"/>
      <c r="M2232" s="17"/>
      <c r="N2232" s="20"/>
      <c r="O2232" s="17">
        <v>2</v>
      </c>
      <c r="P2232" s="17">
        <v>2</v>
      </c>
      <c r="Q2232" s="17">
        <v>2</v>
      </c>
      <c r="R2232" s="17" t="s">
        <v>130</v>
      </c>
      <c r="S2232" s="33" t="s">
        <v>263</v>
      </c>
    </row>
    <row r="2233" spans="8:19" ht="35.4" customHeight="1" x14ac:dyDescent="0.3">
      <c r="H2233" s="17" t="s">
        <v>9</v>
      </c>
      <c r="I2233" s="17" t="s">
        <v>17</v>
      </c>
      <c r="J2233" s="18" t="s">
        <v>325</v>
      </c>
      <c r="K2233" s="27" t="s">
        <v>0</v>
      </c>
      <c r="L2233" s="17"/>
      <c r="M2233" s="17"/>
      <c r="N2233" s="20"/>
      <c r="O2233" s="17">
        <v>3</v>
      </c>
      <c r="P2233" s="17">
        <v>3</v>
      </c>
      <c r="Q2233" s="17">
        <v>3</v>
      </c>
      <c r="R2233" s="17" t="s">
        <v>130</v>
      </c>
      <c r="S2233" s="33" t="s">
        <v>263</v>
      </c>
    </row>
    <row r="2234" spans="8:19" ht="35.4" customHeight="1" x14ac:dyDescent="0.3">
      <c r="H2234" s="17" t="s">
        <v>9</v>
      </c>
      <c r="I2234" s="17" t="s">
        <v>17</v>
      </c>
      <c r="J2234" s="18" t="s">
        <v>19</v>
      </c>
      <c r="K2234" s="27" t="s">
        <v>290</v>
      </c>
      <c r="L2234" s="17" t="s">
        <v>479</v>
      </c>
      <c r="M2234" s="17"/>
      <c r="N2234" s="20"/>
      <c r="O2234" s="17">
        <v>3</v>
      </c>
      <c r="P2234" s="17">
        <v>3</v>
      </c>
      <c r="Q2234" s="17">
        <v>3</v>
      </c>
      <c r="R2234" s="17" t="s">
        <v>130</v>
      </c>
      <c r="S2234" s="33" t="s">
        <v>263</v>
      </c>
    </row>
    <row r="2235" spans="8:19" ht="35.4" customHeight="1" x14ac:dyDescent="0.3">
      <c r="H2235" s="17" t="s">
        <v>9</v>
      </c>
      <c r="I2235" s="17" t="s">
        <v>20</v>
      </c>
      <c r="J2235" s="18" t="s">
        <v>21</v>
      </c>
      <c r="K2235" s="27" t="s">
        <v>0</v>
      </c>
      <c r="L2235" s="17"/>
      <c r="M2235" s="17"/>
      <c r="N2235" s="20"/>
      <c r="O2235" s="17">
        <v>3</v>
      </c>
      <c r="P2235" s="17">
        <v>0</v>
      </c>
      <c r="Q2235" s="17">
        <v>1.5</v>
      </c>
      <c r="R2235" s="17" t="s">
        <v>130</v>
      </c>
      <c r="S2235" s="33" t="s">
        <v>263</v>
      </c>
    </row>
    <row r="2236" spans="8:19" ht="35.4" customHeight="1" x14ac:dyDescent="0.3">
      <c r="H2236" s="17" t="s">
        <v>9</v>
      </c>
      <c r="I2236" s="17" t="s">
        <v>20</v>
      </c>
      <c r="J2236" s="18" t="s">
        <v>311</v>
      </c>
      <c r="K2236" s="27" t="s">
        <v>0</v>
      </c>
      <c r="L2236" s="17"/>
      <c r="M2236" s="17"/>
      <c r="N2236" s="20"/>
      <c r="O2236" s="17">
        <v>1</v>
      </c>
      <c r="P2236" s="17">
        <v>1</v>
      </c>
      <c r="Q2236" s="17">
        <v>1</v>
      </c>
      <c r="R2236" s="17" t="s">
        <v>130</v>
      </c>
      <c r="S2236" s="33" t="s">
        <v>263</v>
      </c>
    </row>
    <row r="2237" spans="8:19" ht="35.4" customHeight="1" x14ac:dyDescent="0.3">
      <c r="H2237" s="17" t="s">
        <v>9</v>
      </c>
      <c r="I2237" s="17" t="s">
        <v>22</v>
      </c>
      <c r="J2237" s="18" t="s">
        <v>23</v>
      </c>
      <c r="K2237" s="27" t="s">
        <v>0</v>
      </c>
      <c r="L2237" s="17"/>
      <c r="M2237" s="17"/>
      <c r="N2237" s="20"/>
      <c r="O2237" s="17">
        <v>1</v>
      </c>
      <c r="P2237" s="17">
        <v>1</v>
      </c>
      <c r="Q2237" s="17">
        <v>1</v>
      </c>
      <c r="R2237" s="17" t="s">
        <v>130</v>
      </c>
      <c r="S2237" s="33" t="s">
        <v>263</v>
      </c>
    </row>
    <row r="2238" spans="8:19" ht="35.4" customHeight="1" x14ac:dyDescent="0.3">
      <c r="H2238" s="17" t="s">
        <v>9</v>
      </c>
      <c r="I2238" s="17" t="s">
        <v>22</v>
      </c>
      <c r="J2238" s="18" t="s">
        <v>322</v>
      </c>
      <c r="K2238" s="27" t="s">
        <v>0</v>
      </c>
      <c r="L2238" s="17"/>
      <c r="M2238" s="17"/>
      <c r="N2238" s="20"/>
      <c r="O2238" s="17">
        <v>1</v>
      </c>
      <c r="P2238" s="17">
        <v>1</v>
      </c>
      <c r="Q2238" s="17">
        <v>1</v>
      </c>
      <c r="R2238" s="17" t="s">
        <v>130</v>
      </c>
      <c r="S2238" s="33" t="s">
        <v>263</v>
      </c>
    </row>
    <row r="2239" spans="8:19" ht="35.4" customHeight="1" x14ac:dyDescent="0.3">
      <c r="H2239" s="17" t="s">
        <v>9</v>
      </c>
      <c r="I2239" s="17" t="s">
        <v>25</v>
      </c>
      <c r="J2239" s="18" t="s">
        <v>323</v>
      </c>
      <c r="K2239" s="27" t="s">
        <v>0</v>
      </c>
      <c r="L2239" s="17"/>
      <c r="M2239" s="17"/>
      <c r="N2239" s="20"/>
      <c r="O2239" s="17">
        <v>3</v>
      </c>
      <c r="P2239" s="17">
        <v>3</v>
      </c>
      <c r="Q2239" s="17">
        <v>3</v>
      </c>
      <c r="R2239" s="17" t="s">
        <v>130</v>
      </c>
      <c r="S2239" s="33" t="s">
        <v>263</v>
      </c>
    </row>
    <row r="2240" spans="8:19" ht="35.4" customHeight="1" x14ac:dyDescent="0.3">
      <c r="H2240" s="17" t="s">
        <v>9</v>
      </c>
      <c r="I2240" s="17" t="s">
        <v>25</v>
      </c>
      <c r="J2240" s="18" t="s">
        <v>29</v>
      </c>
      <c r="K2240" s="27" t="s">
        <v>0</v>
      </c>
      <c r="L2240" s="17"/>
      <c r="M2240" s="17"/>
      <c r="N2240" s="20"/>
      <c r="O2240" s="17">
        <v>3</v>
      </c>
      <c r="P2240" s="17">
        <v>3</v>
      </c>
      <c r="Q2240" s="17">
        <v>3</v>
      </c>
      <c r="R2240" s="17" t="s">
        <v>130</v>
      </c>
      <c r="S2240" s="33" t="s">
        <v>263</v>
      </c>
    </row>
    <row r="2241" spans="8:19" ht="35.4" customHeight="1" x14ac:dyDescent="0.3">
      <c r="H2241" s="17" t="s">
        <v>9</v>
      </c>
      <c r="I2241" s="17" t="s">
        <v>31</v>
      </c>
      <c r="J2241" s="18" t="s">
        <v>32</v>
      </c>
      <c r="K2241" s="27" t="s">
        <v>0</v>
      </c>
      <c r="L2241" s="17"/>
      <c r="M2241" s="17"/>
      <c r="N2241" s="20"/>
      <c r="O2241" s="17">
        <v>3</v>
      </c>
      <c r="P2241" s="17">
        <v>0</v>
      </c>
      <c r="Q2241" s="17">
        <v>1.5</v>
      </c>
      <c r="R2241" s="17" t="s">
        <v>130</v>
      </c>
      <c r="S2241" s="33" t="s">
        <v>263</v>
      </c>
    </row>
    <row r="2242" spans="8:19" ht="35.4" customHeight="1" x14ac:dyDescent="0.3">
      <c r="H2242" s="17" t="s">
        <v>9</v>
      </c>
      <c r="I2242" s="17" t="s">
        <v>30</v>
      </c>
      <c r="J2242" s="18" t="s">
        <v>315</v>
      </c>
      <c r="K2242" s="27" t="s">
        <v>0</v>
      </c>
      <c r="L2242" s="17"/>
      <c r="M2242" s="17"/>
      <c r="N2242" s="20"/>
      <c r="O2242" s="17">
        <v>3</v>
      </c>
      <c r="P2242" s="17">
        <v>3</v>
      </c>
      <c r="Q2242" s="17">
        <v>3</v>
      </c>
      <c r="R2242" s="17" t="s">
        <v>130</v>
      </c>
      <c r="S2242" s="33" t="s">
        <v>263</v>
      </c>
    </row>
    <row r="2243" spans="8:19" ht="35.4" customHeight="1" x14ac:dyDescent="0.3">
      <c r="H2243" s="17" t="s">
        <v>9</v>
      </c>
      <c r="I2243" s="17" t="s">
        <v>33</v>
      </c>
      <c r="J2243" s="18" t="s">
        <v>131</v>
      </c>
      <c r="K2243" s="27" t="s">
        <v>0</v>
      </c>
      <c r="L2243" s="17"/>
      <c r="M2243" s="17"/>
      <c r="N2243" s="20"/>
      <c r="O2243" s="17">
        <v>3</v>
      </c>
      <c r="P2243" s="17">
        <v>3</v>
      </c>
      <c r="Q2243" s="17">
        <v>3</v>
      </c>
      <c r="R2243" s="17" t="s">
        <v>130</v>
      </c>
      <c r="S2243" s="33" t="s">
        <v>263</v>
      </c>
    </row>
    <row r="2244" spans="8:19" ht="35.4" customHeight="1" x14ac:dyDescent="0.3">
      <c r="H2244" s="17" t="s">
        <v>9</v>
      </c>
      <c r="I2244" s="17" t="s">
        <v>33</v>
      </c>
      <c r="J2244" s="18" t="s">
        <v>326</v>
      </c>
      <c r="K2244" s="27" t="s">
        <v>0</v>
      </c>
      <c r="L2244" s="17"/>
      <c r="M2244" s="17"/>
      <c r="N2244" s="20"/>
      <c r="O2244" s="17">
        <v>3</v>
      </c>
      <c r="P2244" s="17">
        <v>3</v>
      </c>
      <c r="Q2244" s="17">
        <v>3</v>
      </c>
      <c r="R2244" s="17" t="s">
        <v>130</v>
      </c>
      <c r="S2244" s="33" t="s">
        <v>263</v>
      </c>
    </row>
    <row r="2245" spans="8:19" ht="35.4" customHeight="1" x14ac:dyDescent="0.3">
      <c r="H2245" s="17" t="s">
        <v>9</v>
      </c>
      <c r="I2245" s="17" t="s">
        <v>33</v>
      </c>
      <c r="J2245" s="18" t="s">
        <v>310</v>
      </c>
      <c r="K2245" s="27" t="s">
        <v>290</v>
      </c>
      <c r="L2245" s="17"/>
      <c r="M2245" s="17"/>
      <c r="N2245" s="20"/>
      <c r="O2245" s="17">
        <v>3</v>
      </c>
      <c r="P2245" s="17">
        <v>0</v>
      </c>
      <c r="Q2245" s="17">
        <v>1.5</v>
      </c>
      <c r="R2245" s="17" t="s">
        <v>130</v>
      </c>
      <c r="S2245" s="33" t="s">
        <v>263</v>
      </c>
    </row>
    <row r="2246" spans="8:19" ht="35.4" customHeight="1" x14ac:dyDescent="0.3">
      <c r="H2246" s="17" t="s">
        <v>9</v>
      </c>
      <c r="I2246" s="17" t="s">
        <v>33</v>
      </c>
      <c r="J2246" s="28" t="s">
        <v>36</v>
      </c>
      <c r="K2246" s="27" t="s">
        <v>290</v>
      </c>
      <c r="L2246" s="17"/>
      <c r="M2246" s="17"/>
      <c r="N2246" s="20"/>
      <c r="O2246" s="17">
        <v>3</v>
      </c>
      <c r="P2246" s="17">
        <v>0</v>
      </c>
      <c r="Q2246" s="17">
        <v>3</v>
      </c>
      <c r="R2246" s="17" t="s">
        <v>130</v>
      </c>
      <c r="S2246" s="33" t="s">
        <v>263</v>
      </c>
    </row>
    <row r="2247" spans="8:19" ht="35.4" customHeight="1" x14ac:dyDescent="0.3">
      <c r="H2247" s="17" t="s">
        <v>9</v>
      </c>
      <c r="I2247" s="17" t="s">
        <v>33</v>
      </c>
      <c r="J2247" s="18" t="s">
        <v>37</v>
      </c>
      <c r="K2247" s="27" t="s">
        <v>290</v>
      </c>
      <c r="L2247" s="17"/>
      <c r="M2247" s="17"/>
      <c r="N2247" s="20"/>
      <c r="O2247" s="17">
        <v>3</v>
      </c>
      <c r="P2247" s="17">
        <v>0</v>
      </c>
      <c r="Q2247" s="17">
        <v>3</v>
      </c>
      <c r="R2247" s="17" t="s">
        <v>130</v>
      </c>
      <c r="S2247" s="33" t="s">
        <v>263</v>
      </c>
    </row>
    <row r="2248" spans="8:19" ht="35.4" customHeight="1" x14ac:dyDescent="0.3">
      <c r="H2248" s="17" t="s">
        <v>9</v>
      </c>
      <c r="I2248" s="17" t="s">
        <v>38</v>
      </c>
      <c r="J2248" s="18" t="s">
        <v>327</v>
      </c>
      <c r="K2248" s="27" t="s">
        <v>0</v>
      </c>
      <c r="L2248" s="17"/>
      <c r="M2248" s="17"/>
      <c r="N2248" s="20"/>
      <c r="O2248" s="17">
        <v>3</v>
      </c>
      <c r="P2248" s="17">
        <v>3</v>
      </c>
      <c r="Q2248" s="17">
        <v>3</v>
      </c>
      <c r="R2248" s="17" t="s">
        <v>130</v>
      </c>
      <c r="S2248" s="33" t="s">
        <v>263</v>
      </c>
    </row>
    <row r="2249" spans="8:19" ht="35.4" customHeight="1" x14ac:dyDescent="0.3">
      <c r="H2249" s="17" t="s">
        <v>9</v>
      </c>
      <c r="I2249" s="17" t="s">
        <v>38</v>
      </c>
      <c r="J2249" s="28" t="s">
        <v>40</v>
      </c>
      <c r="K2249" s="27" t="s">
        <v>290</v>
      </c>
      <c r="L2249" s="17"/>
      <c r="M2249" s="17"/>
      <c r="N2249" s="20"/>
      <c r="O2249" s="17">
        <v>3</v>
      </c>
      <c r="P2249" s="17">
        <v>3</v>
      </c>
      <c r="Q2249" s="17">
        <v>3</v>
      </c>
      <c r="R2249" s="17" t="s">
        <v>130</v>
      </c>
      <c r="S2249" s="33" t="s">
        <v>263</v>
      </c>
    </row>
    <row r="2250" spans="8:19" ht="35.4" customHeight="1" x14ac:dyDescent="0.3">
      <c r="H2250" s="17" t="s">
        <v>9</v>
      </c>
      <c r="I2250" s="17" t="s">
        <v>41</v>
      </c>
      <c r="J2250" s="18" t="s">
        <v>307</v>
      </c>
      <c r="K2250" s="27" t="s">
        <v>0</v>
      </c>
      <c r="L2250" s="17"/>
      <c r="M2250" s="17"/>
      <c r="N2250" s="20"/>
      <c r="O2250" s="17">
        <v>3</v>
      </c>
      <c r="P2250" s="17">
        <v>0</v>
      </c>
      <c r="Q2250" s="17">
        <v>1.5</v>
      </c>
      <c r="R2250" s="17" t="s">
        <v>130</v>
      </c>
      <c r="S2250" s="33" t="s">
        <v>263</v>
      </c>
    </row>
    <row r="2251" spans="8:19" ht="38.4" customHeight="1" x14ac:dyDescent="0.3">
      <c r="H2251" s="17" t="s">
        <v>9</v>
      </c>
      <c r="I2251" s="23" t="s">
        <v>41</v>
      </c>
      <c r="J2251" s="18" t="s">
        <v>308</v>
      </c>
      <c r="K2251" s="27" t="s">
        <v>290</v>
      </c>
      <c r="L2251" s="23"/>
      <c r="M2251" s="23"/>
      <c r="N2251" s="25"/>
      <c r="O2251" s="23">
        <v>2</v>
      </c>
      <c r="P2251" s="23">
        <v>0</v>
      </c>
      <c r="Q2251" s="17">
        <v>2</v>
      </c>
      <c r="R2251" s="17" t="s">
        <v>130</v>
      </c>
      <c r="S2251" s="33" t="s">
        <v>263</v>
      </c>
    </row>
    <row r="2252" spans="8:19" ht="38.4" customHeight="1" x14ac:dyDescent="0.3">
      <c r="H2252" s="16" t="s">
        <v>48</v>
      </c>
      <c r="I2252" s="17" t="s">
        <v>14</v>
      </c>
      <c r="J2252" s="18" t="s">
        <v>15</v>
      </c>
      <c r="K2252" s="35" t="s">
        <v>291</v>
      </c>
      <c r="L2252" s="33" t="s">
        <v>432</v>
      </c>
      <c r="M2252" s="33">
        <v>7759</v>
      </c>
      <c r="N2252" s="20"/>
      <c r="O2252" s="17">
        <v>3</v>
      </c>
      <c r="P2252" s="17">
        <v>3</v>
      </c>
      <c r="Q2252" s="17">
        <v>3</v>
      </c>
      <c r="R2252" s="17" t="s">
        <v>187</v>
      </c>
      <c r="S2252" s="21" t="s">
        <v>263</v>
      </c>
    </row>
    <row r="2253" spans="8:19" ht="38.4" customHeight="1" x14ac:dyDescent="0.3">
      <c r="H2253" s="16" t="s">
        <v>48</v>
      </c>
      <c r="I2253" s="17" t="s">
        <v>14</v>
      </c>
      <c r="J2253" s="18" t="s">
        <v>16</v>
      </c>
      <c r="K2253" s="35" t="s">
        <v>291</v>
      </c>
      <c r="L2253" s="33" t="s">
        <v>433</v>
      </c>
      <c r="M2253" s="33">
        <v>9134</v>
      </c>
      <c r="N2253" s="20"/>
      <c r="O2253" s="17">
        <v>1</v>
      </c>
      <c r="P2253" s="17">
        <v>1</v>
      </c>
      <c r="Q2253" s="17">
        <v>1</v>
      </c>
      <c r="R2253" s="17" t="s">
        <v>187</v>
      </c>
      <c r="S2253" s="21" t="s">
        <v>263</v>
      </c>
    </row>
    <row r="2254" spans="8:19" ht="38.4" customHeight="1" x14ac:dyDescent="0.3">
      <c r="H2254" s="16" t="s">
        <v>48</v>
      </c>
      <c r="I2254" s="17" t="s">
        <v>10</v>
      </c>
      <c r="J2254" s="18" t="s">
        <v>11</v>
      </c>
      <c r="K2254" s="35" t="s">
        <v>290</v>
      </c>
      <c r="L2254" s="33" t="s">
        <v>434</v>
      </c>
      <c r="M2254" s="33">
        <v>5145</v>
      </c>
      <c r="N2254" s="20"/>
      <c r="O2254" s="17">
        <v>3</v>
      </c>
      <c r="P2254" s="17">
        <v>0</v>
      </c>
      <c r="Q2254" s="17">
        <v>3</v>
      </c>
      <c r="R2254" s="17" t="s">
        <v>187</v>
      </c>
      <c r="S2254" s="21" t="s">
        <v>263</v>
      </c>
    </row>
    <row r="2255" spans="8:19" ht="38.4" customHeight="1" x14ac:dyDescent="0.3">
      <c r="H2255" s="16" t="s">
        <v>48</v>
      </c>
      <c r="I2255" s="17" t="s">
        <v>10</v>
      </c>
      <c r="J2255" s="18" t="s">
        <v>316</v>
      </c>
      <c r="K2255" s="35" t="s">
        <v>0</v>
      </c>
      <c r="L2255" s="33"/>
      <c r="M2255" s="33"/>
      <c r="N2255" s="20"/>
      <c r="O2255" s="17">
        <v>3</v>
      </c>
      <c r="P2255" s="17">
        <v>3</v>
      </c>
      <c r="Q2255" s="17">
        <v>3</v>
      </c>
      <c r="R2255" s="17" t="s">
        <v>187</v>
      </c>
      <c r="S2255" s="21" t="s">
        <v>263</v>
      </c>
    </row>
    <row r="2256" spans="8:19" ht="38.4" customHeight="1" x14ac:dyDescent="0.3">
      <c r="H2256" s="16" t="s">
        <v>48</v>
      </c>
      <c r="I2256" s="17" t="s">
        <v>10</v>
      </c>
      <c r="J2256" s="18" t="s">
        <v>319</v>
      </c>
      <c r="K2256" s="35" t="s">
        <v>1</v>
      </c>
      <c r="L2256" s="33"/>
      <c r="M2256" s="33"/>
      <c r="N2256" s="20"/>
      <c r="O2256" s="17">
        <v>3</v>
      </c>
      <c r="P2256" s="17">
        <v>0</v>
      </c>
      <c r="Q2256" s="17">
        <v>3</v>
      </c>
      <c r="R2256" s="17" t="s">
        <v>187</v>
      </c>
      <c r="S2256" s="21" t="s">
        <v>263</v>
      </c>
    </row>
    <row r="2257" spans="8:19" ht="38.4" customHeight="1" x14ac:dyDescent="0.3">
      <c r="H2257" s="16" t="s">
        <v>48</v>
      </c>
      <c r="I2257" s="17" t="s">
        <v>10</v>
      </c>
      <c r="J2257" s="18" t="s">
        <v>393</v>
      </c>
      <c r="K2257" s="60" t="s">
        <v>0</v>
      </c>
      <c r="L2257" s="33"/>
      <c r="M2257" s="33"/>
      <c r="N2257" s="20"/>
      <c r="O2257" s="17">
        <v>2</v>
      </c>
      <c r="P2257" s="17">
        <v>2</v>
      </c>
      <c r="Q2257" s="17">
        <v>2</v>
      </c>
      <c r="R2257" s="17" t="s">
        <v>187</v>
      </c>
      <c r="S2257" s="21" t="s">
        <v>263</v>
      </c>
    </row>
    <row r="2258" spans="8:19" ht="38.4" customHeight="1" x14ac:dyDescent="0.3">
      <c r="H2258" s="16" t="s">
        <v>48</v>
      </c>
      <c r="I2258" s="17" t="s">
        <v>10</v>
      </c>
      <c r="J2258" s="18" t="s">
        <v>313</v>
      </c>
      <c r="K2258" s="35" t="s">
        <v>0</v>
      </c>
      <c r="L2258" s="33"/>
      <c r="M2258" s="33"/>
      <c r="N2258" s="20"/>
      <c r="O2258" s="17">
        <v>3</v>
      </c>
      <c r="P2258" s="17">
        <v>3</v>
      </c>
      <c r="Q2258" s="17">
        <v>3</v>
      </c>
      <c r="R2258" s="17" t="s">
        <v>187</v>
      </c>
      <c r="S2258" s="21" t="s">
        <v>263</v>
      </c>
    </row>
    <row r="2259" spans="8:19" ht="38.4" customHeight="1" x14ac:dyDescent="0.3">
      <c r="H2259" s="16" t="s">
        <v>48</v>
      </c>
      <c r="I2259" s="17" t="s">
        <v>12</v>
      </c>
      <c r="J2259" s="18" t="s">
        <v>13</v>
      </c>
      <c r="K2259" s="35" t="s">
        <v>0</v>
      </c>
      <c r="L2259" s="33"/>
      <c r="M2259" s="33"/>
      <c r="N2259" s="20"/>
      <c r="O2259" s="17">
        <v>2</v>
      </c>
      <c r="P2259" s="17">
        <v>0</v>
      </c>
      <c r="Q2259" s="17">
        <v>2</v>
      </c>
      <c r="R2259" s="17" t="s">
        <v>187</v>
      </c>
      <c r="S2259" s="21" t="s">
        <v>263</v>
      </c>
    </row>
    <row r="2260" spans="8:19" ht="38.4" customHeight="1" x14ac:dyDescent="0.3">
      <c r="H2260" s="16" t="s">
        <v>48</v>
      </c>
      <c r="I2260" s="17" t="s">
        <v>17</v>
      </c>
      <c r="J2260" s="18" t="s">
        <v>18</v>
      </c>
      <c r="K2260" s="35" t="s">
        <v>0</v>
      </c>
      <c r="L2260" s="33"/>
      <c r="M2260" s="33"/>
      <c r="N2260" s="20"/>
      <c r="O2260" s="17">
        <v>3</v>
      </c>
      <c r="P2260" s="17">
        <v>3</v>
      </c>
      <c r="Q2260" s="17">
        <v>3</v>
      </c>
      <c r="R2260" s="17" t="s">
        <v>187</v>
      </c>
      <c r="S2260" s="21" t="s">
        <v>263</v>
      </c>
    </row>
    <row r="2261" spans="8:19" ht="38.4" customHeight="1" x14ac:dyDescent="0.3">
      <c r="H2261" s="16" t="s">
        <v>48</v>
      </c>
      <c r="I2261" s="17" t="s">
        <v>17</v>
      </c>
      <c r="J2261" s="18" t="s">
        <v>19</v>
      </c>
      <c r="K2261" s="35" t="s">
        <v>0</v>
      </c>
      <c r="L2261" s="33"/>
      <c r="M2261" s="33"/>
      <c r="N2261" s="20"/>
      <c r="O2261" s="17">
        <v>1</v>
      </c>
      <c r="P2261" s="17">
        <v>1</v>
      </c>
      <c r="Q2261" s="17">
        <v>1</v>
      </c>
      <c r="R2261" s="17" t="s">
        <v>187</v>
      </c>
      <c r="S2261" s="21" t="s">
        <v>263</v>
      </c>
    </row>
    <row r="2262" spans="8:19" ht="38.4" customHeight="1" x14ac:dyDescent="0.3">
      <c r="H2262" s="16" t="s">
        <v>48</v>
      </c>
      <c r="I2262" s="17" t="s">
        <v>20</v>
      </c>
      <c r="J2262" s="18" t="s">
        <v>21</v>
      </c>
      <c r="K2262" s="35" t="s">
        <v>0</v>
      </c>
      <c r="L2262" s="33"/>
      <c r="M2262" s="33"/>
      <c r="N2262" s="20"/>
      <c r="O2262" s="17">
        <v>3</v>
      </c>
      <c r="P2262" s="17">
        <v>3</v>
      </c>
      <c r="Q2262" s="17">
        <v>3</v>
      </c>
      <c r="R2262" s="17" t="s">
        <v>187</v>
      </c>
      <c r="S2262" s="21" t="s">
        <v>263</v>
      </c>
    </row>
    <row r="2263" spans="8:19" ht="38.4" customHeight="1" x14ac:dyDescent="0.3">
      <c r="H2263" s="16" t="s">
        <v>48</v>
      </c>
      <c r="I2263" s="17" t="s">
        <v>20</v>
      </c>
      <c r="J2263" s="18" t="s">
        <v>311</v>
      </c>
      <c r="K2263" s="35" t="s">
        <v>0</v>
      </c>
      <c r="L2263" s="33"/>
      <c r="M2263" s="33"/>
      <c r="N2263" s="20"/>
      <c r="O2263" s="17">
        <v>1</v>
      </c>
      <c r="P2263" s="17">
        <v>1</v>
      </c>
      <c r="Q2263" s="17">
        <v>1</v>
      </c>
      <c r="R2263" s="17" t="s">
        <v>187</v>
      </c>
      <c r="S2263" s="21" t="s">
        <v>263</v>
      </c>
    </row>
    <row r="2264" spans="8:19" ht="38.4" customHeight="1" x14ac:dyDescent="0.3">
      <c r="H2264" s="16" t="s">
        <v>48</v>
      </c>
      <c r="I2264" s="17" t="s">
        <v>22</v>
      </c>
      <c r="J2264" s="18" t="s">
        <v>23</v>
      </c>
      <c r="K2264" s="35" t="s">
        <v>1</v>
      </c>
      <c r="L2264" s="33"/>
      <c r="M2264" s="33"/>
      <c r="N2264" s="20"/>
      <c r="O2264" s="17">
        <v>1</v>
      </c>
      <c r="P2264" s="17">
        <v>1</v>
      </c>
      <c r="Q2264" s="17">
        <v>1</v>
      </c>
      <c r="R2264" s="17" t="s">
        <v>187</v>
      </c>
      <c r="S2264" s="21" t="s">
        <v>263</v>
      </c>
    </row>
    <row r="2265" spans="8:19" ht="38.4" customHeight="1" x14ac:dyDescent="0.3">
      <c r="H2265" s="16" t="s">
        <v>48</v>
      </c>
      <c r="I2265" s="17" t="s">
        <v>22</v>
      </c>
      <c r="J2265" s="18" t="s">
        <v>322</v>
      </c>
      <c r="K2265" s="35" t="s">
        <v>1</v>
      </c>
      <c r="L2265" s="33"/>
      <c r="M2265" s="33"/>
      <c r="N2265" s="20"/>
      <c r="O2265" s="17">
        <v>1</v>
      </c>
      <c r="P2265" s="17">
        <v>1</v>
      </c>
      <c r="Q2265" s="17">
        <v>1</v>
      </c>
      <c r="R2265" s="17" t="s">
        <v>187</v>
      </c>
      <c r="S2265" s="21" t="s">
        <v>263</v>
      </c>
    </row>
    <row r="2266" spans="8:19" ht="38.4" customHeight="1" x14ac:dyDescent="0.3">
      <c r="H2266" s="16" t="s">
        <v>48</v>
      </c>
      <c r="I2266" s="17" t="s">
        <v>25</v>
      </c>
      <c r="J2266" s="18" t="s">
        <v>321</v>
      </c>
      <c r="K2266" s="35" t="s">
        <v>290</v>
      </c>
      <c r="L2266" s="33" t="s">
        <v>435</v>
      </c>
      <c r="M2266" s="33">
        <v>4762</v>
      </c>
      <c r="N2266" s="20"/>
      <c r="O2266" s="17">
        <v>3</v>
      </c>
      <c r="P2266" s="17">
        <v>0</v>
      </c>
      <c r="Q2266" s="17">
        <v>3</v>
      </c>
      <c r="R2266" s="17" t="s">
        <v>187</v>
      </c>
      <c r="S2266" s="21" t="s">
        <v>263</v>
      </c>
    </row>
    <row r="2267" spans="8:19" ht="38.4" customHeight="1" x14ac:dyDescent="0.3">
      <c r="H2267" s="16" t="s">
        <v>48</v>
      </c>
      <c r="I2267" s="17" t="s">
        <v>25</v>
      </c>
      <c r="J2267" s="18" t="s">
        <v>320</v>
      </c>
      <c r="K2267" s="54" t="s">
        <v>290</v>
      </c>
      <c r="L2267" s="33" t="s">
        <v>436</v>
      </c>
      <c r="M2267" s="33" t="s">
        <v>431</v>
      </c>
      <c r="N2267" s="20"/>
      <c r="O2267" s="17">
        <v>3</v>
      </c>
      <c r="P2267" s="17">
        <v>3</v>
      </c>
      <c r="Q2267" s="17">
        <v>3</v>
      </c>
      <c r="R2267" s="17" t="s">
        <v>187</v>
      </c>
      <c r="S2267" s="21" t="s">
        <v>263</v>
      </c>
    </row>
    <row r="2268" spans="8:19" ht="38.4" customHeight="1" x14ac:dyDescent="0.3">
      <c r="H2268" s="16" t="s">
        <v>48</v>
      </c>
      <c r="I2268" s="17" t="s">
        <v>30</v>
      </c>
      <c r="J2268" s="18" t="s">
        <v>315</v>
      </c>
      <c r="K2268" s="19" t="s">
        <v>0</v>
      </c>
      <c r="L2268" s="17"/>
      <c r="M2268" s="17"/>
      <c r="N2268" s="20"/>
      <c r="O2268" s="17">
        <v>3</v>
      </c>
      <c r="P2268" s="17">
        <v>3</v>
      </c>
      <c r="Q2268" s="17">
        <v>3</v>
      </c>
      <c r="R2268" s="17" t="s">
        <v>187</v>
      </c>
      <c r="S2268" s="21" t="s">
        <v>263</v>
      </c>
    </row>
    <row r="2269" spans="8:19" ht="38.4" customHeight="1" x14ac:dyDescent="0.3">
      <c r="H2269" s="16" t="s">
        <v>48</v>
      </c>
      <c r="I2269" s="17" t="s">
        <v>25</v>
      </c>
      <c r="J2269" s="18" t="s">
        <v>312</v>
      </c>
      <c r="K2269" s="19" t="s">
        <v>0</v>
      </c>
      <c r="L2269" s="17"/>
      <c r="M2269" s="17"/>
      <c r="N2269" s="20"/>
      <c r="O2269" s="17">
        <v>3</v>
      </c>
      <c r="P2269" s="17">
        <v>3</v>
      </c>
      <c r="Q2269" s="17">
        <v>3</v>
      </c>
      <c r="R2269" s="17" t="s">
        <v>187</v>
      </c>
      <c r="S2269" s="21" t="s">
        <v>263</v>
      </c>
    </row>
    <row r="2270" spans="8:19" ht="38.4" customHeight="1" x14ac:dyDescent="0.3">
      <c r="H2270" s="16" t="s">
        <v>48</v>
      </c>
      <c r="I2270" s="17" t="s">
        <v>41</v>
      </c>
      <c r="J2270" s="18" t="s">
        <v>307</v>
      </c>
      <c r="K2270" s="19" t="s">
        <v>290</v>
      </c>
      <c r="L2270" s="33" t="s">
        <v>480</v>
      </c>
      <c r="M2270" s="33">
        <v>9106</v>
      </c>
      <c r="N2270" s="20"/>
      <c r="O2270" s="17">
        <v>3</v>
      </c>
      <c r="P2270" s="17">
        <v>0</v>
      </c>
      <c r="Q2270" s="17">
        <v>1.5</v>
      </c>
      <c r="R2270" s="17" t="s">
        <v>187</v>
      </c>
      <c r="S2270" s="21" t="s">
        <v>263</v>
      </c>
    </row>
    <row r="2271" spans="8:19" ht="38.4" customHeight="1" x14ac:dyDescent="0.3">
      <c r="H2271" s="16" t="s">
        <v>48</v>
      </c>
      <c r="I2271" s="23" t="s">
        <v>41</v>
      </c>
      <c r="J2271" s="18" t="s">
        <v>308</v>
      </c>
      <c r="K2271" s="24" t="s">
        <v>290</v>
      </c>
      <c r="L2271" s="53" t="s">
        <v>480</v>
      </c>
      <c r="M2271" s="53">
        <v>9106</v>
      </c>
      <c r="N2271" s="25"/>
      <c r="O2271" s="23">
        <v>2</v>
      </c>
      <c r="P2271" s="23">
        <v>0</v>
      </c>
      <c r="Q2271" s="17">
        <v>2</v>
      </c>
      <c r="R2271" s="17" t="s">
        <v>187</v>
      </c>
      <c r="S2271" s="21" t="s">
        <v>263</v>
      </c>
    </row>
    <row r="2272" spans="8:19" ht="39" customHeight="1" x14ac:dyDescent="0.3">
      <c r="H2272" s="17" t="s">
        <v>9</v>
      </c>
      <c r="I2272" s="17" t="s">
        <v>14</v>
      </c>
      <c r="J2272" s="18" t="s">
        <v>15</v>
      </c>
      <c r="K2272" s="27" t="s">
        <v>0</v>
      </c>
      <c r="L2272" s="17"/>
      <c r="M2272" s="17"/>
      <c r="N2272" s="20"/>
      <c r="O2272" s="17">
        <v>3</v>
      </c>
      <c r="P2272" s="17">
        <v>3</v>
      </c>
      <c r="Q2272" s="17">
        <v>3</v>
      </c>
      <c r="R2272" s="17" t="s">
        <v>127</v>
      </c>
      <c r="S2272" s="17" t="s">
        <v>263</v>
      </c>
    </row>
    <row r="2273" spans="8:19" ht="39" customHeight="1" x14ac:dyDescent="0.3">
      <c r="H2273" s="17" t="s">
        <v>9</v>
      </c>
      <c r="I2273" s="17" t="s">
        <v>14</v>
      </c>
      <c r="J2273" s="18" t="s">
        <v>16</v>
      </c>
      <c r="K2273" s="27" t="s">
        <v>0</v>
      </c>
      <c r="L2273" s="17"/>
      <c r="M2273" s="17"/>
      <c r="N2273" s="20"/>
      <c r="O2273" s="17">
        <v>1</v>
      </c>
      <c r="P2273" s="17">
        <v>0</v>
      </c>
      <c r="Q2273" s="26">
        <v>0.5</v>
      </c>
      <c r="R2273" s="17" t="s">
        <v>127</v>
      </c>
      <c r="S2273" s="17" t="s">
        <v>263</v>
      </c>
    </row>
    <row r="2274" spans="8:19" ht="39" customHeight="1" x14ac:dyDescent="0.3">
      <c r="H2274" s="17" t="s">
        <v>9</v>
      </c>
      <c r="I2274" s="17" t="s">
        <v>10</v>
      </c>
      <c r="J2274" s="18" t="s">
        <v>11</v>
      </c>
      <c r="K2274" s="27" t="s">
        <v>0</v>
      </c>
      <c r="L2274" s="17"/>
      <c r="M2274" s="17"/>
      <c r="N2274" s="20"/>
      <c r="O2274" s="17">
        <v>3</v>
      </c>
      <c r="P2274" s="17">
        <v>3</v>
      </c>
      <c r="Q2274" s="17">
        <v>3</v>
      </c>
      <c r="R2274" s="17" t="s">
        <v>127</v>
      </c>
      <c r="S2274" s="17" t="s">
        <v>263</v>
      </c>
    </row>
    <row r="2275" spans="8:19" ht="39" customHeight="1" x14ac:dyDescent="0.3">
      <c r="H2275" s="17" t="s">
        <v>9</v>
      </c>
      <c r="I2275" s="17" t="s">
        <v>10</v>
      </c>
      <c r="J2275" s="18" t="s">
        <v>316</v>
      </c>
      <c r="K2275" s="27" t="s">
        <v>0</v>
      </c>
      <c r="L2275" s="17"/>
      <c r="M2275" s="17"/>
      <c r="N2275" s="20"/>
      <c r="O2275" s="17">
        <v>3</v>
      </c>
      <c r="P2275" s="17">
        <v>3</v>
      </c>
      <c r="Q2275" s="17">
        <v>3</v>
      </c>
      <c r="R2275" s="17" t="s">
        <v>127</v>
      </c>
      <c r="S2275" s="17" t="s">
        <v>263</v>
      </c>
    </row>
    <row r="2276" spans="8:19" ht="39" customHeight="1" x14ac:dyDescent="0.3">
      <c r="H2276" s="17" t="s">
        <v>9</v>
      </c>
      <c r="I2276" s="17" t="s">
        <v>10</v>
      </c>
      <c r="J2276" s="18" t="s">
        <v>319</v>
      </c>
      <c r="K2276" s="27" t="s">
        <v>0</v>
      </c>
      <c r="L2276" s="17"/>
      <c r="M2276" s="17"/>
      <c r="N2276" s="20"/>
      <c r="O2276" s="17">
        <v>3</v>
      </c>
      <c r="P2276" s="17">
        <v>3</v>
      </c>
      <c r="Q2276" s="17">
        <v>3</v>
      </c>
      <c r="R2276" s="17" t="s">
        <v>127</v>
      </c>
      <c r="S2276" s="17" t="s">
        <v>263</v>
      </c>
    </row>
    <row r="2277" spans="8:19" ht="39" customHeight="1" x14ac:dyDescent="0.3">
      <c r="H2277" s="17" t="s">
        <v>9</v>
      </c>
      <c r="I2277" s="17" t="s">
        <v>10</v>
      </c>
      <c r="J2277" s="18" t="s">
        <v>313</v>
      </c>
      <c r="K2277" s="27" t="s">
        <v>0</v>
      </c>
      <c r="L2277" s="17"/>
      <c r="M2277" s="17"/>
      <c r="N2277" s="20"/>
      <c r="O2277" s="17">
        <v>3</v>
      </c>
      <c r="P2277" s="17">
        <v>3</v>
      </c>
      <c r="Q2277" s="17">
        <v>3</v>
      </c>
      <c r="R2277" s="17" t="s">
        <v>127</v>
      </c>
      <c r="S2277" s="17" t="s">
        <v>263</v>
      </c>
    </row>
    <row r="2278" spans="8:19" ht="39" customHeight="1" x14ac:dyDescent="0.3">
      <c r="H2278" s="72" t="s">
        <v>9</v>
      </c>
      <c r="I2278" s="72" t="s">
        <v>10</v>
      </c>
      <c r="J2278" s="73" t="s">
        <v>393</v>
      </c>
      <c r="K2278" s="74" t="s">
        <v>0</v>
      </c>
      <c r="L2278" s="72"/>
      <c r="M2278" s="72"/>
      <c r="N2278" s="75"/>
      <c r="O2278" s="72">
        <v>2</v>
      </c>
      <c r="P2278" s="72">
        <v>2</v>
      </c>
      <c r="Q2278" s="72">
        <v>2</v>
      </c>
      <c r="R2278" s="72" t="s">
        <v>127</v>
      </c>
      <c r="S2278" s="72" t="s">
        <v>263</v>
      </c>
    </row>
    <row r="2279" spans="8:19" ht="39" customHeight="1" x14ac:dyDescent="0.3">
      <c r="H2279" s="17" t="s">
        <v>9</v>
      </c>
      <c r="I2279" s="17" t="s">
        <v>12</v>
      </c>
      <c r="J2279" s="18" t="s">
        <v>324</v>
      </c>
      <c r="K2279" s="27" t="s">
        <v>0</v>
      </c>
      <c r="L2279" s="17"/>
      <c r="M2279" s="17"/>
      <c r="N2279" s="20"/>
      <c r="O2279" s="17">
        <v>2</v>
      </c>
      <c r="P2279" s="17">
        <v>2</v>
      </c>
      <c r="Q2279" s="17">
        <v>2</v>
      </c>
      <c r="R2279" s="17" t="s">
        <v>127</v>
      </c>
      <c r="S2279" s="17" t="s">
        <v>263</v>
      </c>
    </row>
    <row r="2280" spans="8:19" ht="39" customHeight="1" x14ac:dyDescent="0.3">
      <c r="H2280" s="17" t="s">
        <v>9</v>
      </c>
      <c r="I2280" s="17" t="s">
        <v>17</v>
      </c>
      <c r="J2280" s="18" t="s">
        <v>325</v>
      </c>
      <c r="K2280" s="27" t="s">
        <v>0</v>
      </c>
      <c r="L2280" s="17"/>
      <c r="M2280" s="17"/>
      <c r="N2280" s="20"/>
      <c r="O2280" s="17">
        <v>3</v>
      </c>
      <c r="P2280" s="17">
        <v>3</v>
      </c>
      <c r="Q2280" s="17">
        <v>3</v>
      </c>
      <c r="R2280" s="17" t="s">
        <v>127</v>
      </c>
      <c r="S2280" s="17" t="s">
        <v>263</v>
      </c>
    </row>
    <row r="2281" spans="8:19" ht="39" customHeight="1" x14ac:dyDescent="0.3">
      <c r="H2281" s="17" t="s">
        <v>9</v>
      </c>
      <c r="I2281" s="17" t="s">
        <v>17</v>
      </c>
      <c r="J2281" s="18" t="s">
        <v>19</v>
      </c>
      <c r="K2281" s="27" t="s">
        <v>291</v>
      </c>
      <c r="L2281" s="17"/>
      <c r="M2281" s="17">
        <v>2191</v>
      </c>
      <c r="N2281" s="20"/>
      <c r="O2281" s="17">
        <v>3</v>
      </c>
      <c r="P2281" s="17">
        <v>3</v>
      </c>
      <c r="Q2281" s="17">
        <v>3</v>
      </c>
      <c r="R2281" s="17" t="s">
        <v>127</v>
      </c>
      <c r="S2281" s="17" t="s">
        <v>263</v>
      </c>
    </row>
    <row r="2282" spans="8:19" ht="39" customHeight="1" x14ac:dyDescent="0.3">
      <c r="H2282" s="17" t="s">
        <v>9</v>
      </c>
      <c r="I2282" s="17" t="s">
        <v>20</v>
      </c>
      <c r="J2282" s="18" t="s">
        <v>21</v>
      </c>
      <c r="K2282" s="27" t="s">
        <v>0</v>
      </c>
      <c r="L2282" s="17"/>
      <c r="M2282" s="17"/>
      <c r="N2282" s="20"/>
      <c r="O2282" s="17">
        <v>3</v>
      </c>
      <c r="P2282" s="17">
        <v>0</v>
      </c>
      <c r="Q2282" s="17">
        <v>1.5</v>
      </c>
      <c r="R2282" s="17" t="s">
        <v>127</v>
      </c>
      <c r="S2282" s="17" t="s">
        <v>263</v>
      </c>
    </row>
    <row r="2283" spans="8:19" ht="39" customHeight="1" x14ac:dyDescent="0.3">
      <c r="H2283" s="17" t="s">
        <v>9</v>
      </c>
      <c r="I2283" s="17" t="s">
        <v>20</v>
      </c>
      <c r="J2283" s="18" t="s">
        <v>311</v>
      </c>
      <c r="K2283" s="27" t="s">
        <v>0</v>
      </c>
      <c r="L2283" s="17"/>
      <c r="M2283" s="17"/>
      <c r="N2283" s="20"/>
      <c r="O2283" s="17">
        <v>1</v>
      </c>
      <c r="P2283" s="17">
        <v>1</v>
      </c>
      <c r="Q2283" s="17">
        <v>1</v>
      </c>
      <c r="R2283" s="17" t="s">
        <v>127</v>
      </c>
      <c r="S2283" s="17" t="s">
        <v>263</v>
      </c>
    </row>
    <row r="2284" spans="8:19" ht="39" customHeight="1" x14ac:dyDescent="0.3">
      <c r="H2284" s="17" t="s">
        <v>9</v>
      </c>
      <c r="I2284" s="17" t="s">
        <v>22</v>
      </c>
      <c r="J2284" s="18" t="s">
        <v>23</v>
      </c>
      <c r="K2284" s="27" t="s">
        <v>0</v>
      </c>
      <c r="L2284" s="17"/>
      <c r="M2284" s="17"/>
      <c r="N2284" s="20"/>
      <c r="O2284" s="17">
        <v>1</v>
      </c>
      <c r="P2284" s="17">
        <v>1</v>
      </c>
      <c r="Q2284" s="17">
        <v>1</v>
      </c>
      <c r="R2284" s="17" t="s">
        <v>127</v>
      </c>
      <c r="S2284" s="17" t="s">
        <v>263</v>
      </c>
    </row>
    <row r="2285" spans="8:19" ht="39" customHeight="1" x14ac:dyDescent="0.3">
      <c r="H2285" s="17" t="s">
        <v>9</v>
      </c>
      <c r="I2285" s="17" t="s">
        <v>22</v>
      </c>
      <c r="J2285" s="18" t="s">
        <v>322</v>
      </c>
      <c r="K2285" s="27" t="s">
        <v>0</v>
      </c>
      <c r="L2285" s="17"/>
      <c r="M2285" s="17"/>
      <c r="N2285" s="20"/>
      <c r="O2285" s="17">
        <v>1</v>
      </c>
      <c r="P2285" s="17">
        <v>1</v>
      </c>
      <c r="Q2285" s="17">
        <v>1</v>
      </c>
      <c r="R2285" s="17" t="s">
        <v>127</v>
      </c>
      <c r="S2285" s="17" t="s">
        <v>263</v>
      </c>
    </row>
    <row r="2286" spans="8:19" ht="39" customHeight="1" x14ac:dyDescent="0.3">
      <c r="H2286" s="17" t="s">
        <v>9</v>
      </c>
      <c r="I2286" s="17" t="s">
        <v>25</v>
      </c>
      <c r="J2286" s="18" t="s">
        <v>323</v>
      </c>
      <c r="K2286" s="27" t="s">
        <v>290</v>
      </c>
      <c r="L2286" s="76" t="s">
        <v>481</v>
      </c>
      <c r="M2286" s="17"/>
      <c r="N2286" s="20"/>
      <c r="O2286" s="17">
        <v>3</v>
      </c>
      <c r="P2286" s="17">
        <v>3</v>
      </c>
      <c r="Q2286" s="17">
        <v>3</v>
      </c>
      <c r="R2286" s="17" t="s">
        <v>127</v>
      </c>
      <c r="S2286" s="17" t="s">
        <v>263</v>
      </c>
    </row>
    <row r="2287" spans="8:19" ht="39" customHeight="1" x14ac:dyDescent="0.3">
      <c r="H2287" s="17" t="s">
        <v>9</v>
      </c>
      <c r="I2287" s="17" t="s">
        <v>25</v>
      </c>
      <c r="J2287" s="18" t="s">
        <v>29</v>
      </c>
      <c r="K2287" s="27" t="s">
        <v>0</v>
      </c>
      <c r="L2287" s="17"/>
      <c r="M2287" s="17"/>
      <c r="N2287" s="20"/>
      <c r="O2287" s="17">
        <v>3</v>
      </c>
      <c r="P2287" s="17">
        <v>3</v>
      </c>
      <c r="Q2287" s="17">
        <v>3</v>
      </c>
      <c r="R2287" s="17" t="s">
        <v>127</v>
      </c>
      <c r="S2287" s="17" t="s">
        <v>263</v>
      </c>
    </row>
    <row r="2288" spans="8:19" ht="39" customHeight="1" x14ac:dyDescent="0.3">
      <c r="H2288" s="17" t="s">
        <v>9</v>
      </c>
      <c r="I2288" s="17" t="s">
        <v>31</v>
      </c>
      <c r="J2288" s="18" t="s">
        <v>32</v>
      </c>
      <c r="K2288" s="27" t="s">
        <v>290</v>
      </c>
      <c r="L2288" s="17"/>
      <c r="M2288" s="17"/>
      <c r="N2288" s="20"/>
      <c r="O2288" s="17">
        <v>3</v>
      </c>
      <c r="P2288" s="17">
        <v>0</v>
      </c>
      <c r="Q2288" s="17">
        <v>1.5</v>
      </c>
      <c r="R2288" s="17" t="s">
        <v>127</v>
      </c>
      <c r="S2288" s="17" t="s">
        <v>263</v>
      </c>
    </row>
    <row r="2289" spans="8:19" ht="39" customHeight="1" x14ac:dyDescent="0.3">
      <c r="H2289" s="17" t="s">
        <v>9</v>
      </c>
      <c r="I2289" s="17" t="s">
        <v>30</v>
      </c>
      <c r="J2289" s="18" t="s">
        <v>315</v>
      </c>
      <c r="K2289" s="27" t="s">
        <v>0</v>
      </c>
      <c r="L2289" s="17"/>
      <c r="M2289" s="17"/>
      <c r="N2289" s="20"/>
      <c r="O2289" s="17">
        <v>3</v>
      </c>
      <c r="P2289" s="17">
        <v>3</v>
      </c>
      <c r="Q2289" s="17">
        <v>3</v>
      </c>
      <c r="R2289" s="17" t="s">
        <v>127</v>
      </c>
      <c r="S2289" s="17" t="s">
        <v>263</v>
      </c>
    </row>
    <row r="2290" spans="8:19" ht="39" customHeight="1" x14ac:dyDescent="0.3">
      <c r="H2290" s="17" t="s">
        <v>9</v>
      </c>
      <c r="I2290" s="17" t="s">
        <v>33</v>
      </c>
      <c r="J2290" s="18" t="s">
        <v>131</v>
      </c>
      <c r="K2290" s="27" t="s">
        <v>0</v>
      </c>
      <c r="L2290" s="17"/>
      <c r="M2290" s="17"/>
      <c r="N2290" s="20"/>
      <c r="O2290" s="17">
        <v>3</v>
      </c>
      <c r="P2290" s="17">
        <v>3</v>
      </c>
      <c r="Q2290" s="17">
        <v>3</v>
      </c>
      <c r="R2290" s="17" t="s">
        <v>127</v>
      </c>
      <c r="S2290" s="17" t="s">
        <v>263</v>
      </c>
    </row>
    <row r="2291" spans="8:19" ht="39" customHeight="1" x14ac:dyDescent="0.3">
      <c r="H2291" s="17" t="s">
        <v>9</v>
      </c>
      <c r="I2291" s="17" t="s">
        <v>33</v>
      </c>
      <c r="J2291" s="18" t="s">
        <v>326</v>
      </c>
      <c r="K2291" s="27" t="s">
        <v>290</v>
      </c>
      <c r="L2291" s="17"/>
      <c r="M2291" s="17"/>
      <c r="N2291" s="20"/>
      <c r="O2291" s="17">
        <v>3</v>
      </c>
      <c r="P2291" s="17">
        <v>3</v>
      </c>
      <c r="Q2291" s="17">
        <v>3</v>
      </c>
      <c r="R2291" s="17" t="s">
        <v>127</v>
      </c>
      <c r="S2291" s="17" t="s">
        <v>263</v>
      </c>
    </row>
    <row r="2292" spans="8:19" ht="39" customHeight="1" x14ac:dyDescent="0.3">
      <c r="H2292" s="17" t="s">
        <v>9</v>
      </c>
      <c r="I2292" s="17" t="s">
        <v>33</v>
      </c>
      <c r="J2292" s="18" t="s">
        <v>310</v>
      </c>
      <c r="K2292" s="27" t="s">
        <v>290</v>
      </c>
      <c r="L2292" s="17"/>
      <c r="M2292" s="17"/>
      <c r="N2292" s="20"/>
      <c r="O2292" s="17">
        <v>3</v>
      </c>
      <c r="P2292" s="17">
        <v>0</v>
      </c>
      <c r="Q2292" s="17">
        <v>1.5</v>
      </c>
      <c r="R2292" s="17" t="s">
        <v>127</v>
      </c>
      <c r="S2292" s="17" t="s">
        <v>263</v>
      </c>
    </row>
    <row r="2293" spans="8:19" ht="39" customHeight="1" x14ac:dyDescent="0.3">
      <c r="H2293" s="17" t="s">
        <v>9</v>
      </c>
      <c r="I2293" s="17" t="s">
        <v>33</v>
      </c>
      <c r="J2293" s="28" t="s">
        <v>36</v>
      </c>
      <c r="K2293" s="27" t="s">
        <v>290</v>
      </c>
      <c r="L2293" s="17"/>
      <c r="M2293" s="17"/>
      <c r="N2293" s="20"/>
      <c r="O2293" s="17">
        <v>3</v>
      </c>
      <c r="P2293" s="17">
        <v>0</v>
      </c>
      <c r="Q2293" s="17">
        <v>3</v>
      </c>
      <c r="R2293" s="17" t="s">
        <v>127</v>
      </c>
      <c r="S2293" s="17" t="s">
        <v>263</v>
      </c>
    </row>
    <row r="2294" spans="8:19" ht="39" customHeight="1" x14ac:dyDescent="0.3">
      <c r="H2294" s="17" t="s">
        <v>9</v>
      </c>
      <c r="I2294" s="17" t="s">
        <v>33</v>
      </c>
      <c r="J2294" s="18" t="s">
        <v>37</v>
      </c>
      <c r="K2294" s="27"/>
      <c r="L2294" s="17"/>
      <c r="M2294" s="17"/>
      <c r="N2294" s="20"/>
      <c r="O2294" s="17">
        <v>3</v>
      </c>
      <c r="P2294" s="17">
        <v>0</v>
      </c>
      <c r="Q2294" s="17">
        <v>3</v>
      </c>
      <c r="R2294" s="17" t="s">
        <v>127</v>
      </c>
      <c r="S2294" s="17" t="s">
        <v>263</v>
      </c>
    </row>
    <row r="2295" spans="8:19" ht="39" customHeight="1" x14ac:dyDescent="0.3">
      <c r="H2295" s="17" t="s">
        <v>9</v>
      </c>
      <c r="I2295" s="17" t="s">
        <v>38</v>
      </c>
      <c r="J2295" s="18" t="s">
        <v>327</v>
      </c>
      <c r="K2295" s="27" t="s">
        <v>0</v>
      </c>
      <c r="L2295" s="17"/>
      <c r="M2295" s="17"/>
      <c r="N2295" s="20"/>
      <c r="O2295" s="17">
        <v>3</v>
      </c>
      <c r="P2295" s="17">
        <v>3</v>
      </c>
      <c r="Q2295" s="17">
        <v>3</v>
      </c>
      <c r="R2295" s="17" t="s">
        <v>127</v>
      </c>
      <c r="S2295" s="17" t="s">
        <v>263</v>
      </c>
    </row>
    <row r="2296" spans="8:19" ht="39" customHeight="1" x14ac:dyDescent="0.3">
      <c r="H2296" s="17" t="s">
        <v>9</v>
      </c>
      <c r="I2296" s="17" t="s">
        <v>38</v>
      </c>
      <c r="J2296" s="28" t="s">
        <v>40</v>
      </c>
      <c r="K2296" s="27" t="s">
        <v>290</v>
      </c>
      <c r="L2296" s="17"/>
      <c r="M2296" s="17"/>
      <c r="N2296" s="20"/>
      <c r="O2296" s="17">
        <v>3</v>
      </c>
      <c r="P2296" s="17">
        <v>3</v>
      </c>
      <c r="Q2296" s="17">
        <v>3</v>
      </c>
      <c r="R2296" s="17" t="s">
        <v>127</v>
      </c>
      <c r="S2296" s="17" t="s">
        <v>263</v>
      </c>
    </row>
    <row r="2297" spans="8:19" ht="39" customHeight="1" x14ac:dyDescent="0.3">
      <c r="H2297" s="17" t="s">
        <v>9</v>
      </c>
      <c r="I2297" s="17" t="s">
        <v>41</v>
      </c>
      <c r="J2297" s="18" t="s">
        <v>307</v>
      </c>
      <c r="K2297" s="27" t="s">
        <v>290</v>
      </c>
      <c r="L2297" s="17"/>
      <c r="M2297" s="17"/>
      <c r="N2297" s="20"/>
      <c r="O2297" s="17">
        <v>3</v>
      </c>
      <c r="P2297" s="17">
        <v>0</v>
      </c>
      <c r="Q2297" s="17">
        <v>1.5</v>
      </c>
      <c r="R2297" s="17" t="s">
        <v>127</v>
      </c>
      <c r="S2297" s="17" t="s">
        <v>263</v>
      </c>
    </row>
    <row r="2298" spans="8:19" ht="39" customHeight="1" x14ac:dyDescent="0.3">
      <c r="H2298" s="17" t="s">
        <v>9</v>
      </c>
      <c r="I2298" s="23" t="s">
        <v>41</v>
      </c>
      <c r="J2298" s="18" t="s">
        <v>308</v>
      </c>
      <c r="K2298" s="27" t="s">
        <v>290</v>
      </c>
      <c r="L2298" s="23"/>
      <c r="M2298" s="23"/>
      <c r="N2298" s="25"/>
      <c r="O2298" s="23">
        <v>2</v>
      </c>
      <c r="P2298" s="23">
        <v>0</v>
      </c>
      <c r="Q2298" s="17">
        <v>2</v>
      </c>
      <c r="R2298" s="17" t="s">
        <v>127</v>
      </c>
      <c r="S2298" s="17" t="s">
        <v>263</v>
      </c>
    </row>
    <row r="2299" spans="8:19" ht="34.200000000000003" customHeight="1" x14ac:dyDescent="0.3">
      <c r="H2299" s="17" t="s">
        <v>42</v>
      </c>
      <c r="I2299" s="17" t="s">
        <v>14</v>
      </c>
      <c r="J2299" s="18" t="s">
        <v>15</v>
      </c>
      <c r="K2299" s="19" t="s">
        <v>0</v>
      </c>
      <c r="L2299" s="17"/>
      <c r="M2299" s="17"/>
      <c r="N2299" s="20"/>
      <c r="O2299" s="17">
        <v>3</v>
      </c>
      <c r="P2299" s="17">
        <v>3</v>
      </c>
      <c r="Q2299" s="17">
        <v>3</v>
      </c>
      <c r="R2299" s="17" t="s">
        <v>127</v>
      </c>
      <c r="S2299" s="17" t="s">
        <v>263</v>
      </c>
    </row>
    <row r="2300" spans="8:19" ht="34.200000000000003" customHeight="1" x14ac:dyDescent="0.3">
      <c r="H2300" s="17" t="s">
        <v>42</v>
      </c>
      <c r="I2300" s="17" t="s">
        <v>14</v>
      </c>
      <c r="J2300" s="18" t="s">
        <v>16</v>
      </c>
      <c r="K2300" s="19" t="s">
        <v>0</v>
      </c>
      <c r="L2300" s="17"/>
      <c r="M2300" s="17"/>
      <c r="N2300" s="20"/>
      <c r="O2300" s="17">
        <v>1</v>
      </c>
      <c r="P2300" s="17">
        <v>0</v>
      </c>
      <c r="Q2300" s="17">
        <v>1</v>
      </c>
      <c r="R2300" s="17" t="s">
        <v>127</v>
      </c>
      <c r="S2300" s="17" t="s">
        <v>263</v>
      </c>
    </row>
    <row r="2301" spans="8:19" ht="34.200000000000003" customHeight="1" x14ac:dyDescent="0.3">
      <c r="H2301" s="17" t="s">
        <v>42</v>
      </c>
      <c r="I2301" s="17" t="s">
        <v>10</v>
      </c>
      <c r="J2301" s="18" t="s">
        <v>11</v>
      </c>
      <c r="K2301" s="19" t="s">
        <v>0</v>
      </c>
      <c r="L2301" s="17"/>
      <c r="M2301" s="17"/>
      <c r="N2301" s="20"/>
      <c r="O2301" s="17">
        <v>2</v>
      </c>
      <c r="P2301" s="17">
        <v>2</v>
      </c>
      <c r="Q2301" s="17">
        <v>2</v>
      </c>
      <c r="R2301" s="17" t="s">
        <v>127</v>
      </c>
      <c r="S2301" s="17" t="s">
        <v>263</v>
      </c>
    </row>
    <row r="2302" spans="8:19" ht="34.200000000000003" customHeight="1" x14ac:dyDescent="0.3">
      <c r="H2302" s="17" t="s">
        <v>42</v>
      </c>
      <c r="I2302" s="17" t="s">
        <v>10</v>
      </c>
      <c r="J2302" s="18" t="s">
        <v>316</v>
      </c>
      <c r="K2302" s="19" t="s">
        <v>0</v>
      </c>
      <c r="L2302" s="17"/>
      <c r="M2302" s="17"/>
      <c r="N2302" s="20"/>
      <c r="O2302" s="17">
        <v>3</v>
      </c>
      <c r="P2302" s="17">
        <v>3</v>
      </c>
      <c r="Q2302" s="17">
        <v>3</v>
      </c>
      <c r="R2302" s="17" t="s">
        <v>127</v>
      </c>
      <c r="S2302" s="17" t="s">
        <v>263</v>
      </c>
    </row>
    <row r="2303" spans="8:19" ht="34.200000000000003" customHeight="1" x14ac:dyDescent="0.3">
      <c r="H2303" s="17" t="s">
        <v>42</v>
      </c>
      <c r="I2303" s="17" t="s">
        <v>10</v>
      </c>
      <c r="J2303" s="18" t="s">
        <v>319</v>
      </c>
      <c r="K2303" s="19" t="s">
        <v>0</v>
      </c>
      <c r="L2303" s="17"/>
      <c r="M2303" s="17"/>
      <c r="N2303" s="20"/>
      <c r="O2303" s="17">
        <v>3</v>
      </c>
      <c r="P2303" s="17">
        <v>0</v>
      </c>
      <c r="Q2303" s="17">
        <v>3</v>
      </c>
      <c r="R2303" s="17" t="s">
        <v>127</v>
      </c>
      <c r="S2303" s="17" t="s">
        <v>263</v>
      </c>
    </row>
    <row r="2304" spans="8:19" ht="34.200000000000003" customHeight="1" x14ac:dyDescent="0.3">
      <c r="H2304" s="17" t="s">
        <v>42</v>
      </c>
      <c r="I2304" s="17" t="s">
        <v>10</v>
      </c>
      <c r="J2304" s="18" t="s">
        <v>393</v>
      </c>
      <c r="K2304" s="27" t="s">
        <v>0</v>
      </c>
      <c r="L2304" s="17"/>
      <c r="M2304" s="17"/>
      <c r="N2304" s="31"/>
      <c r="O2304" s="29">
        <v>2</v>
      </c>
      <c r="P2304" s="29">
        <v>2</v>
      </c>
      <c r="Q2304" s="29">
        <v>2</v>
      </c>
      <c r="R2304" s="17" t="s">
        <v>127</v>
      </c>
      <c r="S2304" s="17" t="s">
        <v>263</v>
      </c>
    </row>
    <row r="2305" spans="8:19" ht="34.200000000000003" customHeight="1" x14ac:dyDescent="0.3">
      <c r="H2305" s="17" t="s">
        <v>42</v>
      </c>
      <c r="I2305" s="17" t="s">
        <v>10</v>
      </c>
      <c r="J2305" s="18" t="s">
        <v>313</v>
      </c>
      <c r="K2305" s="19" t="s">
        <v>0</v>
      </c>
      <c r="L2305" s="17"/>
      <c r="M2305" s="17"/>
      <c r="N2305" s="20"/>
      <c r="O2305" s="17">
        <v>3</v>
      </c>
      <c r="P2305" s="17">
        <v>3</v>
      </c>
      <c r="Q2305" s="17">
        <v>3</v>
      </c>
      <c r="R2305" s="17" t="s">
        <v>127</v>
      </c>
      <c r="S2305" s="17" t="s">
        <v>263</v>
      </c>
    </row>
    <row r="2306" spans="8:19" ht="34.200000000000003" customHeight="1" x14ac:dyDescent="0.3">
      <c r="H2306" s="17" t="s">
        <v>42</v>
      </c>
      <c r="I2306" s="17" t="s">
        <v>12</v>
      </c>
      <c r="J2306" s="18" t="s">
        <v>13</v>
      </c>
      <c r="K2306" s="19" t="s">
        <v>290</v>
      </c>
      <c r="L2306" s="17"/>
      <c r="M2306" s="17">
        <v>4183</v>
      </c>
      <c r="N2306" s="20"/>
      <c r="O2306" s="17">
        <v>2</v>
      </c>
      <c r="P2306" s="17">
        <v>0</v>
      </c>
      <c r="Q2306" s="17">
        <v>1</v>
      </c>
      <c r="R2306" s="17" t="s">
        <v>127</v>
      </c>
      <c r="S2306" s="17" t="s">
        <v>263</v>
      </c>
    </row>
    <row r="2307" spans="8:19" ht="34.200000000000003" customHeight="1" x14ac:dyDescent="0.3">
      <c r="H2307" s="17" t="s">
        <v>42</v>
      </c>
      <c r="I2307" s="17" t="s">
        <v>17</v>
      </c>
      <c r="J2307" s="18" t="s">
        <v>18</v>
      </c>
      <c r="K2307" s="19" t="s">
        <v>290</v>
      </c>
      <c r="L2307" s="17"/>
      <c r="M2307" s="17">
        <v>6076</v>
      </c>
      <c r="N2307" s="20"/>
      <c r="O2307" s="17">
        <v>3</v>
      </c>
      <c r="P2307" s="17">
        <v>3</v>
      </c>
      <c r="Q2307" s="17">
        <v>3</v>
      </c>
      <c r="R2307" s="17" t="s">
        <v>127</v>
      </c>
      <c r="S2307" s="17" t="s">
        <v>263</v>
      </c>
    </row>
    <row r="2308" spans="8:19" ht="34.200000000000003" customHeight="1" x14ac:dyDescent="0.3">
      <c r="H2308" s="17" t="s">
        <v>42</v>
      </c>
      <c r="I2308" s="17" t="s">
        <v>17</v>
      </c>
      <c r="J2308" s="18" t="s">
        <v>19</v>
      </c>
      <c r="K2308" s="19" t="s">
        <v>0</v>
      </c>
      <c r="L2308" s="17"/>
      <c r="M2308" s="17"/>
      <c r="N2308" s="20"/>
      <c r="O2308" s="17">
        <v>3</v>
      </c>
      <c r="P2308" s="17">
        <v>0</v>
      </c>
      <c r="Q2308" s="17">
        <v>3</v>
      </c>
      <c r="R2308" s="17" t="s">
        <v>127</v>
      </c>
      <c r="S2308" s="17" t="s">
        <v>263</v>
      </c>
    </row>
    <row r="2309" spans="8:19" ht="34.200000000000003" customHeight="1" x14ac:dyDescent="0.3">
      <c r="H2309" s="17" t="s">
        <v>42</v>
      </c>
      <c r="I2309" s="17" t="s">
        <v>20</v>
      </c>
      <c r="J2309" s="18" t="s">
        <v>21</v>
      </c>
      <c r="K2309" s="19" t="s">
        <v>0</v>
      </c>
      <c r="L2309" s="17"/>
      <c r="M2309" s="17"/>
      <c r="N2309" s="20"/>
      <c r="O2309" s="17">
        <v>3</v>
      </c>
      <c r="P2309" s="17">
        <v>0</v>
      </c>
      <c r="Q2309" s="17">
        <v>3</v>
      </c>
      <c r="R2309" s="17" t="s">
        <v>127</v>
      </c>
      <c r="S2309" s="17" t="s">
        <v>263</v>
      </c>
    </row>
    <row r="2310" spans="8:19" ht="34.200000000000003" customHeight="1" x14ac:dyDescent="0.3">
      <c r="H2310" s="17" t="s">
        <v>42</v>
      </c>
      <c r="I2310" s="17" t="s">
        <v>20</v>
      </c>
      <c r="J2310" s="18" t="s">
        <v>311</v>
      </c>
      <c r="K2310" s="19" t="s">
        <v>0</v>
      </c>
      <c r="L2310" s="17"/>
      <c r="M2310" s="17"/>
      <c r="N2310" s="20"/>
      <c r="O2310" s="17">
        <v>1</v>
      </c>
      <c r="P2310" s="17">
        <v>0</v>
      </c>
      <c r="Q2310" s="17">
        <v>1</v>
      </c>
      <c r="R2310" s="17" t="s">
        <v>127</v>
      </c>
      <c r="S2310" s="17" t="s">
        <v>263</v>
      </c>
    </row>
    <row r="2311" spans="8:19" ht="34.200000000000003" customHeight="1" x14ac:dyDescent="0.3">
      <c r="H2311" s="17" t="s">
        <v>42</v>
      </c>
      <c r="I2311" s="17" t="s">
        <v>30</v>
      </c>
      <c r="J2311" s="18" t="s">
        <v>315</v>
      </c>
      <c r="K2311" s="19" t="s">
        <v>0</v>
      </c>
      <c r="L2311" s="17"/>
      <c r="M2311" s="17"/>
      <c r="N2311" s="20"/>
      <c r="O2311" s="17">
        <v>3</v>
      </c>
      <c r="P2311" s="17">
        <v>3</v>
      </c>
      <c r="Q2311" s="17">
        <v>3</v>
      </c>
      <c r="R2311" s="17" t="s">
        <v>127</v>
      </c>
      <c r="S2311" s="17" t="s">
        <v>263</v>
      </c>
    </row>
    <row r="2312" spans="8:19" ht="34.200000000000003" customHeight="1" x14ac:dyDescent="0.3">
      <c r="H2312" s="17" t="s">
        <v>42</v>
      </c>
      <c r="I2312" s="17" t="s">
        <v>43</v>
      </c>
      <c r="J2312" s="18" t="s">
        <v>44</v>
      </c>
      <c r="K2312" s="19" t="s">
        <v>0</v>
      </c>
      <c r="L2312" s="17"/>
      <c r="M2312" s="17"/>
      <c r="N2312" s="20"/>
      <c r="O2312" s="17">
        <v>3</v>
      </c>
      <c r="P2312" s="17">
        <v>3</v>
      </c>
      <c r="Q2312" s="17">
        <v>3</v>
      </c>
      <c r="R2312" s="17" t="s">
        <v>127</v>
      </c>
      <c r="S2312" s="17" t="s">
        <v>263</v>
      </c>
    </row>
    <row r="2313" spans="8:19" ht="34.200000000000003" customHeight="1" x14ac:dyDescent="0.3">
      <c r="H2313" s="17" t="s">
        <v>42</v>
      </c>
      <c r="I2313" s="17" t="s">
        <v>45</v>
      </c>
      <c r="J2313" s="18" t="s">
        <v>46</v>
      </c>
      <c r="K2313" s="19" t="s">
        <v>0</v>
      </c>
      <c r="L2313" s="17"/>
      <c r="M2313" s="17"/>
      <c r="N2313" s="20"/>
      <c r="O2313" s="17">
        <v>3</v>
      </c>
      <c r="P2313" s="17">
        <v>3</v>
      </c>
      <c r="Q2313" s="17">
        <v>3</v>
      </c>
      <c r="R2313" s="17" t="s">
        <v>127</v>
      </c>
      <c r="S2313" s="17" t="s">
        <v>263</v>
      </c>
    </row>
    <row r="2314" spans="8:19" ht="34.200000000000003" customHeight="1" x14ac:dyDescent="0.3">
      <c r="H2314" s="17" t="s">
        <v>42</v>
      </c>
      <c r="I2314" s="17" t="s">
        <v>22</v>
      </c>
      <c r="J2314" s="18" t="s">
        <v>23</v>
      </c>
      <c r="K2314" s="27" t="s">
        <v>290</v>
      </c>
      <c r="L2314" s="17"/>
      <c r="M2314" s="17">
        <v>7969</v>
      </c>
      <c r="N2314" s="20"/>
      <c r="O2314" s="17">
        <v>1</v>
      </c>
      <c r="P2314" s="17">
        <v>1</v>
      </c>
      <c r="Q2314" s="17">
        <v>1</v>
      </c>
      <c r="R2314" s="17" t="s">
        <v>127</v>
      </c>
      <c r="S2314" s="17" t="s">
        <v>263</v>
      </c>
    </row>
    <row r="2315" spans="8:19" ht="34.200000000000003" customHeight="1" x14ac:dyDescent="0.3">
      <c r="H2315" s="17" t="s">
        <v>42</v>
      </c>
      <c r="I2315" s="17" t="s">
        <v>22</v>
      </c>
      <c r="J2315" s="18" t="s">
        <v>322</v>
      </c>
      <c r="K2315" s="27" t="s">
        <v>290</v>
      </c>
      <c r="L2315" s="17"/>
      <c r="M2315" s="17">
        <v>7969</v>
      </c>
      <c r="N2315" s="20"/>
      <c r="O2315" s="17">
        <v>1</v>
      </c>
      <c r="P2315" s="17">
        <v>1</v>
      </c>
      <c r="Q2315" s="17">
        <v>1</v>
      </c>
      <c r="R2315" s="17" t="s">
        <v>127</v>
      </c>
      <c r="S2315" s="17" t="s">
        <v>263</v>
      </c>
    </row>
    <row r="2316" spans="8:19" ht="34.200000000000003" customHeight="1" x14ac:dyDescent="0.3">
      <c r="H2316" s="17" t="s">
        <v>42</v>
      </c>
      <c r="I2316" s="17" t="s">
        <v>25</v>
      </c>
      <c r="J2316" s="18" t="s">
        <v>28</v>
      </c>
      <c r="K2316" s="19" t="s">
        <v>290</v>
      </c>
      <c r="L2316" s="17"/>
      <c r="M2316" s="17">
        <v>5678</v>
      </c>
      <c r="N2316" s="20"/>
      <c r="O2316" s="17">
        <v>3</v>
      </c>
      <c r="P2316" s="17">
        <v>0</v>
      </c>
      <c r="Q2316" s="17">
        <v>3</v>
      </c>
      <c r="R2316" s="17" t="s">
        <v>127</v>
      </c>
      <c r="S2316" s="17" t="s">
        <v>263</v>
      </c>
    </row>
    <row r="2317" spans="8:19" ht="34.200000000000003" customHeight="1" x14ac:dyDescent="0.3">
      <c r="H2317" s="17" t="s">
        <v>42</v>
      </c>
      <c r="I2317" s="17" t="s">
        <v>25</v>
      </c>
      <c r="J2317" s="18" t="s">
        <v>29</v>
      </c>
      <c r="K2317" s="19" t="s">
        <v>0</v>
      </c>
      <c r="L2317" s="17"/>
      <c r="M2317" s="17"/>
      <c r="N2317" s="20"/>
      <c r="O2317" s="17">
        <v>3</v>
      </c>
      <c r="P2317" s="17">
        <v>3</v>
      </c>
      <c r="Q2317" s="17">
        <v>3</v>
      </c>
      <c r="R2317" s="17" t="s">
        <v>127</v>
      </c>
      <c r="S2317" s="17" t="s">
        <v>263</v>
      </c>
    </row>
    <row r="2318" spans="8:19" ht="34.200000000000003" customHeight="1" x14ac:dyDescent="0.3">
      <c r="H2318" s="17" t="s">
        <v>42</v>
      </c>
      <c r="I2318" s="17" t="s">
        <v>41</v>
      </c>
      <c r="J2318" s="18" t="s">
        <v>307</v>
      </c>
      <c r="K2318" s="19"/>
      <c r="L2318" s="17"/>
      <c r="M2318" s="17"/>
      <c r="N2318" s="20"/>
      <c r="O2318" s="17">
        <v>3</v>
      </c>
      <c r="P2318" s="17">
        <v>0</v>
      </c>
      <c r="Q2318" s="17">
        <v>1.5</v>
      </c>
      <c r="R2318" s="17" t="s">
        <v>127</v>
      </c>
      <c r="S2318" s="17" t="s">
        <v>263</v>
      </c>
    </row>
    <row r="2319" spans="8:19" ht="34.200000000000003" customHeight="1" x14ac:dyDescent="0.3">
      <c r="H2319" s="17" t="s">
        <v>42</v>
      </c>
      <c r="I2319" s="23" t="s">
        <v>41</v>
      </c>
      <c r="J2319" s="18" t="s">
        <v>308</v>
      </c>
      <c r="K2319" s="24"/>
      <c r="L2319" s="23"/>
      <c r="M2319" s="23"/>
      <c r="N2319" s="25"/>
      <c r="O2319" s="23">
        <v>2</v>
      </c>
      <c r="P2319" s="23">
        <v>0</v>
      </c>
      <c r="Q2319" s="23">
        <v>2</v>
      </c>
      <c r="R2319" s="17" t="s">
        <v>127</v>
      </c>
      <c r="S2319" s="17" t="s">
        <v>263</v>
      </c>
    </row>
    <row r="2320" spans="8:19" ht="31.8" customHeight="1" x14ac:dyDescent="0.3">
      <c r="H2320" s="22" t="s">
        <v>49</v>
      </c>
      <c r="I2320" s="17" t="s">
        <v>14</v>
      </c>
      <c r="J2320" s="18" t="s">
        <v>15</v>
      </c>
      <c r="K2320" s="19" t="s">
        <v>0</v>
      </c>
      <c r="L2320" s="17"/>
      <c r="M2320" s="17"/>
      <c r="N2320" s="20"/>
      <c r="O2320" s="17">
        <v>3</v>
      </c>
      <c r="P2320" s="17">
        <v>3</v>
      </c>
      <c r="Q2320" s="17">
        <v>3</v>
      </c>
      <c r="R2320" s="17" t="s">
        <v>127</v>
      </c>
      <c r="S2320" s="17" t="s">
        <v>263</v>
      </c>
    </row>
    <row r="2321" spans="8:19" ht="31.8" customHeight="1" x14ac:dyDescent="0.3">
      <c r="H2321" s="22" t="s">
        <v>49</v>
      </c>
      <c r="I2321" s="17" t="s">
        <v>14</v>
      </c>
      <c r="J2321" s="18" t="s">
        <v>16</v>
      </c>
      <c r="K2321" s="19" t="s">
        <v>0</v>
      </c>
      <c r="L2321" s="17"/>
      <c r="M2321" s="17"/>
      <c r="N2321" s="20"/>
      <c r="O2321" s="17">
        <v>1</v>
      </c>
      <c r="P2321" s="17">
        <v>1</v>
      </c>
      <c r="Q2321" s="17">
        <v>1</v>
      </c>
      <c r="R2321" s="17" t="s">
        <v>127</v>
      </c>
      <c r="S2321" s="17" t="s">
        <v>263</v>
      </c>
    </row>
    <row r="2322" spans="8:19" ht="31.8" customHeight="1" x14ac:dyDescent="0.3">
      <c r="H2322" s="22" t="s">
        <v>49</v>
      </c>
      <c r="I2322" s="17" t="s">
        <v>10</v>
      </c>
      <c r="J2322" s="18" t="s">
        <v>11</v>
      </c>
      <c r="K2322" s="19" t="s">
        <v>290</v>
      </c>
      <c r="L2322" s="17"/>
      <c r="M2322" s="17">
        <v>4180</v>
      </c>
      <c r="N2322" s="20"/>
      <c r="O2322" s="17">
        <v>3</v>
      </c>
      <c r="P2322" s="17">
        <v>0</v>
      </c>
      <c r="Q2322" s="17">
        <v>3</v>
      </c>
      <c r="R2322" s="17" t="s">
        <v>127</v>
      </c>
      <c r="S2322" s="17" t="s">
        <v>263</v>
      </c>
    </row>
    <row r="2323" spans="8:19" ht="31.8" customHeight="1" x14ac:dyDescent="0.3">
      <c r="H2323" s="22" t="s">
        <v>49</v>
      </c>
      <c r="I2323" s="17" t="s">
        <v>10</v>
      </c>
      <c r="J2323" s="18" t="s">
        <v>316</v>
      </c>
      <c r="K2323" s="19" t="s">
        <v>0</v>
      </c>
      <c r="L2323" s="17"/>
      <c r="M2323" s="17"/>
      <c r="N2323" s="20"/>
      <c r="O2323" s="17">
        <v>3</v>
      </c>
      <c r="P2323" s="17">
        <v>3</v>
      </c>
      <c r="Q2323" s="17">
        <v>3</v>
      </c>
      <c r="R2323" s="17" t="s">
        <v>127</v>
      </c>
      <c r="S2323" s="17" t="s">
        <v>263</v>
      </c>
    </row>
    <row r="2324" spans="8:19" ht="31.8" customHeight="1" x14ac:dyDescent="0.3">
      <c r="H2324" s="22" t="s">
        <v>49</v>
      </c>
      <c r="I2324" s="17" t="s">
        <v>10</v>
      </c>
      <c r="J2324" s="18" t="s">
        <v>319</v>
      </c>
      <c r="K2324" s="19" t="s">
        <v>290</v>
      </c>
      <c r="L2324" s="17"/>
      <c r="M2324" s="17">
        <v>4180</v>
      </c>
      <c r="N2324" s="20"/>
      <c r="O2324" s="17">
        <v>3</v>
      </c>
      <c r="P2324" s="17">
        <v>0</v>
      </c>
      <c r="Q2324" s="17">
        <v>3</v>
      </c>
      <c r="R2324" s="17" t="s">
        <v>127</v>
      </c>
      <c r="S2324" s="17" t="s">
        <v>263</v>
      </c>
    </row>
    <row r="2325" spans="8:19" ht="31.8" customHeight="1" x14ac:dyDescent="0.3">
      <c r="H2325" s="22" t="s">
        <v>49</v>
      </c>
      <c r="I2325" s="17" t="s">
        <v>10</v>
      </c>
      <c r="J2325" s="18" t="s">
        <v>393</v>
      </c>
      <c r="K2325" s="27" t="s">
        <v>0</v>
      </c>
      <c r="L2325" s="17"/>
      <c r="M2325" s="17"/>
      <c r="N2325" s="20"/>
      <c r="O2325" s="17">
        <v>2</v>
      </c>
      <c r="P2325" s="17">
        <v>2</v>
      </c>
      <c r="Q2325" s="17">
        <v>2</v>
      </c>
      <c r="R2325" s="17" t="s">
        <v>127</v>
      </c>
      <c r="S2325" s="17" t="s">
        <v>263</v>
      </c>
    </row>
    <row r="2326" spans="8:19" ht="31.8" customHeight="1" x14ac:dyDescent="0.3">
      <c r="H2326" s="22" t="s">
        <v>49</v>
      </c>
      <c r="I2326" s="17" t="s">
        <v>10</v>
      </c>
      <c r="J2326" s="18" t="s">
        <v>313</v>
      </c>
      <c r="K2326" s="19" t="s">
        <v>290</v>
      </c>
      <c r="L2326" s="17"/>
      <c r="M2326" s="17">
        <v>3089</v>
      </c>
      <c r="N2326" s="20"/>
      <c r="O2326" s="17">
        <v>3</v>
      </c>
      <c r="P2326" s="17">
        <v>3</v>
      </c>
      <c r="Q2326" s="17">
        <v>3</v>
      </c>
      <c r="R2326" s="17" t="s">
        <v>127</v>
      </c>
      <c r="S2326" s="17" t="s">
        <v>263</v>
      </c>
    </row>
    <row r="2327" spans="8:19" ht="31.8" customHeight="1" x14ac:dyDescent="0.3">
      <c r="H2327" s="22" t="s">
        <v>49</v>
      </c>
      <c r="I2327" s="17" t="s">
        <v>12</v>
      </c>
      <c r="J2327" s="18" t="s">
        <v>13</v>
      </c>
      <c r="K2327" s="19" t="s">
        <v>0</v>
      </c>
      <c r="L2327" s="17"/>
      <c r="M2327" s="17"/>
      <c r="N2327" s="20"/>
      <c r="O2327" s="17">
        <v>2</v>
      </c>
      <c r="P2327" s="17">
        <v>0</v>
      </c>
      <c r="Q2327" s="17">
        <v>2</v>
      </c>
      <c r="R2327" s="17" t="s">
        <v>127</v>
      </c>
      <c r="S2327" s="17" t="s">
        <v>263</v>
      </c>
    </row>
    <row r="2328" spans="8:19" ht="31.8" customHeight="1" x14ac:dyDescent="0.3">
      <c r="H2328" s="22" t="s">
        <v>49</v>
      </c>
      <c r="I2328" s="17" t="s">
        <v>17</v>
      </c>
      <c r="J2328" s="18" t="s">
        <v>18</v>
      </c>
      <c r="K2328" s="19" t="s">
        <v>0</v>
      </c>
      <c r="L2328" s="17"/>
      <c r="M2328" s="17"/>
      <c r="N2328" s="20"/>
      <c r="O2328" s="17">
        <v>3</v>
      </c>
      <c r="P2328" s="17">
        <v>3</v>
      </c>
      <c r="Q2328" s="17">
        <v>3</v>
      </c>
      <c r="R2328" s="17" t="s">
        <v>127</v>
      </c>
      <c r="S2328" s="17" t="s">
        <v>263</v>
      </c>
    </row>
    <row r="2329" spans="8:19" ht="31.8" customHeight="1" x14ac:dyDescent="0.3">
      <c r="H2329" s="22" t="s">
        <v>49</v>
      </c>
      <c r="I2329" s="17" t="s">
        <v>17</v>
      </c>
      <c r="J2329" s="18" t="s">
        <v>19</v>
      </c>
      <c r="K2329" s="19" t="s">
        <v>0</v>
      </c>
      <c r="L2329" s="17"/>
      <c r="M2329" s="17"/>
      <c r="N2329" s="20"/>
      <c r="O2329" s="17">
        <v>1</v>
      </c>
      <c r="P2329" s="17">
        <v>1</v>
      </c>
      <c r="Q2329" s="17">
        <v>1</v>
      </c>
      <c r="R2329" s="17" t="s">
        <v>127</v>
      </c>
      <c r="S2329" s="17" t="s">
        <v>263</v>
      </c>
    </row>
    <row r="2330" spans="8:19" ht="31.8" customHeight="1" x14ac:dyDescent="0.3">
      <c r="H2330" s="22" t="s">
        <v>49</v>
      </c>
      <c r="I2330" s="17" t="s">
        <v>20</v>
      </c>
      <c r="J2330" s="18" t="s">
        <v>21</v>
      </c>
      <c r="K2330" s="19" t="s">
        <v>0</v>
      </c>
      <c r="L2330" s="17"/>
      <c r="M2330" s="17"/>
      <c r="N2330" s="20"/>
      <c r="O2330" s="17">
        <v>3</v>
      </c>
      <c r="P2330" s="17">
        <v>3</v>
      </c>
      <c r="Q2330" s="17">
        <v>3</v>
      </c>
      <c r="R2330" s="17" t="s">
        <v>127</v>
      </c>
      <c r="S2330" s="17" t="s">
        <v>263</v>
      </c>
    </row>
    <row r="2331" spans="8:19" ht="31.8" customHeight="1" x14ac:dyDescent="0.3">
      <c r="H2331" s="22" t="s">
        <v>49</v>
      </c>
      <c r="I2331" s="17" t="s">
        <v>20</v>
      </c>
      <c r="J2331" s="18" t="s">
        <v>311</v>
      </c>
      <c r="K2331" s="19" t="s">
        <v>0</v>
      </c>
      <c r="L2331" s="17"/>
      <c r="M2331" s="17"/>
      <c r="N2331" s="20"/>
      <c r="O2331" s="17">
        <v>1</v>
      </c>
      <c r="P2331" s="17">
        <v>1</v>
      </c>
      <c r="Q2331" s="17">
        <v>1</v>
      </c>
      <c r="R2331" s="17" t="s">
        <v>127</v>
      </c>
      <c r="S2331" s="17" t="s">
        <v>263</v>
      </c>
    </row>
    <row r="2332" spans="8:19" ht="31.8" customHeight="1" x14ac:dyDescent="0.3">
      <c r="H2332" s="22" t="s">
        <v>49</v>
      </c>
      <c r="I2332" s="17" t="s">
        <v>22</v>
      </c>
      <c r="J2332" s="18" t="s">
        <v>23</v>
      </c>
      <c r="K2332" s="27" t="s">
        <v>291</v>
      </c>
      <c r="L2332" s="17"/>
      <c r="M2332" s="17">
        <v>8293</v>
      </c>
      <c r="N2332" s="20"/>
      <c r="O2332" s="17">
        <v>1</v>
      </c>
      <c r="P2332" s="17">
        <v>1</v>
      </c>
      <c r="Q2332" s="17">
        <v>1</v>
      </c>
      <c r="R2332" s="17" t="s">
        <v>127</v>
      </c>
      <c r="S2332" s="17" t="s">
        <v>263</v>
      </c>
    </row>
    <row r="2333" spans="8:19" ht="31.8" customHeight="1" x14ac:dyDescent="0.3">
      <c r="H2333" s="22" t="s">
        <v>49</v>
      </c>
      <c r="I2333" s="17" t="s">
        <v>22</v>
      </c>
      <c r="J2333" s="18" t="s">
        <v>322</v>
      </c>
      <c r="K2333" s="27" t="s">
        <v>290</v>
      </c>
      <c r="L2333" s="17"/>
      <c r="M2333" s="17">
        <v>2527</v>
      </c>
      <c r="N2333" s="20"/>
      <c r="O2333" s="17">
        <v>1</v>
      </c>
      <c r="P2333" s="17">
        <v>1</v>
      </c>
      <c r="Q2333" s="17">
        <v>1</v>
      </c>
      <c r="R2333" s="17" t="s">
        <v>127</v>
      </c>
      <c r="S2333" s="17" t="s">
        <v>263</v>
      </c>
    </row>
    <row r="2334" spans="8:19" ht="31.8" customHeight="1" x14ac:dyDescent="0.3">
      <c r="H2334" s="22" t="s">
        <v>49</v>
      </c>
      <c r="I2334" s="17" t="s">
        <v>25</v>
      </c>
      <c r="J2334" s="18" t="s">
        <v>321</v>
      </c>
      <c r="K2334" s="19" t="s">
        <v>0</v>
      </c>
      <c r="L2334" s="17"/>
      <c r="M2334" s="17"/>
      <c r="N2334" s="20"/>
      <c r="O2334" s="17">
        <v>3</v>
      </c>
      <c r="P2334" s="17">
        <v>0</v>
      </c>
      <c r="Q2334" s="17">
        <v>3</v>
      </c>
      <c r="R2334" s="17" t="s">
        <v>127</v>
      </c>
      <c r="S2334" s="17" t="s">
        <v>263</v>
      </c>
    </row>
    <row r="2335" spans="8:19" ht="31.8" customHeight="1" x14ac:dyDescent="0.3">
      <c r="H2335" s="22" t="s">
        <v>49</v>
      </c>
      <c r="I2335" s="17" t="s">
        <v>25</v>
      </c>
      <c r="J2335" s="18" t="s">
        <v>320</v>
      </c>
      <c r="K2335" s="19" t="s">
        <v>0</v>
      </c>
      <c r="L2335" s="17"/>
      <c r="M2335" s="17"/>
      <c r="N2335" s="20"/>
      <c r="O2335" s="17">
        <v>3</v>
      </c>
      <c r="P2335" s="17">
        <v>3</v>
      </c>
      <c r="Q2335" s="17">
        <v>3</v>
      </c>
      <c r="R2335" s="17" t="s">
        <v>127</v>
      </c>
      <c r="S2335" s="17" t="s">
        <v>263</v>
      </c>
    </row>
    <row r="2336" spans="8:19" ht="31.8" customHeight="1" x14ac:dyDescent="0.3">
      <c r="H2336" s="22" t="s">
        <v>49</v>
      </c>
      <c r="I2336" s="17" t="s">
        <v>30</v>
      </c>
      <c r="J2336" s="18" t="s">
        <v>315</v>
      </c>
      <c r="K2336" s="19" t="s">
        <v>0</v>
      </c>
      <c r="L2336" s="17"/>
      <c r="M2336" s="17"/>
      <c r="N2336" s="20"/>
      <c r="O2336" s="17">
        <v>3</v>
      </c>
      <c r="P2336" s="17">
        <v>3</v>
      </c>
      <c r="Q2336" s="17">
        <v>3</v>
      </c>
      <c r="R2336" s="17" t="s">
        <v>127</v>
      </c>
      <c r="S2336" s="17" t="s">
        <v>263</v>
      </c>
    </row>
    <row r="2337" spans="8:19" ht="31.8" customHeight="1" x14ac:dyDescent="0.3">
      <c r="H2337" s="22" t="s">
        <v>49</v>
      </c>
      <c r="I2337" s="17" t="s">
        <v>25</v>
      </c>
      <c r="J2337" s="18" t="s">
        <v>312</v>
      </c>
      <c r="K2337" s="19" t="s">
        <v>0</v>
      </c>
      <c r="L2337" s="17"/>
      <c r="M2337" s="17"/>
      <c r="N2337" s="20"/>
      <c r="O2337" s="17">
        <v>3</v>
      </c>
      <c r="P2337" s="17">
        <v>3</v>
      </c>
      <c r="Q2337" s="17">
        <v>3</v>
      </c>
      <c r="R2337" s="17" t="s">
        <v>127</v>
      </c>
      <c r="S2337" s="17" t="s">
        <v>263</v>
      </c>
    </row>
    <row r="2338" spans="8:19" ht="31.8" customHeight="1" x14ac:dyDescent="0.3">
      <c r="H2338" s="22" t="s">
        <v>49</v>
      </c>
      <c r="I2338" s="17" t="s">
        <v>41</v>
      </c>
      <c r="J2338" s="18" t="s">
        <v>307</v>
      </c>
      <c r="K2338" s="19" t="s">
        <v>0</v>
      </c>
      <c r="L2338" s="17"/>
      <c r="M2338" s="17"/>
      <c r="N2338" s="20"/>
      <c r="O2338" s="17">
        <v>3</v>
      </c>
      <c r="P2338" s="17">
        <v>0</v>
      </c>
      <c r="Q2338" s="17">
        <v>1.5</v>
      </c>
      <c r="R2338" s="17" t="s">
        <v>127</v>
      </c>
      <c r="S2338" s="17" t="s">
        <v>263</v>
      </c>
    </row>
    <row r="2339" spans="8:19" ht="31.8" customHeight="1" x14ac:dyDescent="0.3">
      <c r="H2339" s="22" t="s">
        <v>49</v>
      </c>
      <c r="I2339" s="23" t="s">
        <v>41</v>
      </c>
      <c r="J2339" s="18" t="s">
        <v>308</v>
      </c>
      <c r="K2339" s="24" t="s">
        <v>290</v>
      </c>
      <c r="L2339" s="23"/>
      <c r="M2339" s="23">
        <v>8115</v>
      </c>
      <c r="N2339" s="25"/>
      <c r="O2339" s="23">
        <v>2</v>
      </c>
      <c r="P2339" s="23">
        <v>0</v>
      </c>
      <c r="Q2339" s="17">
        <v>2</v>
      </c>
      <c r="R2339" s="17" t="s">
        <v>127</v>
      </c>
      <c r="S2339" s="17" t="s">
        <v>263</v>
      </c>
    </row>
    <row r="2340" spans="8:19" ht="31.8" customHeight="1" x14ac:dyDescent="0.3">
      <c r="H2340" s="22" t="s">
        <v>54</v>
      </c>
      <c r="I2340" s="17" t="s">
        <v>14</v>
      </c>
      <c r="J2340" s="18" t="s">
        <v>15</v>
      </c>
      <c r="K2340" s="19"/>
      <c r="L2340" s="17"/>
      <c r="M2340" s="17"/>
      <c r="N2340" s="20"/>
      <c r="O2340" s="17">
        <v>3</v>
      </c>
      <c r="P2340" s="17">
        <v>3</v>
      </c>
      <c r="Q2340" s="17">
        <v>3</v>
      </c>
      <c r="R2340" s="17" t="s">
        <v>127</v>
      </c>
      <c r="S2340" s="17" t="s">
        <v>263</v>
      </c>
    </row>
    <row r="2341" spans="8:19" ht="31.8" customHeight="1" x14ac:dyDescent="0.3">
      <c r="H2341" s="22" t="s">
        <v>54</v>
      </c>
      <c r="I2341" s="17" t="s">
        <v>14</v>
      </c>
      <c r="J2341" s="18" t="s">
        <v>16</v>
      </c>
      <c r="K2341" s="19"/>
      <c r="L2341" s="17"/>
      <c r="M2341" s="17"/>
      <c r="N2341" s="20"/>
      <c r="O2341" s="17">
        <v>1</v>
      </c>
      <c r="P2341" s="17">
        <v>1</v>
      </c>
      <c r="Q2341" s="17">
        <v>1</v>
      </c>
      <c r="R2341" s="17" t="s">
        <v>127</v>
      </c>
      <c r="S2341" s="17" t="s">
        <v>263</v>
      </c>
    </row>
    <row r="2342" spans="8:19" ht="31.8" customHeight="1" x14ac:dyDescent="0.3">
      <c r="H2342" s="22" t="s">
        <v>54</v>
      </c>
      <c r="I2342" s="17" t="s">
        <v>10</v>
      </c>
      <c r="J2342" s="18" t="s">
        <v>11</v>
      </c>
      <c r="K2342" s="19"/>
      <c r="L2342" s="17"/>
      <c r="M2342" s="17"/>
      <c r="N2342" s="20"/>
      <c r="O2342" s="17">
        <v>3</v>
      </c>
      <c r="P2342" s="17">
        <v>0</v>
      </c>
      <c r="Q2342" s="17">
        <v>3</v>
      </c>
      <c r="R2342" s="17" t="s">
        <v>127</v>
      </c>
      <c r="S2342" s="17" t="s">
        <v>263</v>
      </c>
    </row>
    <row r="2343" spans="8:19" ht="31.8" customHeight="1" x14ac:dyDescent="0.3">
      <c r="H2343" s="22" t="s">
        <v>54</v>
      </c>
      <c r="I2343" s="17" t="s">
        <v>10</v>
      </c>
      <c r="J2343" s="18" t="s">
        <v>316</v>
      </c>
      <c r="K2343" s="19"/>
      <c r="L2343" s="17"/>
      <c r="M2343" s="17"/>
      <c r="N2343" s="20"/>
      <c r="O2343" s="17">
        <v>3</v>
      </c>
      <c r="P2343" s="17">
        <v>3</v>
      </c>
      <c r="Q2343" s="17">
        <v>3</v>
      </c>
      <c r="R2343" s="17" t="s">
        <v>127</v>
      </c>
      <c r="S2343" s="17" t="s">
        <v>263</v>
      </c>
    </row>
    <row r="2344" spans="8:19" ht="31.8" customHeight="1" x14ac:dyDescent="0.3">
      <c r="H2344" s="22" t="s">
        <v>54</v>
      </c>
      <c r="I2344" s="17" t="s">
        <v>10</v>
      </c>
      <c r="J2344" s="18" t="s">
        <v>319</v>
      </c>
      <c r="K2344" s="19"/>
      <c r="L2344" s="17"/>
      <c r="M2344" s="17"/>
      <c r="N2344" s="20"/>
      <c r="O2344" s="17">
        <v>3</v>
      </c>
      <c r="P2344" s="17">
        <v>0</v>
      </c>
      <c r="Q2344" s="17">
        <v>3</v>
      </c>
      <c r="R2344" s="17" t="s">
        <v>127</v>
      </c>
      <c r="S2344" s="17" t="s">
        <v>263</v>
      </c>
    </row>
    <row r="2345" spans="8:19" ht="31.8" customHeight="1" x14ac:dyDescent="0.3">
      <c r="H2345" s="22" t="s">
        <v>54</v>
      </c>
      <c r="I2345" s="17" t="s">
        <v>10</v>
      </c>
      <c r="J2345" s="18" t="s">
        <v>393</v>
      </c>
      <c r="K2345" s="27"/>
      <c r="L2345" s="17"/>
      <c r="M2345" s="17"/>
      <c r="N2345" s="20"/>
      <c r="O2345" s="17">
        <v>2</v>
      </c>
      <c r="P2345" s="17">
        <v>2</v>
      </c>
      <c r="Q2345" s="17">
        <v>2</v>
      </c>
      <c r="R2345" s="17" t="s">
        <v>127</v>
      </c>
      <c r="S2345" s="17" t="s">
        <v>263</v>
      </c>
    </row>
    <row r="2346" spans="8:19" ht="31.8" customHeight="1" x14ac:dyDescent="0.3">
      <c r="H2346" s="22" t="s">
        <v>54</v>
      </c>
      <c r="I2346" s="17" t="s">
        <v>10</v>
      </c>
      <c r="J2346" s="18" t="s">
        <v>313</v>
      </c>
      <c r="K2346" s="19"/>
      <c r="L2346" s="17"/>
      <c r="M2346" s="17"/>
      <c r="N2346" s="20"/>
      <c r="O2346" s="17">
        <v>3</v>
      </c>
      <c r="P2346" s="17">
        <v>3</v>
      </c>
      <c r="Q2346" s="17">
        <v>3</v>
      </c>
      <c r="R2346" s="17" t="s">
        <v>127</v>
      </c>
      <c r="S2346" s="17" t="s">
        <v>263</v>
      </c>
    </row>
    <row r="2347" spans="8:19" ht="31.8" customHeight="1" x14ac:dyDescent="0.3">
      <c r="H2347" s="22" t="s">
        <v>54</v>
      </c>
      <c r="I2347" s="17" t="s">
        <v>12</v>
      </c>
      <c r="J2347" s="18" t="s">
        <v>13</v>
      </c>
      <c r="K2347" s="19"/>
      <c r="L2347" s="17"/>
      <c r="M2347" s="17"/>
      <c r="N2347" s="20"/>
      <c r="O2347" s="17">
        <v>2</v>
      </c>
      <c r="P2347" s="17">
        <v>0</v>
      </c>
      <c r="Q2347" s="17">
        <v>2</v>
      </c>
      <c r="R2347" s="17" t="s">
        <v>127</v>
      </c>
      <c r="S2347" s="17" t="s">
        <v>263</v>
      </c>
    </row>
    <row r="2348" spans="8:19" ht="31.8" customHeight="1" x14ac:dyDescent="0.3">
      <c r="H2348" s="22" t="s">
        <v>54</v>
      </c>
      <c r="I2348" s="17" t="s">
        <v>17</v>
      </c>
      <c r="J2348" s="18" t="s">
        <v>18</v>
      </c>
      <c r="K2348" s="19"/>
      <c r="L2348" s="17"/>
      <c r="M2348" s="17"/>
      <c r="N2348" s="20"/>
      <c r="O2348" s="17">
        <v>3</v>
      </c>
      <c r="P2348" s="17">
        <v>3</v>
      </c>
      <c r="Q2348" s="17">
        <v>3</v>
      </c>
      <c r="R2348" s="17" t="s">
        <v>127</v>
      </c>
      <c r="S2348" s="17" t="s">
        <v>263</v>
      </c>
    </row>
    <row r="2349" spans="8:19" ht="31.8" customHeight="1" x14ac:dyDescent="0.3">
      <c r="H2349" s="22" t="s">
        <v>54</v>
      </c>
      <c r="I2349" s="17" t="s">
        <v>17</v>
      </c>
      <c r="J2349" s="18" t="s">
        <v>19</v>
      </c>
      <c r="K2349" s="19"/>
      <c r="L2349" s="17"/>
      <c r="M2349" s="17"/>
      <c r="N2349" s="20"/>
      <c r="O2349" s="17">
        <v>1</v>
      </c>
      <c r="P2349" s="17">
        <v>1</v>
      </c>
      <c r="Q2349" s="17">
        <v>1</v>
      </c>
      <c r="R2349" s="17" t="s">
        <v>127</v>
      </c>
      <c r="S2349" s="17" t="s">
        <v>263</v>
      </c>
    </row>
    <row r="2350" spans="8:19" ht="31.8" customHeight="1" x14ac:dyDescent="0.3">
      <c r="H2350" s="22" t="s">
        <v>54</v>
      </c>
      <c r="I2350" s="17" t="s">
        <v>20</v>
      </c>
      <c r="J2350" s="18" t="s">
        <v>21</v>
      </c>
      <c r="K2350" s="19"/>
      <c r="L2350" s="17"/>
      <c r="M2350" s="17"/>
      <c r="N2350" s="20"/>
      <c r="O2350" s="17">
        <v>3</v>
      </c>
      <c r="P2350" s="17">
        <v>3</v>
      </c>
      <c r="Q2350" s="17">
        <v>3</v>
      </c>
      <c r="R2350" s="17" t="s">
        <v>127</v>
      </c>
      <c r="S2350" s="17" t="s">
        <v>263</v>
      </c>
    </row>
    <row r="2351" spans="8:19" ht="31.8" customHeight="1" x14ac:dyDescent="0.3">
      <c r="H2351" s="22" t="s">
        <v>54</v>
      </c>
      <c r="I2351" s="17" t="s">
        <v>20</v>
      </c>
      <c r="J2351" s="18" t="s">
        <v>311</v>
      </c>
      <c r="K2351" s="19"/>
      <c r="L2351" s="17"/>
      <c r="M2351" s="17"/>
      <c r="N2351" s="20"/>
      <c r="O2351" s="17">
        <v>1</v>
      </c>
      <c r="P2351" s="17">
        <v>1</v>
      </c>
      <c r="Q2351" s="17">
        <v>1</v>
      </c>
      <c r="R2351" s="17" t="s">
        <v>127</v>
      </c>
      <c r="S2351" s="17" t="s">
        <v>263</v>
      </c>
    </row>
    <row r="2352" spans="8:19" ht="31.8" customHeight="1" x14ac:dyDescent="0.3">
      <c r="H2352" s="22" t="s">
        <v>54</v>
      </c>
      <c r="I2352" s="17" t="s">
        <v>22</v>
      </c>
      <c r="J2352" s="18" t="s">
        <v>23</v>
      </c>
      <c r="K2352" s="27"/>
      <c r="L2352" s="17"/>
      <c r="M2352" s="17"/>
      <c r="N2352" s="20"/>
      <c r="O2352" s="17">
        <v>1</v>
      </c>
      <c r="P2352" s="17">
        <v>1</v>
      </c>
      <c r="Q2352" s="17">
        <v>1</v>
      </c>
      <c r="R2352" s="17" t="s">
        <v>127</v>
      </c>
      <c r="S2352" s="17" t="s">
        <v>263</v>
      </c>
    </row>
    <row r="2353" spans="8:19" ht="31.8" customHeight="1" x14ac:dyDescent="0.3">
      <c r="H2353" s="22" t="s">
        <v>54</v>
      </c>
      <c r="I2353" s="17" t="s">
        <v>22</v>
      </c>
      <c r="J2353" s="18" t="s">
        <v>322</v>
      </c>
      <c r="K2353" s="27"/>
      <c r="L2353" s="17"/>
      <c r="M2353" s="17"/>
      <c r="N2353" s="20"/>
      <c r="O2353" s="17">
        <v>1</v>
      </c>
      <c r="P2353" s="17">
        <v>1</v>
      </c>
      <c r="Q2353" s="17">
        <v>1</v>
      </c>
      <c r="R2353" s="17" t="s">
        <v>127</v>
      </c>
      <c r="S2353" s="17" t="s">
        <v>263</v>
      </c>
    </row>
    <row r="2354" spans="8:19" ht="31.8" customHeight="1" x14ac:dyDescent="0.3">
      <c r="H2354" s="22" t="s">
        <v>54</v>
      </c>
      <c r="I2354" s="17" t="s">
        <v>25</v>
      </c>
      <c r="J2354" s="18" t="s">
        <v>321</v>
      </c>
      <c r="K2354" s="19"/>
      <c r="L2354" s="17"/>
      <c r="M2354" s="17"/>
      <c r="N2354" s="20"/>
      <c r="O2354" s="17">
        <v>3</v>
      </c>
      <c r="P2354" s="17">
        <v>0</v>
      </c>
      <c r="Q2354" s="17">
        <v>3</v>
      </c>
      <c r="R2354" s="17" t="s">
        <v>127</v>
      </c>
      <c r="S2354" s="17" t="s">
        <v>263</v>
      </c>
    </row>
    <row r="2355" spans="8:19" ht="31.8" customHeight="1" x14ac:dyDescent="0.3">
      <c r="H2355" s="22" t="s">
        <v>54</v>
      </c>
      <c r="I2355" s="17" t="s">
        <v>25</v>
      </c>
      <c r="J2355" s="18" t="s">
        <v>320</v>
      </c>
      <c r="K2355" s="19"/>
      <c r="L2355" s="17"/>
      <c r="M2355" s="17"/>
      <c r="N2355" s="20"/>
      <c r="O2355" s="17">
        <v>3</v>
      </c>
      <c r="P2355" s="17">
        <v>3</v>
      </c>
      <c r="Q2355" s="17">
        <v>3</v>
      </c>
      <c r="R2355" s="17" t="s">
        <v>127</v>
      </c>
      <c r="S2355" s="17" t="s">
        <v>263</v>
      </c>
    </row>
    <row r="2356" spans="8:19" ht="31.8" customHeight="1" x14ac:dyDescent="0.3">
      <c r="H2356" s="22" t="s">
        <v>54</v>
      </c>
      <c r="I2356" s="17" t="s">
        <v>30</v>
      </c>
      <c r="J2356" s="18" t="s">
        <v>315</v>
      </c>
      <c r="K2356" s="19"/>
      <c r="L2356" s="17"/>
      <c r="M2356" s="17"/>
      <c r="N2356" s="20"/>
      <c r="O2356" s="17">
        <v>3</v>
      </c>
      <c r="P2356" s="17">
        <v>3</v>
      </c>
      <c r="Q2356" s="17">
        <v>3</v>
      </c>
      <c r="R2356" s="17" t="s">
        <v>127</v>
      </c>
      <c r="S2356" s="17" t="s">
        <v>263</v>
      </c>
    </row>
    <row r="2357" spans="8:19" ht="31.8" customHeight="1" x14ac:dyDescent="0.3">
      <c r="H2357" s="22" t="s">
        <v>54</v>
      </c>
      <c r="I2357" s="17" t="s">
        <v>25</v>
      </c>
      <c r="J2357" s="18" t="s">
        <v>312</v>
      </c>
      <c r="K2357" s="19"/>
      <c r="L2357" s="17"/>
      <c r="M2357" s="17"/>
      <c r="N2357" s="20"/>
      <c r="O2357" s="17">
        <v>3</v>
      </c>
      <c r="P2357" s="17">
        <v>3</v>
      </c>
      <c r="Q2357" s="17">
        <v>3</v>
      </c>
      <c r="R2357" s="17" t="s">
        <v>127</v>
      </c>
      <c r="S2357" s="17" t="s">
        <v>263</v>
      </c>
    </row>
    <row r="2358" spans="8:19" ht="31.8" customHeight="1" x14ac:dyDescent="0.3">
      <c r="H2358" s="22" t="s">
        <v>54</v>
      </c>
      <c r="I2358" s="17" t="s">
        <v>41</v>
      </c>
      <c r="J2358" s="18" t="s">
        <v>307</v>
      </c>
      <c r="K2358" s="19"/>
      <c r="L2358" s="17"/>
      <c r="M2358" s="17"/>
      <c r="N2358" s="20"/>
      <c r="O2358" s="17">
        <v>3</v>
      </c>
      <c r="P2358" s="17">
        <v>0</v>
      </c>
      <c r="Q2358" s="17">
        <v>1.5</v>
      </c>
      <c r="R2358" s="17" t="s">
        <v>127</v>
      </c>
      <c r="S2358" s="17" t="s">
        <v>263</v>
      </c>
    </row>
    <row r="2359" spans="8:19" ht="31.8" customHeight="1" x14ac:dyDescent="0.3">
      <c r="H2359" s="22" t="s">
        <v>54</v>
      </c>
      <c r="I2359" s="23" t="s">
        <v>41</v>
      </c>
      <c r="J2359" s="18" t="s">
        <v>308</v>
      </c>
      <c r="K2359" s="24"/>
      <c r="L2359" s="23"/>
      <c r="M2359" s="23"/>
      <c r="N2359" s="25"/>
      <c r="O2359" s="23">
        <v>2</v>
      </c>
      <c r="P2359" s="23">
        <v>0</v>
      </c>
      <c r="Q2359" s="17">
        <v>2</v>
      </c>
      <c r="R2359" s="17" t="s">
        <v>127</v>
      </c>
      <c r="S2359" s="17" t="s">
        <v>263</v>
      </c>
    </row>
    <row r="2360" spans="8:19" ht="31.8" customHeight="1" x14ac:dyDescent="0.3">
      <c r="H2360" s="22" t="s">
        <v>56</v>
      </c>
      <c r="I2360" s="17" t="s">
        <v>14</v>
      </c>
      <c r="J2360" s="18" t="s">
        <v>15</v>
      </c>
      <c r="K2360" s="19"/>
      <c r="L2360" s="17"/>
      <c r="M2360" s="17"/>
      <c r="N2360" s="20"/>
      <c r="O2360" s="17">
        <v>3</v>
      </c>
      <c r="P2360" s="17">
        <v>3</v>
      </c>
      <c r="Q2360" s="17">
        <v>3</v>
      </c>
      <c r="R2360" s="17" t="s">
        <v>127</v>
      </c>
      <c r="S2360" s="17" t="s">
        <v>263</v>
      </c>
    </row>
    <row r="2361" spans="8:19" ht="31.8" customHeight="1" x14ac:dyDescent="0.3">
      <c r="H2361" s="22" t="s">
        <v>56</v>
      </c>
      <c r="I2361" s="17" t="s">
        <v>14</v>
      </c>
      <c r="J2361" s="18" t="s">
        <v>16</v>
      </c>
      <c r="K2361" s="19"/>
      <c r="L2361" s="17"/>
      <c r="M2361" s="17"/>
      <c r="N2361" s="20"/>
      <c r="O2361" s="17">
        <v>1</v>
      </c>
      <c r="P2361" s="17">
        <v>1</v>
      </c>
      <c r="Q2361" s="17">
        <v>1</v>
      </c>
      <c r="R2361" s="17" t="s">
        <v>127</v>
      </c>
      <c r="S2361" s="17" t="s">
        <v>263</v>
      </c>
    </row>
    <row r="2362" spans="8:19" ht="31.8" customHeight="1" x14ac:dyDescent="0.3">
      <c r="H2362" s="22" t="s">
        <v>56</v>
      </c>
      <c r="I2362" s="17" t="s">
        <v>10</v>
      </c>
      <c r="J2362" s="18" t="s">
        <v>11</v>
      </c>
      <c r="K2362" s="19"/>
      <c r="L2362" s="17"/>
      <c r="M2362" s="17"/>
      <c r="N2362" s="20"/>
      <c r="O2362" s="17">
        <v>3</v>
      </c>
      <c r="P2362" s="17">
        <v>0</v>
      </c>
      <c r="Q2362" s="17">
        <v>3</v>
      </c>
      <c r="R2362" s="17" t="s">
        <v>127</v>
      </c>
      <c r="S2362" s="17" t="s">
        <v>263</v>
      </c>
    </row>
    <row r="2363" spans="8:19" ht="31.8" customHeight="1" x14ac:dyDescent="0.3">
      <c r="H2363" s="22" t="s">
        <v>56</v>
      </c>
      <c r="I2363" s="17" t="s">
        <v>10</v>
      </c>
      <c r="J2363" s="18" t="s">
        <v>316</v>
      </c>
      <c r="K2363" s="19"/>
      <c r="L2363" s="17"/>
      <c r="M2363" s="17"/>
      <c r="N2363" s="20"/>
      <c r="O2363" s="17">
        <v>3</v>
      </c>
      <c r="P2363" s="17">
        <v>3</v>
      </c>
      <c r="Q2363" s="17">
        <v>3</v>
      </c>
      <c r="R2363" s="17" t="s">
        <v>127</v>
      </c>
      <c r="S2363" s="17" t="s">
        <v>263</v>
      </c>
    </row>
    <row r="2364" spans="8:19" ht="31.8" customHeight="1" x14ac:dyDescent="0.3">
      <c r="H2364" s="22" t="s">
        <v>56</v>
      </c>
      <c r="I2364" s="17" t="s">
        <v>10</v>
      </c>
      <c r="J2364" s="18" t="s">
        <v>319</v>
      </c>
      <c r="K2364" s="19"/>
      <c r="L2364" s="17"/>
      <c r="M2364" s="17"/>
      <c r="N2364" s="20"/>
      <c r="O2364" s="17">
        <v>3</v>
      </c>
      <c r="P2364" s="17">
        <v>0</v>
      </c>
      <c r="Q2364" s="17">
        <v>3</v>
      </c>
      <c r="R2364" s="17" t="s">
        <v>127</v>
      </c>
      <c r="S2364" s="17" t="s">
        <v>263</v>
      </c>
    </row>
    <row r="2365" spans="8:19" ht="31.8" customHeight="1" x14ac:dyDescent="0.3">
      <c r="H2365" s="22" t="s">
        <v>56</v>
      </c>
      <c r="I2365" s="17" t="s">
        <v>10</v>
      </c>
      <c r="J2365" s="18" t="s">
        <v>393</v>
      </c>
      <c r="K2365" s="27"/>
      <c r="L2365" s="17"/>
      <c r="M2365" s="17"/>
      <c r="N2365" s="20"/>
      <c r="O2365" s="17">
        <v>2</v>
      </c>
      <c r="P2365" s="17">
        <v>2</v>
      </c>
      <c r="Q2365" s="17">
        <v>2</v>
      </c>
      <c r="R2365" s="17" t="s">
        <v>127</v>
      </c>
      <c r="S2365" s="17" t="s">
        <v>263</v>
      </c>
    </row>
    <row r="2366" spans="8:19" ht="31.8" customHeight="1" x14ac:dyDescent="0.3">
      <c r="H2366" s="22" t="s">
        <v>56</v>
      </c>
      <c r="I2366" s="17" t="s">
        <v>10</v>
      </c>
      <c r="J2366" s="18" t="s">
        <v>313</v>
      </c>
      <c r="K2366" s="19"/>
      <c r="L2366" s="17"/>
      <c r="M2366" s="17"/>
      <c r="N2366" s="20"/>
      <c r="O2366" s="17">
        <v>3</v>
      </c>
      <c r="P2366" s="17">
        <v>3</v>
      </c>
      <c r="Q2366" s="17">
        <v>3</v>
      </c>
      <c r="R2366" s="17" t="s">
        <v>127</v>
      </c>
      <c r="S2366" s="17" t="s">
        <v>263</v>
      </c>
    </row>
    <row r="2367" spans="8:19" ht="31.8" customHeight="1" x14ac:dyDescent="0.3">
      <c r="H2367" s="22" t="s">
        <v>56</v>
      </c>
      <c r="I2367" s="17" t="s">
        <v>12</v>
      </c>
      <c r="J2367" s="18" t="s">
        <v>13</v>
      </c>
      <c r="K2367" s="19"/>
      <c r="L2367" s="17"/>
      <c r="M2367" s="17"/>
      <c r="N2367" s="20"/>
      <c r="O2367" s="17">
        <v>2</v>
      </c>
      <c r="P2367" s="17">
        <v>0</v>
      </c>
      <c r="Q2367" s="17">
        <v>2</v>
      </c>
      <c r="R2367" s="17" t="s">
        <v>127</v>
      </c>
      <c r="S2367" s="17" t="s">
        <v>263</v>
      </c>
    </row>
    <row r="2368" spans="8:19" ht="31.8" customHeight="1" x14ac:dyDescent="0.3">
      <c r="H2368" s="22" t="s">
        <v>56</v>
      </c>
      <c r="I2368" s="17" t="s">
        <v>17</v>
      </c>
      <c r="J2368" s="18" t="s">
        <v>18</v>
      </c>
      <c r="K2368" s="19"/>
      <c r="L2368" s="17"/>
      <c r="M2368" s="17"/>
      <c r="N2368" s="20"/>
      <c r="O2368" s="17">
        <v>3</v>
      </c>
      <c r="P2368" s="17">
        <v>3</v>
      </c>
      <c r="Q2368" s="17">
        <v>3</v>
      </c>
      <c r="R2368" s="17" t="s">
        <v>127</v>
      </c>
      <c r="S2368" s="17" t="s">
        <v>263</v>
      </c>
    </row>
    <row r="2369" spans="8:19" ht="31.8" customHeight="1" x14ac:dyDescent="0.3">
      <c r="H2369" s="22" t="s">
        <v>56</v>
      </c>
      <c r="I2369" s="17" t="s">
        <v>17</v>
      </c>
      <c r="J2369" s="18" t="s">
        <v>19</v>
      </c>
      <c r="K2369" s="19"/>
      <c r="L2369" s="17"/>
      <c r="M2369" s="17"/>
      <c r="N2369" s="20"/>
      <c r="O2369" s="17">
        <v>1</v>
      </c>
      <c r="P2369" s="17">
        <v>1</v>
      </c>
      <c r="Q2369" s="17">
        <v>1</v>
      </c>
      <c r="R2369" s="17" t="s">
        <v>127</v>
      </c>
      <c r="S2369" s="17" t="s">
        <v>263</v>
      </c>
    </row>
    <row r="2370" spans="8:19" ht="31.8" customHeight="1" x14ac:dyDescent="0.3">
      <c r="H2370" s="22" t="s">
        <v>56</v>
      </c>
      <c r="I2370" s="17" t="s">
        <v>20</v>
      </c>
      <c r="J2370" s="18" t="s">
        <v>21</v>
      </c>
      <c r="K2370" s="19"/>
      <c r="L2370" s="17"/>
      <c r="M2370" s="17"/>
      <c r="N2370" s="20"/>
      <c r="O2370" s="17">
        <v>3</v>
      </c>
      <c r="P2370" s="17">
        <v>3</v>
      </c>
      <c r="Q2370" s="17">
        <v>3</v>
      </c>
      <c r="R2370" s="17" t="s">
        <v>127</v>
      </c>
      <c r="S2370" s="17" t="s">
        <v>263</v>
      </c>
    </row>
    <row r="2371" spans="8:19" ht="31.8" customHeight="1" x14ac:dyDescent="0.3">
      <c r="H2371" s="22" t="s">
        <v>56</v>
      </c>
      <c r="I2371" s="17" t="s">
        <v>20</v>
      </c>
      <c r="J2371" s="18" t="s">
        <v>311</v>
      </c>
      <c r="K2371" s="19"/>
      <c r="L2371" s="17"/>
      <c r="M2371" s="17"/>
      <c r="N2371" s="20"/>
      <c r="O2371" s="17">
        <v>1</v>
      </c>
      <c r="P2371" s="17">
        <v>1</v>
      </c>
      <c r="Q2371" s="17">
        <v>1</v>
      </c>
      <c r="R2371" s="17" t="s">
        <v>127</v>
      </c>
      <c r="S2371" s="17" t="s">
        <v>263</v>
      </c>
    </row>
    <row r="2372" spans="8:19" ht="31.8" customHeight="1" x14ac:dyDescent="0.3">
      <c r="H2372" s="22" t="s">
        <v>56</v>
      </c>
      <c r="I2372" s="17" t="s">
        <v>22</v>
      </c>
      <c r="J2372" s="18" t="s">
        <v>23</v>
      </c>
      <c r="K2372" s="27"/>
      <c r="L2372" s="17"/>
      <c r="M2372" s="17"/>
      <c r="N2372" s="20"/>
      <c r="O2372" s="17">
        <v>1</v>
      </c>
      <c r="P2372" s="17">
        <v>1</v>
      </c>
      <c r="Q2372" s="17">
        <v>1</v>
      </c>
      <c r="R2372" s="17" t="s">
        <v>127</v>
      </c>
      <c r="S2372" s="17" t="s">
        <v>263</v>
      </c>
    </row>
    <row r="2373" spans="8:19" ht="31.8" customHeight="1" x14ac:dyDescent="0.3">
      <c r="H2373" s="22" t="s">
        <v>56</v>
      </c>
      <c r="I2373" s="17" t="s">
        <v>22</v>
      </c>
      <c r="J2373" s="18" t="s">
        <v>322</v>
      </c>
      <c r="K2373" s="27"/>
      <c r="L2373" s="17"/>
      <c r="M2373" s="17"/>
      <c r="N2373" s="20"/>
      <c r="O2373" s="17">
        <v>1</v>
      </c>
      <c r="P2373" s="17">
        <v>1</v>
      </c>
      <c r="Q2373" s="17">
        <v>1</v>
      </c>
      <c r="R2373" s="17" t="s">
        <v>127</v>
      </c>
      <c r="S2373" s="17" t="s">
        <v>263</v>
      </c>
    </row>
    <row r="2374" spans="8:19" ht="31.8" customHeight="1" x14ac:dyDescent="0.3">
      <c r="H2374" s="22" t="s">
        <v>56</v>
      </c>
      <c r="I2374" s="17" t="s">
        <v>25</v>
      </c>
      <c r="J2374" s="18" t="s">
        <v>321</v>
      </c>
      <c r="K2374" s="19"/>
      <c r="L2374" s="17"/>
      <c r="M2374" s="17"/>
      <c r="N2374" s="20"/>
      <c r="O2374" s="17">
        <v>3</v>
      </c>
      <c r="P2374" s="17">
        <v>0</v>
      </c>
      <c r="Q2374" s="17">
        <v>3</v>
      </c>
      <c r="R2374" s="17" t="s">
        <v>127</v>
      </c>
      <c r="S2374" s="17" t="s">
        <v>263</v>
      </c>
    </row>
    <row r="2375" spans="8:19" ht="31.8" customHeight="1" x14ac:dyDescent="0.3">
      <c r="H2375" s="22" t="s">
        <v>56</v>
      </c>
      <c r="I2375" s="17" t="s">
        <v>25</v>
      </c>
      <c r="J2375" s="18" t="s">
        <v>320</v>
      </c>
      <c r="K2375" s="19"/>
      <c r="L2375" s="17"/>
      <c r="M2375" s="17"/>
      <c r="N2375" s="20"/>
      <c r="O2375" s="17">
        <v>3</v>
      </c>
      <c r="P2375" s="17">
        <v>3</v>
      </c>
      <c r="Q2375" s="17">
        <v>3</v>
      </c>
      <c r="R2375" s="17" t="s">
        <v>127</v>
      </c>
      <c r="S2375" s="17" t="s">
        <v>263</v>
      </c>
    </row>
    <row r="2376" spans="8:19" ht="31.8" customHeight="1" x14ac:dyDescent="0.3">
      <c r="H2376" s="22" t="s">
        <v>56</v>
      </c>
      <c r="I2376" s="17" t="s">
        <v>30</v>
      </c>
      <c r="J2376" s="18" t="s">
        <v>315</v>
      </c>
      <c r="K2376" s="19"/>
      <c r="L2376" s="17"/>
      <c r="M2376" s="17"/>
      <c r="N2376" s="20"/>
      <c r="O2376" s="17">
        <v>3</v>
      </c>
      <c r="P2376" s="17">
        <v>3</v>
      </c>
      <c r="Q2376" s="17">
        <v>3</v>
      </c>
      <c r="R2376" s="17" t="s">
        <v>127</v>
      </c>
      <c r="S2376" s="17" t="s">
        <v>263</v>
      </c>
    </row>
    <row r="2377" spans="8:19" ht="31.8" customHeight="1" x14ac:dyDescent="0.3">
      <c r="H2377" s="22" t="s">
        <v>56</v>
      </c>
      <c r="I2377" s="17" t="s">
        <v>25</v>
      </c>
      <c r="J2377" s="18" t="s">
        <v>312</v>
      </c>
      <c r="K2377" s="19"/>
      <c r="L2377" s="17"/>
      <c r="M2377" s="17"/>
      <c r="N2377" s="20"/>
      <c r="O2377" s="17">
        <v>3</v>
      </c>
      <c r="P2377" s="17">
        <v>3</v>
      </c>
      <c r="Q2377" s="17">
        <v>3</v>
      </c>
      <c r="R2377" s="17" t="s">
        <v>127</v>
      </c>
      <c r="S2377" s="17" t="s">
        <v>263</v>
      </c>
    </row>
    <row r="2378" spans="8:19" ht="31.8" customHeight="1" x14ac:dyDescent="0.3">
      <c r="H2378" s="22" t="s">
        <v>56</v>
      </c>
      <c r="I2378" s="17" t="s">
        <v>41</v>
      </c>
      <c r="J2378" s="18" t="s">
        <v>307</v>
      </c>
      <c r="K2378" s="19"/>
      <c r="L2378" s="17"/>
      <c r="M2378" s="17"/>
      <c r="N2378" s="20"/>
      <c r="O2378" s="17">
        <v>3</v>
      </c>
      <c r="P2378" s="17">
        <v>0</v>
      </c>
      <c r="Q2378" s="17">
        <v>1.5</v>
      </c>
      <c r="R2378" s="17" t="s">
        <v>127</v>
      </c>
      <c r="S2378" s="17" t="s">
        <v>263</v>
      </c>
    </row>
    <row r="2379" spans="8:19" ht="31.8" customHeight="1" x14ac:dyDescent="0.3">
      <c r="H2379" s="22" t="s">
        <v>56</v>
      </c>
      <c r="I2379" s="23" t="s">
        <v>41</v>
      </c>
      <c r="J2379" s="18" t="s">
        <v>308</v>
      </c>
      <c r="K2379" s="24"/>
      <c r="L2379" s="23"/>
      <c r="M2379" s="23"/>
      <c r="N2379" s="25"/>
      <c r="O2379" s="23">
        <v>2</v>
      </c>
      <c r="P2379" s="23">
        <v>0</v>
      </c>
      <c r="Q2379" s="17">
        <v>2</v>
      </c>
      <c r="R2379" s="17" t="s">
        <v>127</v>
      </c>
      <c r="S2379" s="17" t="s">
        <v>263</v>
      </c>
    </row>
    <row r="2380" spans="8:19" ht="31.8" customHeight="1" x14ac:dyDescent="0.3">
      <c r="H2380" s="22" t="s">
        <v>50</v>
      </c>
      <c r="I2380" s="17" t="s">
        <v>14</v>
      </c>
      <c r="J2380" s="18" t="s">
        <v>15</v>
      </c>
      <c r="K2380" s="19"/>
      <c r="L2380" s="17"/>
      <c r="M2380" s="17"/>
      <c r="N2380" s="20"/>
      <c r="O2380" s="17">
        <v>3</v>
      </c>
      <c r="P2380" s="17">
        <v>3</v>
      </c>
      <c r="Q2380" s="17">
        <v>3</v>
      </c>
      <c r="R2380" s="17" t="s">
        <v>127</v>
      </c>
      <c r="S2380" s="17" t="s">
        <v>263</v>
      </c>
    </row>
    <row r="2381" spans="8:19" ht="31.8" customHeight="1" x14ac:dyDescent="0.3">
      <c r="H2381" s="22" t="s">
        <v>50</v>
      </c>
      <c r="I2381" s="17" t="s">
        <v>14</v>
      </c>
      <c r="J2381" s="18" t="s">
        <v>16</v>
      </c>
      <c r="K2381" s="19"/>
      <c r="L2381" s="17"/>
      <c r="M2381" s="17"/>
      <c r="N2381" s="20"/>
      <c r="O2381" s="17">
        <v>1</v>
      </c>
      <c r="P2381" s="17">
        <v>1</v>
      </c>
      <c r="Q2381" s="17">
        <v>1</v>
      </c>
      <c r="R2381" s="17" t="s">
        <v>127</v>
      </c>
      <c r="S2381" s="17" t="s">
        <v>263</v>
      </c>
    </row>
    <row r="2382" spans="8:19" ht="31.8" customHeight="1" x14ac:dyDescent="0.3">
      <c r="H2382" s="22" t="s">
        <v>50</v>
      </c>
      <c r="I2382" s="17" t="s">
        <v>10</v>
      </c>
      <c r="J2382" s="18" t="s">
        <v>11</v>
      </c>
      <c r="K2382" s="19"/>
      <c r="L2382" s="17"/>
      <c r="M2382" s="17"/>
      <c r="N2382" s="20"/>
      <c r="O2382" s="17">
        <v>3</v>
      </c>
      <c r="P2382" s="17">
        <v>0</v>
      </c>
      <c r="Q2382" s="17">
        <v>3</v>
      </c>
      <c r="R2382" s="17" t="s">
        <v>127</v>
      </c>
      <c r="S2382" s="17" t="s">
        <v>263</v>
      </c>
    </row>
    <row r="2383" spans="8:19" ht="31.8" customHeight="1" x14ac:dyDescent="0.3">
      <c r="H2383" s="22" t="s">
        <v>50</v>
      </c>
      <c r="I2383" s="17" t="s">
        <v>10</v>
      </c>
      <c r="J2383" s="18" t="s">
        <v>316</v>
      </c>
      <c r="K2383" s="19"/>
      <c r="L2383" s="17"/>
      <c r="M2383" s="17"/>
      <c r="N2383" s="20"/>
      <c r="O2383" s="17">
        <v>3</v>
      </c>
      <c r="P2383" s="17">
        <v>3</v>
      </c>
      <c r="Q2383" s="17">
        <v>3</v>
      </c>
      <c r="R2383" s="17" t="s">
        <v>127</v>
      </c>
      <c r="S2383" s="17" t="s">
        <v>263</v>
      </c>
    </row>
    <row r="2384" spans="8:19" ht="31.8" customHeight="1" x14ac:dyDescent="0.3">
      <c r="H2384" s="22" t="s">
        <v>50</v>
      </c>
      <c r="I2384" s="17" t="s">
        <v>10</v>
      </c>
      <c r="J2384" s="18" t="s">
        <v>319</v>
      </c>
      <c r="K2384" s="19"/>
      <c r="L2384" s="17"/>
      <c r="M2384" s="17"/>
      <c r="N2384" s="20"/>
      <c r="O2384" s="17">
        <v>3</v>
      </c>
      <c r="P2384" s="17">
        <v>0</v>
      </c>
      <c r="Q2384" s="17">
        <v>3</v>
      </c>
      <c r="R2384" s="17" t="s">
        <v>127</v>
      </c>
      <c r="S2384" s="17" t="s">
        <v>263</v>
      </c>
    </row>
    <row r="2385" spans="8:19" ht="31.8" customHeight="1" x14ac:dyDescent="0.3">
      <c r="H2385" s="22" t="s">
        <v>50</v>
      </c>
      <c r="I2385" s="17" t="s">
        <v>10</v>
      </c>
      <c r="J2385" s="18" t="s">
        <v>393</v>
      </c>
      <c r="K2385" s="27"/>
      <c r="L2385" s="17"/>
      <c r="M2385" s="17"/>
      <c r="N2385" s="20"/>
      <c r="O2385" s="17">
        <v>2</v>
      </c>
      <c r="P2385" s="17">
        <v>2</v>
      </c>
      <c r="Q2385" s="17">
        <v>2</v>
      </c>
      <c r="R2385" s="17" t="s">
        <v>127</v>
      </c>
      <c r="S2385" s="17" t="s">
        <v>263</v>
      </c>
    </row>
    <row r="2386" spans="8:19" ht="31.8" customHeight="1" x14ac:dyDescent="0.3">
      <c r="H2386" s="22" t="s">
        <v>50</v>
      </c>
      <c r="I2386" s="17" t="s">
        <v>10</v>
      </c>
      <c r="J2386" s="18" t="s">
        <v>313</v>
      </c>
      <c r="K2386" s="19"/>
      <c r="L2386" s="17"/>
      <c r="M2386" s="17"/>
      <c r="N2386" s="20"/>
      <c r="O2386" s="17">
        <v>3</v>
      </c>
      <c r="P2386" s="17">
        <v>3</v>
      </c>
      <c r="Q2386" s="17">
        <v>3</v>
      </c>
      <c r="R2386" s="17" t="s">
        <v>127</v>
      </c>
      <c r="S2386" s="17" t="s">
        <v>263</v>
      </c>
    </row>
    <row r="2387" spans="8:19" ht="31.8" customHeight="1" x14ac:dyDescent="0.3">
      <c r="H2387" s="22" t="s">
        <v>50</v>
      </c>
      <c r="I2387" s="17" t="s">
        <v>12</v>
      </c>
      <c r="J2387" s="18" t="s">
        <v>13</v>
      </c>
      <c r="K2387" s="19"/>
      <c r="L2387" s="17"/>
      <c r="M2387" s="17"/>
      <c r="N2387" s="20"/>
      <c r="O2387" s="17">
        <v>2</v>
      </c>
      <c r="P2387" s="17">
        <v>0</v>
      </c>
      <c r="Q2387" s="17">
        <v>2</v>
      </c>
      <c r="R2387" s="17" t="s">
        <v>127</v>
      </c>
      <c r="S2387" s="17" t="s">
        <v>263</v>
      </c>
    </row>
    <row r="2388" spans="8:19" ht="31.8" customHeight="1" x14ac:dyDescent="0.3">
      <c r="H2388" s="22" t="s">
        <v>50</v>
      </c>
      <c r="I2388" s="17" t="s">
        <v>17</v>
      </c>
      <c r="J2388" s="18" t="s">
        <v>18</v>
      </c>
      <c r="K2388" s="19"/>
      <c r="L2388" s="17"/>
      <c r="M2388" s="17"/>
      <c r="N2388" s="20"/>
      <c r="O2388" s="17">
        <v>3</v>
      </c>
      <c r="P2388" s="17">
        <v>3</v>
      </c>
      <c r="Q2388" s="17">
        <v>3</v>
      </c>
      <c r="R2388" s="17" t="s">
        <v>127</v>
      </c>
      <c r="S2388" s="17" t="s">
        <v>263</v>
      </c>
    </row>
    <row r="2389" spans="8:19" ht="31.8" customHeight="1" x14ac:dyDescent="0.3">
      <c r="H2389" s="22" t="s">
        <v>50</v>
      </c>
      <c r="I2389" s="17" t="s">
        <v>17</v>
      </c>
      <c r="J2389" s="18" t="s">
        <v>19</v>
      </c>
      <c r="K2389" s="19"/>
      <c r="L2389" s="17"/>
      <c r="M2389" s="17"/>
      <c r="N2389" s="20"/>
      <c r="O2389" s="17">
        <v>1</v>
      </c>
      <c r="P2389" s="17">
        <v>1</v>
      </c>
      <c r="Q2389" s="17">
        <v>1</v>
      </c>
      <c r="R2389" s="17" t="s">
        <v>127</v>
      </c>
      <c r="S2389" s="17" t="s">
        <v>263</v>
      </c>
    </row>
    <row r="2390" spans="8:19" ht="31.8" customHeight="1" x14ac:dyDescent="0.3">
      <c r="H2390" s="22" t="s">
        <v>50</v>
      </c>
      <c r="I2390" s="17" t="s">
        <v>20</v>
      </c>
      <c r="J2390" s="18" t="s">
        <v>21</v>
      </c>
      <c r="K2390" s="19"/>
      <c r="L2390" s="17"/>
      <c r="M2390" s="17"/>
      <c r="N2390" s="20"/>
      <c r="O2390" s="17">
        <v>3</v>
      </c>
      <c r="P2390" s="17">
        <v>3</v>
      </c>
      <c r="Q2390" s="17">
        <v>3</v>
      </c>
      <c r="R2390" s="17" t="s">
        <v>127</v>
      </c>
      <c r="S2390" s="17" t="s">
        <v>263</v>
      </c>
    </row>
    <row r="2391" spans="8:19" ht="31.8" customHeight="1" x14ac:dyDescent="0.3">
      <c r="H2391" s="22" t="s">
        <v>50</v>
      </c>
      <c r="I2391" s="17" t="s">
        <v>20</v>
      </c>
      <c r="J2391" s="18" t="s">
        <v>311</v>
      </c>
      <c r="K2391" s="19"/>
      <c r="L2391" s="17"/>
      <c r="M2391" s="17"/>
      <c r="N2391" s="20"/>
      <c r="O2391" s="17">
        <v>1</v>
      </c>
      <c r="P2391" s="17">
        <v>1</v>
      </c>
      <c r="Q2391" s="17">
        <v>1</v>
      </c>
      <c r="R2391" s="17" t="s">
        <v>127</v>
      </c>
      <c r="S2391" s="17" t="s">
        <v>263</v>
      </c>
    </row>
    <row r="2392" spans="8:19" ht="31.8" customHeight="1" x14ac:dyDescent="0.3">
      <c r="H2392" s="22" t="s">
        <v>50</v>
      </c>
      <c r="I2392" s="17" t="s">
        <v>22</v>
      </c>
      <c r="J2392" s="18" t="s">
        <v>23</v>
      </c>
      <c r="K2392" s="27"/>
      <c r="L2392" s="17"/>
      <c r="M2392" s="17"/>
      <c r="N2392" s="20"/>
      <c r="O2392" s="17">
        <v>1</v>
      </c>
      <c r="P2392" s="17">
        <v>1</v>
      </c>
      <c r="Q2392" s="17">
        <v>1</v>
      </c>
      <c r="R2392" s="17" t="s">
        <v>127</v>
      </c>
      <c r="S2392" s="17" t="s">
        <v>263</v>
      </c>
    </row>
    <row r="2393" spans="8:19" ht="31.8" customHeight="1" x14ac:dyDescent="0.3">
      <c r="H2393" s="22" t="s">
        <v>50</v>
      </c>
      <c r="I2393" s="17" t="s">
        <v>22</v>
      </c>
      <c r="J2393" s="18" t="s">
        <v>322</v>
      </c>
      <c r="K2393" s="27"/>
      <c r="L2393" s="17"/>
      <c r="M2393" s="17"/>
      <c r="N2393" s="20"/>
      <c r="O2393" s="17">
        <v>1</v>
      </c>
      <c r="P2393" s="17">
        <v>1</v>
      </c>
      <c r="Q2393" s="17">
        <v>1</v>
      </c>
      <c r="R2393" s="17" t="s">
        <v>127</v>
      </c>
      <c r="S2393" s="17" t="s">
        <v>263</v>
      </c>
    </row>
    <row r="2394" spans="8:19" ht="31.8" customHeight="1" x14ac:dyDescent="0.3">
      <c r="H2394" s="22" t="s">
        <v>50</v>
      </c>
      <c r="I2394" s="17" t="s">
        <v>25</v>
      </c>
      <c r="J2394" s="18" t="s">
        <v>321</v>
      </c>
      <c r="K2394" s="19"/>
      <c r="L2394" s="17"/>
      <c r="M2394" s="17"/>
      <c r="N2394" s="20"/>
      <c r="O2394" s="17">
        <v>3</v>
      </c>
      <c r="P2394" s="17">
        <v>0</v>
      </c>
      <c r="Q2394" s="17">
        <v>3</v>
      </c>
      <c r="R2394" s="17" t="s">
        <v>127</v>
      </c>
      <c r="S2394" s="17" t="s">
        <v>263</v>
      </c>
    </row>
    <row r="2395" spans="8:19" ht="31.8" customHeight="1" x14ac:dyDescent="0.3">
      <c r="H2395" s="22" t="s">
        <v>50</v>
      </c>
      <c r="I2395" s="17" t="s">
        <v>25</v>
      </c>
      <c r="J2395" s="18" t="s">
        <v>320</v>
      </c>
      <c r="K2395" s="19"/>
      <c r="L2395" s="17"/>
      <c r="M2395" s="17"/>
      <c r="N2395" s="20"/>
      <c r="O2395" s="17">
        <v>3</v>
      </c>
      <c r="P2395" s="17">
        <v>3</v>
      </c>
      <c r="Q2395" s="17">
        <v>3</v>
      </c>
      <c r="R2395" s="17" t="s">
        <v>127</v>
      </c>
      <c r="S2395" s="17" t="s">
        <v>263</v>
      </c>
    </row>
    <row r="2396" spans="8:19" ht="31.8" customHeight="1" x14ac:dyDescent="0.3">
      <c r="H2396" s="22" t="s">
        <v>50</v>
      </c>
      <c r="I2396" s="17" t="s">
        <v>30</v>
      </c>
      <c r="J2396" s="18" t="s">
        <v>315</v>
      </c>
      <c r="K2396" s="19"/>
      <c r="L2396" s="17"/>
      <c r="M2396" s="17"/>
      <c r="N2396" s="20"/>
      <c r="O2396" s="17">
        <v>3</v>
      </c>
      <c r="P2396" s="17">
        <v>3</v>
      </c>
      <c r="Q2396" s="17">
        <v>3</v>
      </c>
      <c r="R2396" s="17" t="s">
        <v>127</v>
      </c>
      <c r="S2396" s="17" t="s">
        <v>263</v>
      </c>
    </row>
    <row r="2397" spans="8:19" ht="31.8" customHeight="1" x14ac:dyDescent="0.3">
      <c r="H2397" s="22" t="s">
        <v>50</v>
      </c>
      <c r="I2397" s="17" t="s">
        <v>25</v>
      </c>
      <c r="J2397" s="18" t="s">
        <v>312</v>
      </c>
      <c r="K2397" s="19"/>
      <c r="L2397" s="17"/>
      <c r="M2397" s="17"/>
      <c r="N2397" s="20"/>
      <c r="O2397" s="17">
        <v>3</v>
      </c>
      <c r="P2397" s="17">
        <v>3</v>
      </c>
      <c r="Q2397" s="17">
        <v>3</v>
      </c>
      <c r="R2397" s="17" t="s">
        <v>127</v>
      </c>
      <c r="S2397" s="17" t="s">
        <v>263</v>
      </c>
    </row>
    <row r="2398" spans="8:19" ht="31.8" customHeight="1" x14ac:dyDescent="0.3">
      <c r="H2398" s="22" t="s">
        <v>50</v>
      </c>
      <c r="I2398" s="17" t="s">
        <v>41</v>
      </c>
      <c r="J2398" s="18" t="s">
        <v>307</v>
      </c>
      <c r="K2398" s="19"/>
      <c r="L2398" s="17"/>
      <c r="M2398" s="17"/>
      <c r="N2398" s="20"/>
      <c r="O2398" s="17">
        <v>3</v>
      </c>
      <c r="P2398" s="17">
        <v>0</v>
      </c>
      <c r="Q2398" s="17">
        <v>1.5</v>
      </c>
      <c r="R2398" s="17" t="s">
        <v>127</v>
      </c>
      <c r="S2398" s="17" t="s">
        <v>263</v>
      </c>
    </row>
    <row r="2399" spans="8:19" ht="31.8" customHeight="1" x14ac:dyDescent="0.3">
      <c r="H2399" s="22" t="s">
        <v>50</v>
      </c>
      <c r="I2399" s="23" t="s">
        <v>41</v>
      </c>
      <c r="J2399" s="18" t="s">
        <v>308</v>
      </c>
      <c r="K2399" s="24"/>
      <c r="L2399" s="23"/>
      <c r="M2399" s="23"/>
      <c r="N2399" s="25"/>
      <c r="O2399" s="23">
        <v>2</v>
      </c>
      <c r="P2399" s="23">
        <v>0</v>
      </c>
      <c r="Q2399" s="17">
        <v>2</v>
      </c>
      <c r="R2399" s="17" t="s">
        <v>127</v>
      </c>
      <c r="S2399" s="17" t="s">
        <v>263</v>
      </c>
    </row>
    <row r="2400" spans="8:19" ht="31.8" customHeight="1" x14ac:dyDescent="0.3">
      <c r="H2400" s="22" t="s">
        <v>76</v>
      </c>
      <c r="I2400" s="17" t="s">
        <v>14</v>
      </c>
      <c r="J2400" s="18" t="s">
        <v>15</v>
      </c>
      <c r="K2400" s="19" t="s">
        <v>290</v>
      </c>
      <c r="L2400" s="17"/>
      <c r="M2400" s="17">
        <v>2083</v>
      </c>
      <c r="N2400" s="20"/>
      <c r="O2400" s="17">
        <v>3</v>
      </c>
      <c r="P2400" s="17">
        <v>3</v>
      </c>
      <c r="Q2400" s="17">
        <v>3</v>
      </c>
      <c r="R2400" s="17" t="s">
        <v>127</v>
      </c>
      <c r="S2400" s="17" t="s">
        <v>263</v>
      </c>
    </row>
    <row r="2401" spans="8:19" ht="31.8" customHeight="1" x14ac:dyDescent="0.3">
      <c r="H2401" s="22" t="s">
        <v>76</v>
      </c>
      <c r="I2401" s="17" t="s">
        <v>14</v>
      </c>
      <c r="J2401" s="18" t="s">
        <v>16</v>
      </c>
      <c r="K2401" s="19" t="s">
        <v>0</v>
      </c>
      <c r="L2401" s="17"/>
      <c r="M2401" s="17"/>
      <c r="N2401" s="20"/>
      <c r="O2401" s="17">
        <v>1</v>
      </c>
      <c r="P2401" s="17">
        <v>1</v>
      </c>
      <c r="Q2401" s="17">
        <v>1</v>
      </c>
      <c r="R2401" s="17" t="s">
        <v>127</v>
      </c>
      <c r="S2401" s="17" t="s">
        <v>263</v>
      </c>
    </row>
    <row r="2402" spans="8:19" ht="31.8" customHeight="1" x14ac:dyDescent="0.3">
      <c r="H2402" s="22" t="s">
        <v>76</v>
      </c>
      <c r="I2402" s="17" t="s">
        <v>10</v>
      </c>
      <c r="J2402" s="18" t="s">
        <v>11</v>
      </c>
      <c r="K2402" s="19" t="s">
        <v>290</v>
      </c>
      <c r="L2402" s="17"/>
      <c r="M2402" s="17">
        <v>5214</v>
      </c>
      <c r="N2402" s="20"/>
      <c r="O2402" s="17">
        <v>3</v>
      </c>
      <c r="P2402" s="17">
        <v>0</v>
      </c>
      <c r="Q2402" s="17">
        <v>3</v>
      </c>
      <c r="R2402" s="17" t="s">
        <v>127</v>
      </c>
      <c r="S2402" s="17" t="s">
        <v>263</v>
      </c>
    </row>
    <row r="2403" spans="8:19" ht="31.8" customHeight="1" x14ac:dyDescent="0.3">
      <c r="H2403" s="22" t="s">
        <v>76</v>
      </c>
      <c r="I2403" s="17" t="s">
        <v>10</v>
      </c>
      <c r="J2403" s="18" t="s">
        <v>316</v>
      </c>
      <c r="K2403" s="19" t="s">
        <v>0</v>
      </c>
      <c r="L2403" s="17"/>
      <c r="M2403" s="17"/>
      <c r="N2403" s="20"/>
      <c r="O2403" s="17">
        <v>3</v>
      </c>
      <c r="P2403" s="17">
        <v>3</v>
      </c>
      <c r="Q2403" s="17">
        <v>3</v>
      </c>
      <c r="R2403" s="17" t="s">
        <v>127</v>
      </c>
      <c r="S2403" s="17" t="s">
        <v>263</v>
      </c>
    </row>
    <row r="2404" spans="8:19" ht="31.8" customHeight="1" x14ac:dyDescent="0.3">
      <c r="H2404" s="22" t="s">
        <v>76</v>
      </c>
      <c r="I2404" s="17" t="s">
        <v>10</v>
      </c>
      <c r="J2404" s="18" t="s">
        <v>319</v>
      </c>
      <c r="K2404" s="19" t="s">
        <v>290</v>
      </c>
      <c r="L2404" s="17"/>
      <c r="M2404" s="17">
        <v>5214</v>
      </c>
      <c r="N2404" s="20"/>
      <c r="O2404" s="17">
        <v>3</v>
      </c>
      <c r="P2404" s="17">
        <v>0</v>
      </c>
      <c r="Q2404" s="17">
        <v>3</v>
      </c>
      <c r="R2404" s="17" t="s">
        <v>127</v>
      </c>
      <c r="S2404" s="17" t="s">
        <v>263</v>
      </c>
    </row>
    <row r="2405" spans="8:19" ht="31.8" customHeight="1" x14ac:dyDescent="0.3">
      <c r="H2405" s="22" t="s">
        <v>76</v>
      </c>
      <c r="I2405" s="17" t="s">
        <v>10</v>
      </c>
      <c r="J2405" s="18" t="s">
        <v>393</v>
      </c>
      <c r="K2405" s="27" t="s">
        <v>0</v>
      </c>
      <c r="L2405" s="17"/>
      <c r="M2405" s="17"/>
      <c r="N2405" s="20"/>
      <c r="O2405" s="17">
        <v>2</v>
      </c>
      <c r="P2405" s="17">
        <v>2</v>
      </c>
      <c r="Q2405" s="17">
        <v>2</v>
      </c>
      <c r="R2405" s="17" t="s">
        <v>127</v>
      </c>
      <c r="S2405" s="17" t="s">
        <v>263</v>
      </c>
    </row>
    <row r="2406" spans="8:19" ht="31.8" customHeight="1" x14ac:dyDescent="0.3">
      <c r="H2406" s="22" t="s">
        <v>76</v>
      </c>
      <c r="I2406" s="17" t="s">
        <v>10</v>
      </c>
      <c r="J2406" s="18" t="s">
        <v>313</v>
      </c>
      <c r="K2406" s="19" t="s">
        <v>0</v>
      </c>
      <c r="L2406" s="17"/>
      <c r="M2406" s="17"/>
      <c r="N2406" s="20"/>
      <c r="O2406" s="17">
        <v>3</v>
      </c>
      <c r="P2406" s="17">
        <v>3</v>
      </c>
      <c r="Q2406" s="17">
        <v>3</v>
      </c>
      <c r="R2406" s="17" t="s">
        <v>127</v>
      </c>
      <c r="S2406" s="17" t="s">
        <v>263</v>
      </c>
    </row>
    <row r="2407" spans="8:19" ht="31.8" customHeight="1" x14ac:dyDescent="0.3">
      <c r="H2407" s="22" t="s">
        <v>76</v>
      </c>
      <c r="I2407" s="17" t="s">
        <v>12</v>
      </c>
      <c r="J2407" s="18" t="s">
        <v>13</v>
      </c>
      <c r="K2407" s="19" t="s">
        <v>0</v>
      </c>
      <c r="L2407" s="17"/>
      <c r="M2407" s="17"/>
      <c r="N2407" s="20"/>
      <c r="O2407" s="17">
        <v>2</v>
      </c>
      <c r="P2407" s="17">
        <v>0</v>
      </c>
      <c r="Q2407" s="17">
        <v>2</v>
      </c>
      <c r="R2407" s="17" t="s">
        <v>127</v>
      </c>
      <c r="S2407" s="17" t="s">
        <v>263</v>
      </c>
    </row>
    <row r="2408" spans="8:19" ht="31.8" customHeight="1" x14ac:dyDescent="0.3">
      <c r="H2408" s="22" t="s">
        <v>76</v>
      </c>
      <c r="I2408" s="17" t="s">
        <v>17</v>
      </c>
      <c r="J2408" s="18" t="s">
        <v>18</v>
      </c>
      <c r="K2408" s="19" t="s">
        <v>0</v>
      </c>
      <c r="L2408" s="17"/>
      <c r="M2408" s="17"/>
      <c r="N2408" s="20"/>
      <c r="O2408" s="17">
        <v>3</v>
      </c>
      <c r="P2408" s="17">
        <v>3</v>
      </c>
      <c r="Q2408" s="17">
        <v>3</v>
      </c>
      <c r="R2408" s="17" t="s">
        <v>127</v>
      </c>
      <c r="S2408" s="17" t="s">
        <v>263</v>
      </c>
    </row>
    <row r="2409" spans="8:19" ht="31.8" customHeight="1" x14ac:dyDescent="0.3">
      <c r="H2409" s="22" t="s">
        <v>76</v>
      </c>
      <c r="I2409" s="17" t="s">
        <v>17</v>
      </c>
      <c r="J2409" s="18" t="s">
        <v>19</v>
      </c>
      <c r="K2409" s="19" t="s">
        <v>0</v>
      </c>
      <c r="L2409" s="17"/>
      <c r="M2409" s="17"/>
      <c r="N2409" s="20"/>
      <c r="O2409" s="17">
        <v>1</v>
      </c>
      <c r="P2409" s="17">
        <v>1</v>
      </c>
      <c r="Q2409" s="17">
        <v>1</v>
      </c>
      <c r="R2409" s="17" t="s">
        <v>127</v>
      </c>
      <c r="S2409" s="17" t="s">
        <v>263</v>
      </c>
    </row>
    <row r="2410" spans="8:19" ht="31.8" customHeight="1" x14ac:dyDescent="0.3">
      <c r="H2410" s="22" t="s">
        <v>76</v>
      </c>
      <c r="I2410" s="17" t="s">
        <v>20</v>
      </c>
      <c r="J2410" s="18" t="s">
        <v>21</v>
      </c>
      <c r="K2410" s="19" t="s">
        <v>0</v>
      </c>
      <c r="L2410" s="17"/>
      <c r="M2410" s="17"/>
      <c r="N2410" s="20"/>
      <c r="O2410" s="17">
        <v>3</v>
      </c>
      <c r="P2410" s="17">
        <v>3</v>
      </c>
      <c r="Q2410" s="17">
        <v>3</v>
      </c>
      <c r="R2410" s="17" t="s">
        <v>127</v>
      </c>
      <c r="S2410" s="17" t="s">
        <v>263</v>
      </c>
    </row>
    <row r="2411" spans="8:19" ht="31.8" customHeight="1" x14ac:dyDescent="0.3">
      <c r="H2411" s="22" t="s">
        <v>76</v>
      </c>
      <c r="I2411" s="17" t="s">
        <v>20</v>
      </c>
      <c r="J2411" s="18" t="s">
        <v>311</v>
      </c>
      <c r="K2411" s="19" t="s">
        <v>0</v>
      </c>
      <c r="L2411" s="17"/>
      <c r="M2411" s="17"/>
      <c r="N2411" s="20"/>
      <c r="O2411" s="17">
        <v>1</v>
      </c>
      <c r="P2411" s="17">
        <v>1</v>
      </c>
      <c r="Q2411" s="17">
        <v>1</v>
      </c>
      <c r="R2411" s="17" t="s">
        <v>127</v>
      </c>
      <c r="S2411" s="17" t="s">
        <v>263</v>
      </c>
    </row>
    <row r="2412" spans="8:19" ht="31.8" customHeight="1" x14ac:dyDescent="0.3">
      <c r="H2412" s="22" t="s">
        <v>76</v>
      </c>
      <c r="I2412" s="17" t="s">
        <v>22</v>
      </c>
      <c r="J2412" s="18" t="s">
        <v>23</v>
      </c>
      <c r="K2412" s="27" t="s">
        <v>0</v>
      </c>
      <c r="L2412" s="17"/>
      <c r="M2412" s="17"/>
      <c r="N2412" s="20"/>
      <c r="O2412" s="17">
        <v>1</v>
      </c>
      <c r="P2412" s="17">
        <v>1</v>
      </c>
      <c r="Q2412" s="17">
        <v>1</v>
      </c>
      <c r="R2412" s="17" t="s">
        <v>127</v>
      </c>
      <c r="S2412" s="17" t="s">
        <v>263</v>
      </c>
    </row>
    <row r="2413" spans="8:19" ht="31.8" customHeight="1" x14ac:dyDescent="0.3">
      <c r="H2413" s="22" t="s">
        <v>76</v>
      </c>
      <c r="I2413" s="17" t="s">
        <v>22</v>
      </c>
      <c r="J2413" s="18" t="s">
        <v>322</v>
      </c>
      <c r="K2413" s="27" t="s">
        <v>0</v>
      </c>
      <c r="L2413" s="17"/>
      <c r="M2413" s="17"/>
      <c r="N2413" s="20"/>
      <c r="O2413" s="17">
        <v>1</v>
      </c>
      <c r="P2413" s="17">
        <v>1</v>
      </c>
      <c r="Q2413" s="17">
        <v>1</v>
      </c>
      <c r="R2413" s="17" t="s">
        <v>127</v>
      </c>
      <c r="S2413" s="17" t="s">
        <v>263</v>
      </c>
    </row>
    <row r="2414" spans="8:19" ht="31.8" customHeight="1" x14ac:dyDescent="0.3">
      <c r="H2414" s="22" t="s">
        <v>76</v>
      </c>
      <c r="I2414" s="17" t="s">
        <v>25</v>
      </c>
      <c r="J2414" s="18" t="s">
        <v>321</v>
      </c>
      <c r="K2414" s="19" t="s">
        <v>290</v>
      </c>
      <c r="L2414" s="17"/>
      <c r="M2414" s="17">
        <v>6076</v>
      </c>
      <c r="N2414" s="20"/>
      <c r="O2414" s="17">
        <v>3</v>
      </c>
      <c r="P2414" s="17">
        <v>0</v>
      </c>
      <c r="Q2414" s="17">
        <v>3</v>
      </c>
      <c r="R2414" s="17" t="s">
        <v>127</v>
      </c>
      <c r="S2414" s="17" t="s">
        <v>263</v>
      </c>
    </row>
    <row r="2415" spans="8:19" ht="31.8" customHeight="1" x14ac:dyDescent="0.3">
      <c r="H2415" s="22" t="s">
        <v>76</v>
      </c>
      <c r="I2415" s="17" t="s">
        <v>25</v>
      </c>
      <c r="J2415" s="18" t="s">
        <v>320</v>
      </c>
      <c r="K2415" s="19" t="s">
        <v>0</v>
      </c>
      <c r="L2415" s="17"/>
      <c r="M2415" s="17"/>
      <c r="N2415" s="20"/>
      <c r="O2415" s="17">
        <v>3</v>
      </c>
      <c r="P2415" s="17">
        <v>3</v>
      </c>
      <c r="Q2415" s="17">
        <v>3</v>
      </c>
      <c r="R2415" s="17" t="s">
        <v>127</v>
      </c>
      <c r="S2415" s="17" t="s">
        <v>263</v>
      </c>
    </row>
    <row r="2416" spans="8:19" ht="31.8" customHeight="1" x14ac:dyDescent="0.3">
      <c r="H2416" s="22" t="s">
        <v>76</v>
      </c>
      <c r="I2416" s="17" t="s">
        <v>30</v>
      </c>
      <c r="J2416" s="18" t="s">
        <v>315</v>
      </c>
      <c r="K2416" s="19" t="s">
        <v>0</v>
      </c>
      <c r="L2416" s="17"/>
      <c r="M2416" s="17"/>
      <c r="N2416" s="20"/>
      <c r="O2416" s="17">
        <v>3</v>
      </c>
      <c r="P2416" s="17">
        <v>3</v>
      </c>
      <c r="Q2416" s="17">
        <v>3</v>
      </c>
      <c r="R2416" s="17" t="s">
        <v>127</v>
      </c>
      <c r="S2416" s="17" t="s">
        <v>263</v>
      </c>
    </row>
    <row r="2417" spans="8:19" ht="31.8" customHeight="1" x14ac:dyDescent="0.3">
      <c r="H2417" s="22" t="s">
        <v>76</v>
      </c>
      <c r="I2417" s="17" t="s">
        <v>25</v>
      </c>
      <c r="J2417" s="18" t="s">
        <v>312</v>
      </c>
      <c r="K2417" s="19" t="s">
        <v>0</v>
      </c>
      <c r="L2417" s="17"/>
      <c r="M2417" s="17"/>
      <c r="N2417" s="20"/>
      <c r="O2417" s="17">
        <v>3</v>
      </c>
      <c r="P2417" s="17">
        <v>3</v>
      </c>
      <c r="Q2417" s="17">
        <v>3</v>
      </c>
      <c r="R2417" s="17" t="s">
        <v>127</v>
      </c>
      <c r="S2417" s="17" t="s">
        <v>263</v>
      </c>
    </row>
    <row r="2418" spans="8:19" ht="31.8" customHeight="1" x14ac:dyDescent="0.3">
      <c r="H2418" s="22" t="s">
        <v>76</v>
      </c>
      <c r="I2418" s="17" t="s">
        <v>41</v>
      </c>
      <c r="J2418" s="18" t="s">
        <v>307</v>
      </c>
      <c r="K2418" s="19" t="s">
        <v>0</v>
      </c>
      <c r="L2418" s="17"/>
      <c r="M2418" s="17"/>
      <c r="N2418" s="20"/>
      <c r="O2418" s="17">
        <v>3</v>
      </c>
      <c r="P2418" s="17">
        <v>0</v>
      </c>
      <c r="Q2418" s="17">
        <v>1.5</v>
      </c>
      <c r="R2418" s="17" t="s">
        <v>127</v>
      </c>
      <c r="S2418" s="17" t="s">
        <v>263</v>
      </c>
    </row>
    <row r="2419" spans="8:19" ht="31.8" customHeight="1" x14ac:dyDescent="0.3">
      <c r="H2419" s="22" t="s">
        <v>76</v>
      </c>
      <c r="I2419" s="23" t="s">
        <v>41</v>
      </c>
      <c r="J2419" s="18" t="s">
        <v>308</v>
      </c>
      <c r="K2419" s="24" t="s">
        <v>290</v>
      </c>
      <c r="L2419" s="23"/>
      <c r="M2419" s="23">
        <v>8115</v>
      </c>
      <c r="N2419" s="25"/>
      <c r="O2419" s="23">
        <v>2</v>
      </c>
      <c r="P2419" s="23">
        <v>0</v>
      </c>
      <c r="Q2419" s="17">
        <v>2</v>
      </c>
      <c r="R2419" s="17" t="s">
        <v>127</v>
      </c>
      <c r="S2419" s="17" t="s">
        <v>263</v>
      </c>
    </row>
    <row r="2420" spans="8:19" ht="31.8" customHeight="1" x14ac:dyDescent="0.3">
      <c r="H2420" s="22" t="s">
        <v>51</v>
      </c>
      <c r="I2420" s="17" t="s">
        <v>14</v>
      </c>
      <c r="J2420" s="18" t="s">
        <v>15</v>
      </c>
      <c r="K2420" s="19"/>
      <c r="L2420" s="17"/>
      <c r="M2420" s="17"/>
      <c r="N2420" s="20"/>
      <c r="O2420" s="17">
        <v>3</v>
      </c>
      <c r="P2420" s="17">
        <v>3</v>
      </c>
      <c r="Q2420" s="17">
        <v>3</v>
      </c>
      <c r="R2420" s="17" t="s">
        <v>127</v>
      </c>
      <c r="S2420" s="17" t="s">
        <v>263</v>
      </c>
    </row>
    <row r="2421" spans="8:19" ht="31.8" customHeight="1" x14ac:dyDescent="0.3">
      <c r="H2421" s="22" t="s">
        <v>51</v>
      </c>
      <c r="I2421" s="17" t="s">
        <v>14</v>
      </c>
      <c r="J2421" s="18" t="s">
        <v>16</v>
      </c>
      <c r="K2421" s="19"/>
      <c r="L2421" s="17"/>
      <c r="M2421" s="17"/>
      <c r="N2421" s="20"/>
      <c r="O2421" s="17">
        <v>1</v>
      </c>
      <c r="P2421" s="17">
        <v>1</v>
      </c>
      <c r="Q2421" s="17">
        <v>1</v>
      </c>
      <c r="R2421" s="17" t="s">
        <v>127</v>
      </c>
      <c r="S2421" s="17" t="s">
        <v>263</v>
      </c>
    </row>
    <row r="2422" spans="8:19" ht="31.8" customHeight="1" x14ac:dyDescent="0.3">
      <c r="H2422" s="22" t="s">
        <v>51</v>
      </c>
      <c r="I2422" s="17" t="s">
        <v>10</v>
      </c>
      <c r="J2422" s="18" t="s">
        <v>11</v>
      </c>
      <c r="K2422" s="19"/>
      <c r="L2422" s="17"/>
      <c r="M2422" s="17"/>
      <c r="N2422" s="20"/>
      <c r="O2422" s="17">
        <v>3</v>
      </c>
      <c r="P2422" s="17">
        <v>0</v>
      </c>
      <c r="Q2422" s="17">
        <v>3</v>
      </c>
      <c r="R2422" s="17" t="s">
        <v>127</v>
      </c>
      <c r="S2422" s="17" t="s">
        <v>263</v>
      </c>
    </row>
    <row r="2423" spans="8:19" ht="31.8" customHeight="1" x14ac:dyDescent="0.3">
      <c r="H2423" s="22" t="s">
        <v>51</v>
      </c>
      <c r="I2423" s="17" t="s">
        <v>10</v>
      </c>
      <c r="J2423" s="18" t="s">
        <v>316</v>
      </c>
      <c r="K2423" s="19"/>
      <c r="L2423" s="17"/>
      <c r="M2423" s="17"/>
      <c r="N2423" s="20"/>
      <c r="O2423" s="17">
        <v>3</v>
      </c>
      <c r="P2423" s="17">
        <v>3</v>
      </c>
      <c r="Q2423" s="17">
        <v>3</v>
      </c>
      <c r="R2423" s="17" t="s">
        <v>127</v>
      </c>
      <c r="S2423" s="17" t="s">
        <v>263</v>
      </c>
    </row>
    <row r="2424" spans="8:19" ht="31.8" customHeight="1" x14ac:dyDescent="0.3">
      <c r="H2424" s="22" t="s">
        <v>51</v>
      </c>
      <c r="I2424" s="17" t="s">
        <v>10</v>
      </c>
      <c r="J2424" s="18" t="s">
        <v>319</v>
      </c>
      <c r="K2424" s="19"/>
      <c r="L2424" s="17"/>
      <c r="M2424" s="17"/>
      <c r="N2424" s="20"/>
      <c r="O2424" s="17">
        <v>3</v>
      </c>
      <c r="P2424" s="17">
        <v>0</v>
      </c>
      <c r="Q2424" s="17">
        <v>3</v>
      </c>
      <c r="R2424" s="17" t="s">
        <v>127</v>
      </c>
      <c r="S2424" s="17" t="s">
        <v>263</v>
      </c>
    </row>
    <row r="2425" spans="8:19" ht="31.8" customHeight="1" x14ac:dyDescent="0.3">
      <c r="H2425" s="22" t="s">
        <v>51</v>
      </c>
      <c r="I2425" s="17" t="s">
        <v>10</v>
      </c>
      <c r="J2425" s="18" t="s">
        <v>393</v>
      </c>
      <c r="K2425" s="27"/>
      <c r="L2425" s="17"/>
      <c r="M2425" s="17"/>
      <c r="N2425" s="20"/>
      <c r="O2425" s="17">
        <v>2</v>
      </c>
      <c r="P2425" s="17">
        <v>2</v>
      </c>
      <c r="Q2425" s="17">
        <v>2</v>
      </c>
      <c r="R2425" s="17" t="s">
        <v>127</v>
      </c>
      <c r="S2425" s="17" t="s">
        <v>263</v>
      </c>
    </row>
    <row r="2426" spans="8:19" ht="31.8" customHeight="1" x14ac:dyDescent="0.3">
      <c r="H2426" s="22" t="s">
        <v>51</v>
      </c>
      <c r="I2426" s="17" t="s">
        <v>10</v>
      </c>
      <c r="J2426" s="18" t="s">
        <v>313</v>
      </c>
      <c r="K2426" s="19"/>
      <c r="L2426" s="17"/>
      <c r="M2426" s="17"/>
      <c r="N2426" s="20"/>
      <c r="O2426" s="17">
        <v>3</v>
      </c>
      <c r="P2426" s="17">
        <v>3</v>
      </c>
      <c r="Q2426" s="17">
        <v>3</v>
      </c>
      <c r="R2426" s="17" t="s">
        <v>127</v>
      </c>
      <c r="S2426" s="17" t="s">
        <v>263</v>
      </c>
    </row>
    <row r="2427" spans="8:19" ht="31.8" customHeight="1" x14ac:dyDescent="0.3">
      <c r="H2427" s="22" t="s">
        <v>51</v>
      </c>
      <c r="I2427" s="17" t="s">
        <v>12</v>
      </c>
      <c r="J2427" s="18" t="s">
        <v>13</v>
      </c>
      <c r="K2427" s="19"/>
      <c r="L2427" s="17"/>
      <c r="M2427" s="17"/>
      <c r="N2427" s="20"/>
      <c r="O2427" s="17">
        <v>2</v>
      </c>
      <c r="P2427" s="17">
        <v>0</v>
      </c>
      <c r="Q2427" s="17">
        <v>2</v>
      </c>
      <c r="R2427" s="17" t="s">
        <v>127</v>
      </c>
      <c r="S2427" s="17" t="s">
        <v>263</v>
      </c>
    </row>
    <row r="2428" spans="8:19" ht="31.8" customHeight="1" x14ac:dyDescent="0.3">
      <c r="H2428" s="22" t="s">
        <v>51</v>
      </c>
      <c r="I2428" s="17" t="s">
        <v>17</v>
      </c>
      <c r="J2428" s="18" t="s">
        <v>18</v>
      </c>
      <c r="K2428" s="19"/>
      <c r="L2428" s="17"/>
      <c r="M2428" s="17"/>
      <c r="N2428" s="20"/>
      <c r="O2428" s="17">
        <v>3</v>
      </c>
      <c r="P2428" s="17">
        <v>3</v>
      </c>
      <c r="Q2428" s="17">
        <v>3</v>
      </c>
      <c r="R2428" s="17" t="s">
        <v>127</v>
      </c>
      <c r="S2428" s="17" t="s">
        <v>263</v>
      </c>
    </row>
    <row r="2429" spans="8:19" ht="31.8" customHeight="1" x14ac:dyDescent="0.3">
      <c r="H2429" s="22" t="s">
        <v>51</v>
      </c>
      <c r="I2429" s="17" t="s">
        <v>17</v>
      </c>
      <c r="J2429" s="18" t="s">
        <v>19</v>
      </c>
      <c r="K2429" s="19"/>
      <c r="L2429" s="17"/>
      <c r="M2429" s="17"/>
      <c r="N2429" s="20"/>
      <c r="O2429" s="17">
        <v>1</v>
      </c>
      <c r="P2429" s="17">
        <v>1</v>
      </c>
      <c r="Q2429" s="17">
        <v>1</v>
      </c>
      <c r="R2429" s="17" t="s">
        <v>127</v>
      </c>
      <c r="S2429" s="17" t="s">
        <v>263</v>
      </c>
    </row>
    <row r="2430" spans="8:19" ht="31.8" customHeight="1" x14ac:dyDescent="0.3">
      <c r="H2430" s="22" t="s">
        <v>51</v>
      </c>
      <c r="I2430" s="17" t="s">
        <v>20</v>
      </c>
      <c r="J2430" s="18" t="s">
        <v>21</v>
      </c>
      <c r="K2430" s="19"/>
      <c r="L2430" s="17"/>
      <c r="M2430" s="17"/>
      <c r="N2430" s="20"/>
      <c r="O2430" s="17">
        <v>3</v>
      </c>
      <c r="P2430" s="17">
        <v>3</v>
      </c>
      <c r="Q2430" s="17">
        <v>3</v>
      </c>
      <c r="R2430" s="17" t="s">
        <v>127</v>
      </c>
      <c r="S2430" s="17" t="s">
        <v>263</v>
      </c>
    </row>
    <row r="2431" spans="8:19" ht="31.8" customHeight="1" x14ac:dyDescent="0.3">
      <c r="H2431" s="22" t="s">
        <v>51</v>
      </c>
      <c r="I2431" s="17" t="s">
        <v>20</v>
      </c>
      <c r="J2431" s="18" t="s">
        <v>311</v>
      </c>
      <c r="K2431" s="19"/>
      <c r="L2431" s="17"/>
      <c r="M2431" s="17"/>
      <c r="N2431" s="20"/>
      <c r="O2431" s="17">
        <v>1</v>
      </c>
      <c r="P2431" s="17">
        <v>1</v>
      </c>
      <c r="Q2431" s="17">
        <v>1</v>
      </c>
      <c r="R2431" s="17" t="s">
        <v>127</v>
      </c>
      <c r="S2431" s="17" t="s">
        <v>263</v>
      </c>
    </row>
    <row r="2432" spans="8:19" ht="31.8" customHeight="1" x14ac:dyDescent="0.3">
      <c r="H2432" s="22" t="s">
        <v>51</v>
      </c>
      <c r="I2432" s="17" t="s">
        <v>22</v>
      </c>
      <c r="J2432" s="18" t="s">
        <v>23</v>
      </c>
      <c r="K2432" s="27"/>
      <c r="L2432" s="17"/>
      <c r="M2432" s="17"/>
      <c r="N2432" s="20"/>
      <c r="O2432" s="17">
        <v>1</v>
      </c>
      <c r="P2432" s="17">
        <v>1</v>
      </c>
      <c r="Q2432" s="17">
        <v>1</v>
      </c>
      <c r="R2432" s="17" t="s">
        <v>127</v>
      </c>
      <c r="S2432" s="17" t="s">
        <v>263</v>
      </c>
    </row>
    <row r="2433" spans="8:19" ht="31.8" customHeight="1" x14ac:dyDescent="0.3">
      <c r="H2433" s="22" t="s">
        <v>51</v>
      </c>
      <c r="I2433" s="17" t="s">
        <v>22</v>
      </c>
      <c r="J2433" s="18" t="s">
        <v>322</v>
      </c>
      <c r="K2433" s="27"/>
      <c r="L2433" s="17"/>
      <c r="M2433" s="17"/>
      <c r="N2433" s="20"/>
      <c r="O2433" s="17">
        <v>1</v>
      </c>
      <c r="P2433" s="17">
        <v>1</v>
      </c>
      <c r="Q2433" s="17">
        <v>1</v>
      </c>
      <c r="R2433" s="17" t="s">
        <v>127</v>
      </c>
      <c r="S2433" s="17" t="s">
        <v>263</v>
      </c>
    </row>
    <row r="2434" spans="8:19" ht="31.8" customHeight="1" x14ac:dyDescent="0.3">
      <c r="H2434" s="22" t="s">
        <v>51</v>
      </c>
      <c r="I2434" s="17" t="s">
        <v>25</v>
      </c>
      <c r="J2434" s="18" t="s">
        <v>321</v>
      </c>
      <c r="K2434" s="19"/>
      <c r="L2434" s="17"/>
      <c r="M2434" s="17"/>
      <c r="N2434" s="20"/>
      <c r="O2434" s="17">
        <v>3</v>
      </c>
      <c r="P2434" s="17">
        <v>0</v>
      </c>
      <c r="Q2434" s="17">
        <v>3</v>
      </c>
      <c r="R2434" s="17" t="s">
        <v>127</v>
      </c>
      <c r="S2434" s="17" t="s">
        <v>263</v>
      </c>
    </row>
    <row r="2435" spans="8:19" ht="31.8" customHeight="1" x14ac:dyDescent="0.3">
      <c r="H2435" s="22" t="s">
        <v>51</v>
      </c>
      <c r="I2435" s="17" t="s">
        <v>25</v>
      </c>
      <c r="J2435" s="18" t="s">
        <v>320</v>
      </c>
      <c r="K2435" s="19"/>
      <c r="L2435" s="17"/>
      <c r="M2435" s="17"/>
      <c r="N2435" s="20"/>
      <c r="O2435" s="17">
        <v>3</v>
      </c>
      <c r="P2435" s="17">
        <v>3</v>
      </c>
      <c r="Q2435" s="17">
        <v>3</v>
      </c>
      <c r="R2435" s="17" t="s">
        <v>127</v>
      </c>
      <c r="S2435" s="17" t="s">
        <v>263</v>
      </c>
    </row>
    <row r="2436" spans="8:19" ht="31.8" customHeight="1" x14ac:dyDescent="0.3">
      <c r="H2436" s="22" t="s">
        <v>51</v>
      </c>
      <c r="I2436" s="17" t="s">
        <v>30</v>
      </c>
      <c r="J2436" s="18" t="s">
        <v>315</v>
      </c>
      <c r="K2436" s="19"/>
      <c r="L2436" s="17"/>
      <c r="M2436" s="17"/>
      <c r="N2436" s="20"/>
      <c r="O2436" s="17">
        <v>3</v>
      </c>
      <c r="P2436" s="17">
        <v>3</v>
      </c>
      <c r="Q2436" s="17">
        <v>3</v>
      </c>
      <c r="R2436" s="17" t="s">
        <v>127</v>
      </c>
      <c r="S2436" s="17" t="s">
        <v>263</v>
      </c>
    </row>
    <row r="2437" spans="8:19" ht="31.8" customHeight="1" x14ac:dyDescent="0.3">
      <c r="H2437" s="22" t="s">
        <v>51</v>
      </c>
      <c r="I2437" s="17" t="s">
        <v>25</v>
      </c>
      <c r="J2437" s="18" t="s">
        <v>312</v>
      </c>
      <c r="K2437" s="19"/>
      <c r="L2437" s="17"/>
      <c r="M2437" s="17"/>
      <c r="N2437" s="20"/>
      <c r="O2437" s="17">
        <v>3</v>
      </c>
      <c r="P2437" s="17">
        <v>3</v>
      </c>
      <c r="Q2437" s="17">
        <v>3</v>
      </c>
      <c r="R2437" s="17" t="s">
        <v>127</v>
      </c>
      <c r="S2437" s="17" t="s">
        <v>263</v>
      </c>
    </row>
    <row r="2438" spans="8:19" ht="31.8" customHeight="1" x14ac:dyDescent="0.3">
      <c r="H2438" s="22" t="s">
        <v>51</v>
      </c>
      <c r="I2438" s="17" t="s">
        <v>41</v>
      </c>
      <c r="J2438" s="18" t="s">
        <v>307</v>
      </c>
      <c r="K2438" s="19"/>
      <c r="L2438" s="17"/>
      <c r="M2438" s="17"/>
      <c r="N2438" s="20"/>
      <c r="O2438" s="17">
        <v>3</v>
      </c>
      <c r="P2438" s="17">
        <v>0</v>
      </c>
      <c r="Q2438" s="17">
        <v>1.5</v>
      </c>
      <c r="R2438" s="17" t="s">
        <v>127</v>
      </c>
      <c r="S2438" s="17" t="s">
        <v>263</v>
      </c>
    </row>
    <row r="2439" spans="8:19" ht="31.8" customHeight="1" x14ac:dyDescent="0.3">
      <c r="H2439" s="22" t="s">
        <v>51</v>
      </c>
      <c r="I2439" s="23" t="s">
        <v>41</v>
      </c>
      <c r="J2439" s="18" t="s">
        <v>308</v>
      </c>
      <c r="K2439" s="24"/>
      <c r="L2439" s="23"/>
      <c r="M2439" s="23"/>
      <c r="N2439" s="25"/>
      <c r="O2439" s="23">
        <v>2</v>
      </c>
      <c r="P2439" s="23">
        <v>0</v>
      </c>
      <c r="Q2439" s="17">
        <v>2</v>
      </c>
      <c r="R2439" s="17" t="s">
        <v>127</v>
      </c>
      <c r="S2439" s="17" t="s">
        <v>263</v>
      </c>
    </row>
    <row r="2440" spans="8:19" ht="31.8" customHeight="1" x14ac:dyDescent="0.3">
      <c r="H2440" s="22" t="s">
        <v>83</v>
      </c>
      <c r="I2440" s="17" t="s">
        <v>14</v>
      </c>
      <c r="J2440" s="18" t="s">
        <v>15</v>
      </c>
      <c r="K2440" s="19" t="s">
        <v>290</v>
      </c>
      <c r="L2440" s="17"/>
      <c r="M2440" s="17">
        <v>2083</v>
      </c>
      <c r="N2440" s="20"/>
      <c r="O2440" s="17">
        <v>3</v>
      </c>
      <c r="P2440" s="17">
        <v>3</v>
      </c>
      <c r="Q2440" s="17">
        <v>3</v>
      </c>
      <c r="R2440" s="17" t="s">
        <v>127</v>
      </c>
      <c r="S2440" s="17" t="s">
        <v>263</v>
      </c>
    </row>
    <row r="2441" spans="8:19" ht="31.8" customHeight="1" x14ac:dyDescent="0.3">
      <c r="H2441" s="22" t="s">
        <v>83</v>
      </c>
      <c r="I2441" s="17" t="s">
        <v>14</v>
      </c>
      <c r="J2441" s="18" t="s">
        <v>16</v>
      </c>
      <c r="K2441" s="19" t="s">
        <v>291</v>
      </c>
      <c r="L2441" s="17"/>
      <c r="M2441" s="17">
        <v>9172</v>
      </c>
      <c r="N2441" s="20"/>
      <c r="O2441" s="17">
        <v>1</v>
      </c>
      <c r="P2441" s="17">
        <v>1</v>
      </c>
      <c r="Q2441" s="17">
        <v>1</v>
      </c>
      <c r="R2441" s="17" t="s">
        <v>127</v>
      </c>
      <c r="S2441" s="17" t="s">
        <v>263</v>
      </c>
    </row>
    <row r="2442" spans="8:19" ht="31.8" customHeight="1" x14ac:dyDescent="0.3">
      <c r="H2442" s="22" t="s">
        <v>83</v>
      </c>
      <c r="I2442" s="17" t="s">
        <v>10</v>
      </c>
      <c r="J2442" s="18" t="s">
        <v>11</v>
      </c>
      <c r="K2442" s="19" t="s">
        <v>290</v>
      </c>
      <c r="L2442" s="17"/>
      <c r="M2442" s="17">
        <v>5214</v>
      </c>
      <c r="N2442" s="20"/>
      <c r="O2442" s="17">
        <v>3</v>
      </c>
      <c r="P2442" s="17">
        <v>0</v>
      </c>
      <c r="Q2442" s="17">
        <v>3</v>
      </c>
      <c r="R2442" s="17" t="s">
        <v>127</v>
      </c>
      <c r="S2442" s="17" t="s">
        <v>263</v>
      </c>
    </row>
    <row r="2443" spans="8:19" ht="31.8" customHeight="1" x14ac:dyDescent="0.3">
      <c r="H2443" s="22" t="s">
        <v>83</v>
      </c>
      <c r="I2443" s="17" t="s">
        <v>10</v>
      </c>
      <c r="J2443" s="18" t="s">
        <v>316</v>
      </c>
      <c r="K2443" s="19" t="s">
        <v>0</v>
      </c>
      <c r="L2443" s="17"/>
      <c r="M2443" s="17"/>
      <c r="N2443" s="20"/>
      <c r="O2443" s="17">
        <v>3</v>
      </c>
      <c r="P2443" s="17">
        <v>3</v>
      </c>
      <c r="Q2443" s="17">
        <v>3</v>
      </c>
      <c r="R2443" s="17" t="s">
        <v>127</v>
      </c>
      <c r="S2443" s="17" t="s">
        <v>263</v>
      </c>
    </row>
    <row r="2444" spans="8:19" ht="31.8" customHeight="1" x14ac:dyDescent="0.3">
      <c r="H2444" s="22" t="s">
        <v>83</v>
      </c>
      <c r="I2444" s="17" t="s">
        <v>10</v>
      </c>
      <c r="J2444" s="18" t="s">
        <v>319</v>
      </c>
      <c r="K2444" s="19" t="s">
        <v>290</v>
      </c>
      <c r="L2444" s="17"/>
      <c r="M2444" s="17">
        <v>5214</v>
      </c>
      <c r="N2444" s="20"/>
      <c r="O2444" s="17">
        <v>3</v>
      </c>
      <c r="P2444" s="17">
        <v>0</v>
      </c>
      <c r="Q2444" s="17">
        <v>3</v>
      </c>
      <c r="R2444" s="17" t="s">
        <v>127</v>
      </c>
      <c r="S2444" s="17" t="s">
        <v>263</v>
      </c>
    </row>
    <row r="2445" spans="8:19" ht="31.8" customHeight="1" x14ac:dyDescent="0.3">
      <c r="H2445" s="22" t="s">
        <v>83</v>
      </c>
      <c r="I2445" s="17" t="s">
        <v>10</v>
      </c>
      <c r="J2445" s="18" t="s">
        <v>393</v>
      </c>
      <c r="K2445" s="27" t="s">
        <v>0</v>
      </c>
      <c r="L2445" s="17"/>
      <c r="M2445" s="17"/>
      <c r="N2445" s="20"/>
      <c r="O2445" s="17">
        <v>2</v>
      </c>
      <c r="P2445" s="17">
        <v>2</v>
      </c>
      <c r="Q2445" s="17">
        <v>2</v>
      </c>
      <c r="R2445" s="17" t="s">
        <v>127</v>
      </c>
      <c r="S2445" s="17" t="s">
        <v>263</v>
      </c>
    </row>
    <row r="2446" spans="8:19" ht="31.8" customHeight="1" x14ac:dyDescent="0.3">
      <c r="H2446" s="22" t="s">
        <v>83</v>
      </c>
      <c r="I2446" s="17" t="s">
        <v>10</v>
      </c>
      <c r="J2446" s="18" t="s">
        <v>313</v>
      </c>
      <c r="K2446" s="19" t="s">
        <v>0</v>
      </c>
      <c r="L2446" s="17"/>
      <c r="M2446" s="17"/>
      <c r="N2446" s="20"/>
      <c r="O2446" s="17">
        <v>3</v>
      </c>
      <c r="P2446" s="17">
        <v>3</v>
      </c>
      <c r="Q2446" s="17">
        <v>3</v>
      </c>
      <c r="R2446" s="17" t="s">
        <v>127</v>
      </c>
      <c r="S2446" s="17" t="s">
        <v>263</v>
      </c>
    </row>
    <row r="2447" spans="8:19" ht="31.8" customHeight="1" x14ac:dyDescent="0.3">
      <c r="H2447" s="22" t="s">
        <v>83</v>
      </c>
      <c r="I2447" s="17" t="s">
        <v>12</v>
      </c>
      <c r="J2447" s="18" t="s">
        <v>13</v>
      </c>
      <c r="K2447" s="19" t="s">
        <v>0</v>
      </c>
      <c r="L2447" s="17"/>
      <c r="M2447" s="17"/>
      <c r="N2447" s="20"/>
      <c r="O2447" s="17">
        <v>2</v>
      </c>
      <c r="P2447" s="17">
        <v>0</v>
      </c>
      <c r="Q2447" s="17">
        <v>2</v>
      </c>
      <c r="R2447" s="17" t="s">
        <v>127</v>
      </c>
      <c r="S2447" s="17" t="s">
        <v>263</v>
      </c>
    </row>
    <row r="2448" spans="8:19" ht="31.8" customHeight="1" x14ac:dyDescent="0.3">
      <c r="H2448" s="22" t="s">
        <v>83</v>
      </c>
      <c r="I2448" s="17" t="s">
        <v>17</v>
      </c>
      <c r="J2448" s="18" t="s">
        <v>18</v>
      </c>
      <c r="K2448" s="19" t="s">
        <v>0</v>
      </c>
      <c r="L2448" s="17"/>
      <c r="M2448" s="17"/>
      <c r="N2448" s="20"/>
      <c r="O2448" s="17">
        <v>3</v>
      </c>
      <c r="P2448" s="17">
        <v>3</v>
      </c>
      <c r="Q2448" s="17">
        <v>3</v>
      </c>
      <c r="R2448" s="17" t="s">
        <v>127</v>
      </c>
      <c r="S2448" s="17" t="s">
        <v>263</v>
      </c>
    </row>
    <row r="2449" spans="8:19" ht="31.8" customHeight="1" x14ac:dyDescent="0.3">
      <c r="H2449" s="22" t="s">
        <v>83</v>
      </c>
      <c r="I2449" s="17" t="s">
        <v>17</v>
      </c>
      <c r="J2449" s="18" t="s">
        <v>19</v>
      </c>
      <c r="K2449" s="19" t="s">
        <v>0</v>
      </c>
      <c r="L2449" s="17"/>
      <c r="M2449" s="17"/>
      <c r="N2449" s="20"/>
      <c r="O2449" s="17">
        <v>1</v>
      </c>
      <c r="P2449" s="17">
        <v>1</v>
      </c>
      <c r="Q2449" s="17">
        <v>1</v>
      </c>
      <c r="R2449" s="17" t="s">
        <v>127</v>
      </c>
      <c r="S2449" s="17" t="s">
        <v>263</v>
      </c>
    </row>
    <row r="2450" spans="8:19" ht="31.8" customHeight="1" x14ac:dyDescent="0.3">
      <c r="H2450" s="22" t="s">
        <v>83</v>
      </c>
      <c r="I2450" s="17" t="s">
        <v>20</v>
      </c>
      <c r="J2450" s="18" t="s">
        <v>21</v>
      </c>
      <c r="K2450" s="19" t="s">
        <v>0</v>
      </c>
      <c r="L2450" s="17"/>
      <c r="M2450" s="17"/>
      <c r="N2450" s="20"/>
      <c r="O2450" s="17">
        <v>3</v>
      </c>
      <c r="P2450" s="17">
        <v>3</v>
      </c>
      <c r="Q2450" s="17">
        <v>3</v>
      </c>
      <c r="R2450" s="17" t="s">
        <v>127</v>
      </c>
      <c r="S2450" s="17" t="s">
        <v>263</v>
      </c>
    </row>
    <row r="2451" spans="8:19" ht="31.8" customHeight="1" x14ac:dyDescent="0.3">
      <c r="H2451" s="22" t="s">
        <v>83</v>
      </c>
      <c r="I2451" s="17" t="s">
        <v>20</v>
      </c>
      <c r="J2451" s="18" t="s">
        <v>311</v>
      </c>
      <c r="K2451" s="19" t="s">
        <v>290</v>
      </c>
      <c r="L2451" s="17"/>
      <c r="M2451" s="17" t="s">
        <v>482</v>
      </c>
      <c r="N2451" s="20"/>
      <c r="O2451" s="17">
        <v>1</v>
      </c>
      <c r="P2451" s="17">
        <v>1</v>
      </c>
      <c r="Q2451" s="17">
        <v>1</v>
      </c>
      <c r="R2451" s="17" t="s">
        <v>127</v>
      </c>
      <c r="S2451" s="17" t="s">
        <v>263</v>
      </c>
    </row>
    <row r="2452" spans="8:19" ht="31.8" customHeight="1" x14ac:dyDescent="0.3">
      <c r="H2452" s="22" t="s">
        <v>83</v>
      </c>
      <c r="I2452" s="17" t="s">
        <v>22</v>
      </c>
      <c r="J2452" s="18" t="s">
        <v>23</v>
      </c>
      <c r="K2452" s="27" t="s">
        <v>0</v>
      </c>
      <c r="L2452" s="17"/>
      <c r="M2452" s="17"/>
      <c r="N2452" s="20"/>
      <c r="O2452" s="17">
        <v>1</v>
      </c>
      <c r="P2452" s="17">
        <v>1</v>
      </c>
      <c r="Q2452" s="17">
        <v>1</v>
      </c>
      <c r="R2452" s="17" t="s">
        <v>127</v>
      </c>
      <c r="S2452" s="17" t="s">
        <v>263</v>
      </c>
    </row>
    <row r="2453" spans="8:19" ht="31.8" customHeight="1" x14ac:dyDescent="0.3">
      <c r="H2453" s="22" t="s">
        <v>83</v>
      </c>
      <c r="I2453" s="17" t="s">
        <v>22</v>
      </c>
      <c r="J2453" s="18" t="s">
        <v>322</v>
      </c>
      <c r="K2453" s="27" t="s">
        <v>0</v>
      </c>
      <c r="L2453" s="17"/>
      <c r="M2453" s="17"/>
      <c r="N2453" s="20"/>
      <c r="O2453" s="17">
        <v>1</v>
      </c>
      <c r="P2453" s="17">
        <v>1</v>
      </c>
      <c r="Q2453" s="17">
        <v>1</v>
      </c>
      <c r="R2453" s="17" t="s">
        <v>127</v>
      </c>
      <c r="S2453" s="17" t="s">
        <v>263</v>
      </c>
    </row>
    <row r="2454" spans="8:19" ht="31.8" customHeight="1" x14ac:dyDescent="0.3">
      <c r="H2454" s="22" t="s">
        <v>83</v>
      </c>
      <c r="I2454" s="17" t="s">
        <v>25</v>
      </c>
      <c r="J2454" s="18" t="s">
        <v>321</v>
      </c>
      <c r="K2454" s="19" t="s">
        <v>0</v>
      </c>
      <c r="L2454" s="17"/>
      <c r="M2454" s="17"/>
      <c r="N2454" s="20"/>
      <c r="O2454" s="17">
        <v>3</v>
      </c>
      <c r="P2454" s="17">
        <v>0</v>
      </c>
      <c r="Q2454" s="17">
        <v>3</v>
      </c>
      <c r="R2454" s="17" t="s">
        <v>127</v>
      </c>
      <c r="S2454" s="17" t="s">
        <v>263</v>
      </c>
    </row>
    <row r="2455" spans="8:19" ht="31.8" customHeight="1" x14ac:dyDescent="0.3">
      <c r="H2455" s="22" t="s">
        <v>83</v>
      </c>
      <c r="I2455" s="17" t="s">
        <v>25</v>
      </c>
      <c r="J2455" s="18" t="s">
        <v>320</v>
      </c>
      <c r="K2455" s="19" t="s">
        <v>0</v>
      </c>
      <c r="L2455" s="17"/>
      <c r="M2455" s="17"/>
      <c r="N2455" s="20"/>
      <c r="O2455" s="17">
        <v>3</v>
      </c>
      <c r="P2455" s="17">
        <v>3</v>
      </c>
      <c r="Q2455" s="17">
        <v>3</v>
      </c>
      <c r="R2455" s="17" t="s">
        <v>127</v>
      </c>
      <c r="S2455" s="17" t="s">
        <v>263</v>
      </c>
    </row>
    <row r="2456" spans="8:19" ht="31.8" customHeight="1" x14ac:dyDescent="0.3">
      <c r="H2456" s="22" t="s">
        <v>83</v>
      </c>
      <c r="I2456" s="17" t="s">
        <v>30</v>
      </c>
      <c r="J2456" s="18" t="s">
        <v>315</v>
      </c>
      <c r="K2456" s="19" t="s">
        <v>0</v>
      </c>
      <c r="L2456" s="17"/>
      <c r="M2456" s="17"/>
      <c r="N2456" s="20"/>
      <c r="O2456" s="17">
        <v>3</v>
      </c>
      <c r="P2456" s="17">
        <v>3</v>
      </c>
      <c r="Q2456" s="17">
        <v>3</v>
      </c>
      <c r="R2456" s="17" t="s">
        <v>127</v>
      </c>
      <c r="S2456" s="17" t="s">
        <v>263</v>
      </c>
    </row>
    <row r="2457" spans="8:19" ht="31.8" customHeight="1" x14ac:dyDescent="0.3">
      <c r="H2457" s="22" t="s">
        <v>83</v>
      </c>
      <c r="I2457" s="17" t="s">
        <v>25</v>
      </c>
      <c r="J2457" s="18" t="s">
        <v>312</v>
      </c>
      <c r="K2457" s="19" t="s">
        <v>0</v>
      </c>
      <c r="L2457" s="17"/>
      <c r="M2457" s="17"/>
      <c r="N2457" s="20"/>
      <c r="O2457" s="17">
        <v>3</v>
      </c>
      <c r="P2457" s="17">
        <v>3</v>
      </c>
      <c r="Q2457" s="17">
        <v>3</v>
      </c>
      <c r="R2457" s="17" t="s">
        <v>127</v>
      </c>
      <c r="S2457" s="17" t="s">
        <v>263</v>
      </c>
    </row>
    <row r="2458" spans="8:19" ht="31.8" customHeight="1" x14ac:dyDescent="0.3">
      <c r="H2458" s="22" t="s">
        <v>83</v>
      </c>
      <c r="I2458" s="17" t="s">
        <v>41</v>
      </c>
      <c r="J2458" s="18" t="s">
        <v>307</v>
      </c>
      <c r="K2458" s="19" t="s">
        <v>0</v>
      </c>
      <c r="L2458" s="17"/>
      <c r="M2458" s="17"/>
      <c r="N2458" s="20"/>
      <c r="O2458" s="17">
        <v>3</v>
      </c>
      <c r="P2458" s="17">
        <v>0</v>
      </c>
      <c r="Q2458" s="17">
        <v>1.5</v>
      </c>
      <c r="R2458" s="17" t="s">
        <v>127</v>
      </c>
      <c r="S2458" s="17" t="s">
        <v>263</v>
      </c>
    </row>
    <row r="2459" spans="8:19" ht="31.8" customHeight="1" x14ac:dyDescent="0.3">
      <c r="H2459" s="22" t="s">
        <v>83</v>
      </c>
      <c r="I2459" s="23" t="s">
        <v>41</v>
      </c>
      <c r="J2459" s="18" t="s">
        <v>308</v>
      </c>
      <c r="K2459" s="24" t="s">
        <v>290</v>
      </c>
      <c r="L2459" s="23"/>
      <c r="M2459" s="23"/>
      <c r="N2459" s="25"/>
      <c r="O2459" s="23">
        <v>2</v>
      </c>
      <c r="P2459" s="23">
        <v>0</v>
      </c>
      <c r="Q2459" s="17">
        <v>2</v>
      </c>
      <c r="R2459" s="17" t="s">
        <v>127</v>
      </c>
      <c r="S2459" s="17" t="s">
        <v>263</v>
      </c>
    </row>
    <row r="2460" spans="8:19" ht="31.8" customHeight="1" x14ac:dyDescent="0.3">
      <c r="H2460" s="22" t="s">
        <v>69</v>
      </c>
      <c r="I2460" s="17" t="s">
        <v>14</v>
      </c>
      <c r="J2460" s="18" t="s">
        <v>15</v>
      </c>
      <c r="K2460" s="19" t="s">
        <v>0</v>
      </c>
      <c r="L2460" s="17"/>
      <c r="M2460" s="17"/>
      <c r="N2460" s="20"/>
      <c r="O2460" s="17">
        <v>3</v>
      </c>
      <c r="P2460" s="17">
        <v>3</v>
      </c>
      <c r="Q2460" s="17">
        <v>3</v>
      </c>
      <c r="R2460" s="17" t="s">
        <v>127</v>
      </c>
      <c r="S2460" s="17" t="s">
        <v>263</v>
      </c>
    </row>
    <row r="2461" spans="8:19" ht="31.8" customHeight="1" x14ac:dyDescent="0.3">
      <c r="H2461" s="22" t="s">
        <v>69</v>
      </c>
      <c r="I2461" s="17" t="s">
        <v>14</v>
      </c>
      <c r="J2461" s="18" t="s">
        <v>16</v>
      </c>
      <c r="K2461" s="19" t="s">
        <v>0</v>
      </c>
      <c r="L2461" s="17"/>
      <c r="M2461" s="17"/>
      <c r="N2461" s="20"/>
      <c r="O2461" s="17">
        <v>1</v>
      </c>
      <c r="P2461" s="17">
        <v>1</v>
      </c>
      <c r="Q2461" s="17">
        <v>1</v>
      </c>
      <c r="R2461" s="17" t="s">
        <v>127</v>
      </c>
      <c r="S2461" s="17" t="s">
        <v>263</v>
      </c>
    </row>
    <row r="2462" spans="8:19" ht="31.8" customHeight="1" x14ac:dyDescent="0.3">
      <c r="H2462" s="22" t="s">
        <v>69</v>
      </c>
      <c r="I2462" s="17" t="s">
        <v>10</v>
      </c>
      <c r="J2462" s="18" t="s">
        <v>11</v>
      </c>
      <c r="K2462" s="19" t="s">
        <v>0</v>
      </c>
      <c r="L2462" s="17"/>
      <c r="M2462" s="17"/>
      <c r="N2462" s="20"/>
      <c r="O2462" s="17">
        <v>3</v>
      </c>
      <c r="P2462" s="17">
        <v>0</v>
      </c>
      <c r="Q2462" s="17">
        <v>3</v>
      </c>
      <c r="R2462" s="17" t="s">
        <v>127</v>
      </c>
      <c r="S2462" s="17" t="s">
        <v>263</v>
      </c>
    </row>
    <row r="2463" spans="8:19" ht="31.8" customHeight="1" x14ac:dyDescent="0.3">
      <c r="H2463" s="22" t="s">
        <v>69</v>
      </c>
      <c r="I2463" s="17" t="s">
        <v>10</v>
      </c>
      <c r="J2463" s="18" t="s">
        <v>316</v>
      </c>
      <c r="K2463" s="19" t="s">
        <v>0</v>
      </c>
      <c r="L2463" s="17"/>
      <c r="M2463" s="17"/>
      <c r="N2463" s="20"/>
      <c r="O2463" s="17">
        <v>3</v>
      </c>
      <c r="P2463" s="17">
        <v>3</v>
      </c>
      <c r="Q2463" s="17">
        <v>3</v>
      </c>
      <c r="R2463" s="17" t="s">
        <v>127</v>
      </c>
      <c r="S2463" s="17" t="s">
        <v>263</v>
      </c>
    </row>
    <row r="2464" spans="8:19" ht="31.8" customHeight="1" x14ac:dyDescent="0.3">
      <c r="H2464" s="22" t="s">
        <v>69</v>
      </c>
      <c r="I2464" s="17" t="s">
        <v>10</v>
      </c>
      <c r="J2464" s="18" t="s">
        <v>319</v>
      </c>
      <c r="K2464" s="19" t="s">
        <v>290</v>
      </c>
      <c r="L2464" s="17"/>
      <c r="M2464" s="17" t="s">
        <v>482</v>
      </c>
      <c r="N2464" s="20"/>
      <c r="O2464" s="17">
        <v>3</v>
      </c>
      <c r="P2464" s="17">
        <v>0</v>
      </c>
      <c r="Q2464" s="17">
        <v>3</v>
      </c>
      <c r="R2464" s="17" t="s">
        <v>127</v>
      </c>
      <c r="S2464" s="17" t="s">
        <v>263</v>
      </c>
    </row>
    <row r="2465" spans="8:19" ht="31.8" customHeight="1" x14ac:dyDescent="0.3">
      <c r="H2465" s="22" t="s">
        <v>69</v>
      </c>
      <c r="I2465" s="17" t="s">
        <v>10</v>
      </c>
      <c r="J2465" s="18" t="s">
        <v>393</v>
      </c>
      <c r="K2465" s="27" t="s">
        <v>0</v>
      </c>
      <c r="L2465" s="17"/>
      <c r="M2465" s="17"/>
      <c r="N2465" s="20"/>
      <c r="O2465" s="17">
        <v>2</v>
      </c>
      <c r="P2465" s="17">
        <v>2</v>
      </c>
      <c r="Q2465" s="17">
        <v>2</v>
      </c>
      <c r="R2465" s="17" t="s">
        <v>127</v>
      </c>
      <c r="S2465" s="17" t="s">
        <v>263</v>
      </c>
    </row>
    <row r="2466" spans="8:19" ht="31.8" customHeight="1" x14ac:dyDescent="0.3">
      <c r="H2466" s="22" t="s">
        <v>69</v>
      </c>
      <c r="I2466" s="17" t="s">
        <v>10</v>
      </c>
      <c r="J2466" s="18" t="s">
        <v>313</v>
      </c>
      <c r="K2466" s="19" t="s">
        <v>0</v>
      </c>
      <c r="L2466" s="17"/>
      <c r="M2466" s="17"/>
      <c r="N2466" s="20"/>
      <c r="O2466" s="17">
        <v>3</v>
      </c>
      <c r="P2466" s="17">
        <v>3</v>
      </c>
      <c r="Q2466" s="17">
        <v>3</v>
      </c>
      <c r="R2466" s="17" t="s">
        <v>127</v>
      </c>
      <c r="S2466" s="17" t="s">
        <v>263</v>
      </c>
    </row>
    <row r="2467" spans="8:19" ht="31.8" customHeight="1" x14ac:dyDescent="0.3">
      <c r="H2467" s="22" t="s">
        <v>69</v>
      </c>
      <c r="I2467" s="17" t="s">
        <v>12</v>
      </c>
      <c r="J2467" s="18" t="s">
        <v>13</v>
      </c>
      <c r="K2467" s="19" t="s">
        <v>0</v>
      </c>
      <c r="L2467" s="17"/>
      <c r="M2467" s="17"/>
      <c r="N2467" s="20"/>
      <c r="O2467" s="17">
        <v>2</v>
      </c>
      <c r="P2467" s="17">
        <v>0</v>
      </c>
      <c r="Q2467" s="17">
        <v>2</v>
      </c>
      <c r="R2467" s="17" t="s">
        <v>127</v>
      </c>
      <c r="S2467" s="17" t="s">
        <v>263</v>
      </c>
    </row>
    <row r="2468" spans="8:19" ht="31.8" customHeight="1" x14ac:dyDescent="0.3">
      <c r="H2468" s="22" t="s">
        <v>69</v>
      </c>
      <c r="I2468" s="17" t="s">
        <v>17</v>
      </c>
      <c r="J2468" s="18" t="s">
        <v>18</v>
      </c>
      <c r="K2468" s="19" t="s">
        <v>0</v>
      </c>
      <c r="L2468" s="17"/>
      <c r="M2468" s="17"/>
      <c r="N2468" s="20"/>
      <c r="O2468" s="17">
        <v>3</v>
      </c>
      <c r="P2468" s="17">
        <v>3</v>
      </c>
      <c r="Q2468" s="17">
        <v>3</v>
      </c>
      <c r="R2468" s="17" t="s">
        <v>127</v>
      </c>
      <c r="S2468" s="17" t="s">
        <v>263</v>
      </c>
    </row>
    <row r="2469" spans="8:19" ht="31.8" customHeight="1" x14ac:dyDescent="0.3">
      <c r="H2469" s="22" t="s">
        <v>69</v>
      </c>
      <c r="I2469" s="17" t="s">
        <v>17</v>
      </c>
      <c r="J2469" s="18" t="s">
        <v>19</v>
      </c>
      <c r="K2469" s="19" t="s">
        <v>0</v>
      </c>
      <c r="L2469" s="17"/>
      <c r="M2469" s="17"/>
      <c r="N2469" s="20"/>
      <c r="O2469" s="17">
        <v>1</v>
      </c>
      <c r="P2469" s="17">
        <v>1</v>
      </c>
      <c r="Q2469" s="17">
        <v>1</v>
      </c>
      <c r="R2469" s="17" t="s">
        <v>127</v>
      </c>
      <c r="S2469" s="17" t="s">
        <v>263</v>
      </c>
    </row>
    <row r="2470" spans="8:19" ht="31.8" customHeight="1" x14ac:dyDescent="0.3">
      <c r="H2470" s="22" t="s">
        <v>69</v>
      </c>
      <c r="I2470" s="17" t="s">
        <v>20</v>
      </c>
      <c r="J2470" s="18" t="s">
        <v>21</v>
      </c>
      <c r="K2470" s="19" t="s">
        <v>0</v>
      </c>
      <c r="L2470" s="17"/>
      <c r="M2470" s="17"/>
      <c r="N2470" s="20"/>
      <c r="O2470" s="17">
        <v>3</v>
      </c>
      <c r="P2470" s="17">
        <v>3</v>
      </c>
      <c r="Q2470" s="17">
        <v>3</v>
      </c>
      <c r="R2470" s="17" t="s">
        <v>127</v>
      </c>
      <c r="S2470" s="17" t="s">
        <v>263</v>
      </c>
    </row>
    <row r="2471" spans="8:19" ht="31.8" customHeight="1" x14ac:dyDescent="0.3">
      <c r="H2471" s="22" t="s">
        <v>69</v>
      </c>
      <c r="I2471" s="17" t="s">
        <v>20</v>
      </c>
      <c r="J2471" s="18" t="s">
        <v>311</v>
      </c>
      <c r="K2471" s="19" t="s">
        <v>0</v>
      </c>
      <c r="L2471" s="17"/>
      <c r="M2471" s="17"/>
      <c r="N2471" s="20"/>
      <c r="O2471" s="17">
        <v>1</v>
      </c>
      <c r="P2471" s="17">
        <v>1</v>
      </c>
      <c r="Q2471" s="17">
        <v>1</v>
      </c>
      <c r="R2471" s="17" t="s">
        <v>127</v>
      </c>
      <c r="S2471" s="17" t="s">
        <v>263</v>
      </c>
    </row>
    <row r="2472" spans="8:19" ht="31.8" customHeight="1" x14ac:dyDescent="0.3">
      <c r="H2472" s="22" t="s">
        <v>69</v>
      </c>
      <c r="I2472" s="17" t="s">
        <v>22</v>
      </c>
      <c r="J2472" s="18" t="s">
        <v>23</v>
      </c>
      <c r="K2472" s="27" t="s">
        <v>0</v>
      </c>
      <c r="L2472" s="17"/>
      <c r="M2472" s="17"/>
      <c r="N2472" s="20"/>
      <c r="O2472" s="17">
        <v>1</v>
      </c>
      <c r="P2472" s="17">
        <v>1</v>
      </c>
      <c r="Q2472" s="17">
        <v>1</v>
      </c>
      <c r="R2472" s="17" t="s">
        <v>127</v>
      </c>
      <c r="S2472" s="17" t="s">
        <v>263</v>
      </c>
    </row>
    <row r="2473" spans="8:19" ht="31.8" customHeight="1" x14ac:dyDescent="0.3">
      <c r="H2473" s="22" t="s">
        <v>69</v>
      </c>
      <c r="I2473" s="17" t="s">
        <v>22</v>
      </c>
      <c r="J2473" s="18" t="s">
        <v>322</v>
      </c>
      <c r="K2473" s="27" t="s">
        <v>0</v>
      </c>
      <c r="L2473" s="17"/>
      <c r="M2473" s="17"/>
      <c r="N2473" s="20"/>
      <c r="O2473" s="17">
        <v>1</v>
      </c>
      <c r="P2473" s="17">
        <v>1</v>
      </c>
      <c r="Q2473" s="17">
        <v>1</v>
      </c>
      <c r="R2473" s="17" t="s">
        <v>127</v>
      </c>
      <c r="S2473" s="17" t="s">
        <v>263</v>
      </c>
    </row>
    <row r="2474" spans="8:19" ht="31.8" customHeight="1" x14ac:dyDescent="0.3">
      <c r="H2474" s="22" t="s">
        <v>69</v>
      </c>
      <c r="I2474" s="17" t="s">
        <v>25</v>
      </c>
      <c r="J2474" s="18" t="s">
        <v>321</v>
      </c>
      <c r="K2474" s="19" t="s">
        <v>0</v>
      </c>
      <c r="L2474" s="17"/>
      <c r="M2474" s="17"/>
      <c r="N2474" s="20"/>
      <c r="O2474" s="17">
        <v>3</v>
      </c>
      <c r="P2474" s="17">
        <v>0</v>
      </c>
      <c r="Q2474" s="17">
        <v>3</v>
      </c>
      <c r="R2474" s="17" t="s">
        <v>127</v>
      </c>
      <c r="S2474" s="17" t="s">
        <v>263</v>
      </c>
    </row>
    <row r="2475" spans="8:19" ht="31.8" customHeight="1" x14ac:dyDescent="0.3">
      <c r="H2475" s="22" t="s">
        <v>69</v>
      </c>
      <c r="I2475" s="17" t="s">
        <v>25</v>
      </c>
      <c r="J2475" s="18" t="s">
        <v>320</v>
      </c>
      <c r="K2475" s="19" t="s">
        <v>0</v>
      </c>
      <c r="L2475" s="17"/>
      <c r="M2475" s="17"/>
      <c r="N2475" s="20"/>
      <c r="O2475" s="17">
        <v>3</v>
      </c>
      <c r="P2475" s="17">
        <v>3</v>
      </c>
      <c r="Q2475" s="17">
        <v>3</v>
      </c>
      <c r="R2475" s="17" t="s">
        <v>127</v>
      </c>
      <c r="S2475" s="17" t="s">
        <v>263</v>
      </c>
    </row>
    <row r="2476" spans="8:19" ht="31.8" customHeight="1" x14ac:dyDescent="0.3">
      <c r="H2476" s="22" t="s">
        <v>69</v>
      </c>
      <c r="I2476" s="17" t="s">
        <v>30</v>
      </c>
      <c r="J2476" s="18" t="s">
        <v>315</v>
      </c>
      <c r="K2476" s="19" t="s">
        <v>0</v>
      </c>
      <c r="L2476" s="17"/>
      <c r="M2476" s="17"/>
      <c r="N2476" s="20"/>
      <c r="O2476" s="17">
        <v>3</v>
      </c>
      <c r="P2476" s="17">
        <v>3</v>
      </c>
      <c r="Q2476" s="17">
        <v>3</v>
      </c>
      <c r="R2476" s="17" t="s">
        <v>127</v>
      </c>
      <c r="S2476" s="17" t="s">
        <v>263</v>
      </c>
    </row>
    <row r="2477" spans="8:19" ht="31.8" customHeight="1" x14ac:dyDescent="0.3">
      <c r="H2477" s="22" t="s">
        <v>69</v>
      </c>
      <c r="I2477" s="17" t="s">
        <v>25</v>
      </c>
      <c r="J2477" s="18" t="s">
        <v>312</v>
      </c>
      <c r="K2477" s="19" t="s">
        <v>0</v>
      </c>
      <c r="L2477" s="17"/>
      <c r="M2477" s="17"/>
      <c r="N2477" s="20"/>
      <c r="O2477" s="17">
        <v>3</v>
      </c>
      <c r="P2477" s="17">
        <v>3</v>
      </c>
      <c r="Q2477" s="17">
        <v>3</v>
      </c>
      <c r="R2477" s="17" t="s">
        <v>127</v>
      </c>
      <c r="S2477" s="17" t="s">
        <v>263</v>
      </c>
    </row>
    <row r="2478" spans="8:19" ht="31.8" customHeight="1" x14ac:dyDescent="0.3">
      <c r="H2478" s="22" t="s">
        <v>69</v>
      </c>
      <c r="I2478" s="17" t="s">
        <v>41</v>
      </c>
      <c r="J2478" s="18" t="s">
        <v>307</v>
      </c>
      <c r="K2478" s="19" t="s">
        <v>1</v>
      </c>
      <c r="L2478" s="17"/>
      <c r="M2478" s="17"/>
      <c r="N2478" s="20"/>
      <c r="O2478" s="17">
        <v>3</v>
      </c>
      <c r="P2478" s="17">
        <v>0</v>
      </c>
      <c r="Q2478" s="17">
        <v>1.5</v>
      </c>
      <c r="R2478" s="17" t="s">
        <v>127</v>
      </c>
      <c r="S2478" s="17" t="s">
        <v>263</v>
      </c>
    </row>
    <row r="2479" spans="8:19" ht="31.8" customHeight="1" x14ac:dyDescent="0.3">
      <c r="H2479" s="22" t="s">
        <v>69</v>
      </c>
      <c r="I2479" s="23" t="s">
        <v>41</v>
      </c>
      <c r="J2479" s="18" t="s">
        <v>308</v>
      </c>
      <c r="K2479" s="24" t="s">
        <v>1</v>
      </c>
      <c r="L2479" s="23"/>
      <c r="M2479" s="23"/>
      <c r="N2479" s="25"/>
      <c r="O2479" s="23">
        <v>2</v>
      </c>
      <c r="P2479" s="23">
        <v>0</v>
      </c>
      <c r="Q2479" s="17">
        <v>2</v>
      </c>
      <c r="R2479" s="17" t="s">
        <v>127</v>
      </c>
      <c r="S2479" s="17" t="s">
        <v>263</v>
      </c>
    </row>
    <row r="2480" spans="8:19" ht="31.8" customHeight="1" x14ac:dyDescent="0.3">
      <c r="H2480" s="22" t="s">
        <v>134</v>
      </c>
      <c r="I2480" s="17" t="s">
        <v>14</v>
      </c>
      <c r="J2480" s="18" t="s">
        <v>15</v>
      </c>
      <c r="K2480" s="19"/>
      <c r="L2480" s="17"/>
      <c r="M2480" s="17"/>
      <c r="N2480" s="20"/>
      <c r="O2480" s="17">
        <v>3</v>
      </c>
      <c r="P2480" s="17">
        <v>3</v>
      </c>
      <c r="Q2480" s="17">
        <v>3</v>
      </c>
      <c r="R2480" s="17" t="s">
        <v>127</v>
      </c>
      <c r="S2480" s="17" t="s">
        <v>263</v>
      </c>
    </row>
    <row r="2481" spans="8:19" ht="31.8" customHeight="1" x14ac:dyDescent="0.3">
      <c r="H2481" s="22" t="s">
        <v>134</v>
      </c>
      <c r="I2481" s="17" t="s">
        <v>14</v>
      </c>
      <c r="J2481" s="18" t="s">
        <v>16</v>
      </c>
      <c r="K2481" s="19"/>
      <c r="L2481" s="17"/>
      <c r="M2481" s="17"/>
      <c r="N2481" s="20"/>
      <c r="O2481" s="17">
        <v>1</v>
      </c>
      <c r="P2481" s="17">
        <v>1</v>
      </c>
      <c r="Q2481" s="17">
        <v>1</v>
      </c>
      <c r="R2481" s="17" t="s">
        <v>127</v>
      </c>
      <c r="S2481" s="17" t="s">
        <v>263</v>
      </c>
    </row>
    <row r="2482" spans="8:19" ht="31.8" customHeight="1" x14ac:dyDescent="0.3">
      <c r="H2482" s="22" t="s">
        <v>134</v>
      </c>
      <c r="I2482" s="17" t="s">
        <v>10</v>
      </c>
      <c r="J2482" s="18" t="s">
        <v>11</v>
      </c>
      <c r="K2482" s="19"/>
      <c r="L2482" s="17"/>
      <c r="M2482" s="17"/>
      <c r="N2482" s="20"/>
      <c r="O2482" s="17">
        <v>3</v>
      </c>
      <c r="P2482" s="17">
        <v>0</v>
      </c>
      <c r="Q2482" s="17">
        <v>3</v>
      </c>
      <c r="R2482" s="17" t="s">
        <v>127</v>
      </c>
      <c r="S2482" s="17" t="s">
        <v>263</v>
      </c>
    </row>
    <row r="2483" spans="8:19" ht="31.8" customHeight="1" x14ac:dyDescent="0.3">
      <c r="H2483" s="22" t="s">
        <v>134</v>
      </c>
      <c r="I2483" s="17" t="s">
        <v>10</v>
      </c>
      <c r="J2483" s="18" t="s">
        <v>316</v>
      </c>
      <c r="K2483" s="19"/>
      <c r="L2483" s="17"/>
      <c r="M2483" s="17"/>
      <c r="N2483" s="20"/>
      <c r="O2483" s="17">
        <v>3</v>
      </c>
      <c r="P2483" s="17">
        <v>3</v>
      </c>
      <c r="Q2483" s="17">
        <v>3</v>
      </c>
      <c r="R2483" s="17" t="s">
        <v>127</v>
      </c>
      <c r="S2483" s="17" t="s">
        <v>263</v>
      </c>
    </row>
    <row r="2484" spans="8:19" ht="31.8" customHeight="1" x14ac:dyDescent="0.3">
      <c r="H2484" s="22" t="s">
        <v>134</v>
      </c>
      <c r="I2484" s="17" t="s">
        <v>10</v>
      </c>
      <c r="J2484" s="18" t="s">
        <v>319</v>
      </c>
      <c r="K2484" s="19"/>
      <c r="L2484" s="17"/>
      <c r="M2484" s="17"/>
      <c r="N2484" s="20"/>
      <c r="O2484" s="17">
        <v>3</v>
      </c>
      <c r="P2484" s="17">
        <v>0</v>
      </c>
      <c r="Q2484" s="17">
        <v>3</v>
      </c>
      <c r="R2484" s="17" t="s">
        <v>127</v>
      </c>
      <c r="S2484" s="17" t="s">
        <v>263</v>
      </c>
    </row>
    <row r="2485" spans="8:19" ht="31.8" customHeight="1" x14ac:dyDescent="0.3">
      <c r="H2485" s="22" t="s">
        <v>134</v>
      </c>
      <c r="I2485" s="17" t="s">
        <v>10</v>
      </c>
      <c r="J2485" s="18" t="s">
        <v>393</v>
      </c>
      <c r="K2485" s="27"/>
      <c r="L2485" s="17"/>
      <c r="M2485" s="17"/>
      <c r="N2485" s="20"/>
      <c r="O2485" s="17">
        <v>2</v>
      </c>
      <c r="P2485" s="17">
        <v>2</v>
      </c>
      <c r="Q2485" s="17">
        <v>2</v>
      </c>
      <c r="R2485" s="17" t="s">
        <v>127</v>
      </c>
      <c r="S2485" s="17" t="s">
        <v>263</v>
      </c>
    </row>
    <row r="2486" spans="8:19" ht="31.8" customHeight="1" x14ac:dyDescent="0.3">
      <c r="H2486" s="22" t="s">
        <v>134</v>
      </c>
      <c r="I2486" s="17" t="s">
        <v>10</v>
      </c>
      <c r="J2486" s="18" t="s">
        <v>313</v>
      </c>
      <c r="K2486" s="19"/>
      <c r="L2486" s="17"/>
      <c r="M2486" s="17"/>
      <c r="N2486" s="20"/>
      <c r="O2486" s="17">
        <v>3</v>
      </c>
      <c r="P2486" s="17">
        <v>3</v>
      </c>
      <c r="Q2486" s="17">
        <v>3</v>
      </c>
      <c r="R2486" s="17" t="s">
        <v>127</v>
      </c>
      <c r="S2486" s="17" t="s">
        <v>263</v>
      </c>
    </row>
    <row r="2487" spans="8:19" ht="31.8" customHeight="1" x14ac:dyDescent="0.3">
      <c r="H2487" s="22" t="s">
        <v>134</v>
      </c>
      <c r="I2487" s="17" t="s">
        <v>12</v>
      </c>
      <c r="J2487" s="18" t="s">
        <v>13</v>
      </c>
      <c r="K2487" s="19"/>
      <c r="L2487" s="17"/>
      <c r="M2487" s="17"/>
      <c r="N2487" s="20"/>
      <c r="O2487" s="17">
        <v>2</v>
      </c>
      <c r="P2487" s="17">
        <v>0</v>
      </c>
      <c r="Q2487" s="17">
        <v>2</v>
      </c>
      <c r="R2487" s="17" t="s">
        <v>127</v>
      </c>
      <c r="S2487" s="17" t="s">
        <v>263</v>
      </c>
    </row>
    <row r="2488" spans="8:19" ht="31.8" customHeight="1" x14ac:dyDescent="0.3">
      <c r="H2488" s="22" t="s">
        <v>134</v>
      </c>
      <c r="I2488" s="17" t="s">
        <v>17</v>
      </c>
      <c r="J2488" s="18" t="s">
        <v>18</v>
      </c>
      <c r="K2488" s="19"/>
      <c r="L2488" s="17"/>
      <c r="M2488" s="17"/>
      <c r="N2488" s="20"/>
      <c r="O2488" s="17">
        <v>3</v>
      </c>
      <c r="P2488" s="17">
        <v>3</v>
      </c>
      <c r="Q2488" s="17">
        <v>3</v>
      </c>
      <c r="R2488" s="17" t="s">
        <v>127</v>
      </c>
      <c r="S2488" s="17" t="s">
        <v>263</v>
      </c>
    </row>
    <row r="2489" spans="8:19" ht="31.8" customHeight="1" x14ac:dyDescent="0.3">
      <c r="H2489" s="22" t="s">
        <v>134</v>
      </c>
      <c r="I2489" s="17" t="s">
        <v>17</v>
      </c>
      <c r="J2489" s="18" t="s">
        <v>19</v>
      </c>
      <c r="K2489" s="19"/>
      <c r="L2489" s="17"/>
      <c r="M2489" s="17"/>
      <c r="N2489" s="20"/>
      <c r="O2489" s="17">
        <v>1</v>
      </c>
      <c r="P2489" s="17">
        <v>1</v>
      </c>
      <c r="Q2489" s="17">
        <v>1</v>
      </c>
      <c r="R2489" s="17" t="s">
        <v>127</v>
      </c>
      <c r="S2489" s="17" t="s">
        <v>263</v>
      </c>
    </row>
    <row r="2490" spans="8:19" ht="31.8" customHeight="1" x14ac:dyDescent="0.3">
      <c r="H2490" s="22" t="s">
        <v>134</v>
      </c>
      <c r="I2490" s="17" t="s">
        <v>20</v>
      </c>
      <c r="J2490" s="18" t="s">
        <v>21</v>
      </c>
      <c r="K2490" s="19"/>
      <c r="L2490" s="17"/>
      <c r="M2490" s="17"/>
      <c r="N2490" s="20"/>
      <c r="O2490" s="17">
        <v>3</v>
      </c>
      <c r="P2490" s="17">
        <v>3</v>
      </c>
      <c r="Q2490" s="17">
        <v>3</v>
      </c>
      <c r="R2490" s="17" t="s">
        <v>127</v>
      </c>
      <c r="S2490" s="17" t="s">
        <v>263</v>
      </c>
    </row>
    <row r="2491" spans="8:19" ht="31.8" customHeight="1" x14ac:dyDescent="0.3">
      <c r="H2491" s="22" t="s">
        <v>134</v>
      </c>
      <c r="I2491" s="17" t="s">
        <v>20</v>
      </c>
      <c r="J2491" s="18" t="s">
        <v>311</v>
      </c>
      <c r="K2491" s="19"/>
      <c r="L2491" s="17"/>
      <c r="M2491" s="17"/>
      <c r="N2491" s="20"/>
      <c r="O2491" s="17">
        <v>1</v>
      </c>
      <c r="P2491" s="17">
        <v>1</v>
      </c>
      <c r="Q2491" s="17">
        <v>1</v>
      </c>
      <c r="R2491" s="17" t="s">
        <v>127</v>
      </c>
      <c r="S2491" s="17" t="s">
        <v>263</v>
      </c>
    </row>
    <row r="2492" spans="8:19" ht="31.8" customHeight="1" x14ac:dyDescent="0.3">
      <c r="H2492" s="22" t="s">
        <v>134</v>
      </c>
      <c r="I2492" s="17" t="s">
        <v>22</v>
      </c>
      <c r="J2492" s="18" t="s">
        <v>23</v>
      </c>
      <c r="K2492" s="27"/>
      <c r="L2492" s="17"/>
      <c r="M2492" s="17"/>
      <c r="N2492" s="20"/>
      <c r="O2492" s="17">
        <v>1</v>
      </c>
      <c r="P2492" s="17">
        <v>1</v>
      </c>
      <c r="Q2492" s="17">
        <v>1</v>
      </c>
      <c r="R2492" s="17" t="s">
        <v>127</v>
      </c>
      <c r="S2492" s="17" t="s">
        <v>263</v>
      </c>
    </row>
    <row r="2493" spans="8:19" ht="31.8" customHeight="1" x14ac:dyDescent="0.3">
      <c r="H2493" s="22" t="s">
        <v>134</v>
      </c>
      <c r="I2493" s="17" t="s">
        <v>22</v>
      </c>
      <c r="J2493" s="18" t="s">
        <v>322</v>
      </c>
      <c r="K2493" s="27"/>
      <c r="L2493" s="17"/>
      <c r="M2493" s="17"/>
      <c r="N2493" s="20"/>
      <c r="O2493" s="17">
        <v>1</v>
      </c>
      <c r="P2493" s="17">
        <v>1</v>
      </c>
      <c r="Q2493" s="17">
        <v>1</v>
      </c>
      <c r="R2493" s="17" t="s">
        <v>127</v>
      </c>
      <c r="S2493" s="17" t="s">
        <v>263</v>
      </c>
    </row>
    <row r="2494" spans="8:19" ht="31.8" customHeight="1" x14ac:dyDescent="0.3">
      <c r="H2494" s="22" t="s">
        <v>134</v>
      </c>
      <c r="I2494" s="17" t="s">
        <v>25</v>
      </c>
      <c r="J2494" s="18" t="s">
        <v>321</v>
      </c>
      <c r="K2494" s="19"/>
      <c r="L2494" s="17"/>
      <c r="M2494" s="17"/>
      <c r="N2494" s="20"/>
      <c r="O2494" s="17">
        <v>3</v>
      </c>
      <c r="P2494" s="17">
        <v>0</v>
      </c>
      <c r="Q2494" s="17">
        <v>3</v>
      </c>
      <c r="R2494" s="17" t="s">
        <v>127</v>
      </c>
      <c r="S2494" s="17" t="s">
        <v>263</v>
      </c>
    </row>
    <row r="2495" spans="8:19" ht="31.8" customHeight="1" x14ac:dyDescent="0.3">
      <c r="H2495" s="22" t="s">
        <v>134</v>
      </c>
      <c r="I2495" s="17" t="s">
        <v>25</v>
      </c>
      <c r="J2495" s="18" t="s">
        <v>320</v>
      </c>
      <c r="K2495" s="19"/>
      <c r="L2495" s="17"/>
      <c r="M2495" s="17"/>
      <c r="N2495" s="20"/>
      <c r="O2495" s="17">
        <v>3</v>
      </c>
      <c r="P2495" s="17">
        <v>3</v>
      </c>
      <c r="Q2495" s="17">
        <v>3</v>
      </c>
      <c r="R2495" s="17" t="s">
        <v>127</v>
      </c>
      <c r="S2495" s="17" t="s">
        <v>263</v>
      </c>
    </row>
    <row r="2496" spans="8:19" ht="31.8" customHeight="1" x14ac:dyDescent="0.3">
      <c r="H2496" s="22" t="s">
        <v>134</v>
      </c>
      <c r="I2496" s="17" t="s">
        <v>30</v>
      </c>
      <c r="J2496" s="18" t="s">
        <v>315</v>
      </c>
      <c r="K2496" s="19"/>
      <c r="L2496" s="17"/>
      <c r="M2496" s="17"/>
      <c r="N2496" s="20"/>
      <c r="O2496" s="17">
        <v>3</v>
      </c>
      <c r="P2496" s="17">
        <v>3</v>
      </c>
      <c r="Q2496" s="17">
        <v>3</v>
      </c>
      <c r="R2496" s="17" t="s">
        <v>127</v>
      </c>
      <c r="S2496" s="17" t="s">
        <v>263</v>
      </c>
    </row>
    <row r="2497" spans="8:19" ht="31.8" customHeight="1" x14ac:dyDescent="0.3">
      <c r="H2497" s="22" t="s">
        <v>134</v>
      </c>
      <c r="I2497" s="17" t="s">
        <v>25</v>
      </c>
      <c r="J2497" s="18" t="s">
        <v>312</v>
      </c>
      <c r="K2497" s="19"/>
      <c r="L2497" s="17"/>
      <c r="M2497" s="17"/>
      <c r="N2497" s="20"/>
      <c r="O2497" s="17">
        <v>3</v>
      </c>
      <c r="P2497" s="17">
        <v>3</v>
      </c>
      <c r="Q2497" s="17">
        <v>3</v>
      </c>
      <c r="R2497" s="17" t="s">
        <v>127</v>
      </c>
      <c r="S2497" s="17" t="s">
        <v>263</v>
      </c>
    </row>
    <row r="2498" spans="8:19" ht="31.8" customHeight="1" x14ac:dyDescent="0.3">
      <c r="H2498" s="22" t="s">
        <v>134</v>
      </c>
      <c r="I2498" s="17" t="s">
        <v>41</v>
      </c>
      <c r="J2498" s="18" t="s">
        <v>307</v>
      </c>
      <c r="K2498" s="19"/>
      <c r="L2498" s="17"/>
      <c r="M2498" s="17"/>
      <c r="N2498" s="20"/>
      <c r="O2498" s="17">
        <v>3</v>
      </c>
      <c r="P2498" s="17">
        <v>0</v>
      </c>
      <c r="Q2498" s="17">
        <v>1.5</v>
      </c>
      <c r="R2498" s="17" t="s">
        <v>127</v>
      </c>
      <c r="S2498" s="17" t="s">
        <v>263</v>
      </c>
    </row>
    <row r="2499" spans="8:19" ht="31.8" customHeight="1" x14ac:dyDescent="0.3">
      <c r="H2499" s="22" t="s">
        <v>134</v>
      </c>
      <c r="I2499" s="23" t="s">
        <v>41</v>
      </c>
      <c r="J2499" s="18" t="s">
        <v>308</v>
      </c>
      <c r="K2499" s="24"/>
      <c r="L2499" s="23"/>
      <c r="M2499" s="23"/>
      <c r="N2499" s="25"/>
      <c r="O2499" s="23">
        <v>2</v>
      </c>
      <c r="P2499" s="23">
        <v>0</v>
      </c>
      <c r="Q2499" s="17">
        <v>2</v>
      </c>
      <c r="R2499" s="17" t="s">
        <v>127</v>
      </c>
      <c r="S2499" s="17" t="s">
        <v>263</v>
      </c>
    </row>
    <row r="2500" spans="8:19" ht="31.8" customHeight="1" x14ac:dyDescent="0.3">
      <c r="H2500" s="22" t="s">
        <v>62</v>
      </c>
      <c r="I2500" s="17" t="s">
        <v>14</v>
      </c>
      <c r="J2500" s="18" t="s">
        <v>15</v>
      </c>
      <c r="K2500" s="19"/>
      <c r="L2500" s="17"/>
      <c r="M2500" s="17"/>
      <c r="N2500" s="20"/>
      <c r="O2500" s="17">
        <v>3</v>
      </c>
      <c r="P2500" s="17">
        <v>3</v>
      </c>
      <c r="Q2500" s="17">
        <v>3</v>
      </c>
      <c r="R2500" s="17" t="s">
        <v>127</v>
      </c>
      <c r="S2500" s="17" t="s">
        <v>263</v>
      </c>
    </row>
    <row r="2501" spans="8:19" ht="31.8" customHeight="1" x14ac:dyDescent="0.3">
      <c r="H2501" s="22" t="s">
        <v>62</v>
      </c>
      <c r="I2501" s="17" t="s">
        <v>14</v>
      </c>
      <c r="J2501" s="18" t="s">
        <v>16</v>
      </c>
      <c r="K2501" s="19"/>
      <c r="L2501" s="17"/>
      <c r="M2501" s="17"/>
      <c r="N2501" s="20"/>
      <c r="O2501" s="17">
        <v>1</v>
      </c>
      <c r="P2501" s="17">
        <v>1</v>
      </c>
      <c r="Q2501" s="17">
        <v>1</v>
      </c>
      <c r="R2501" s="17" t="s">
        <v>127</v>
      </c>
      <c r="S2501" s="17" t="s">
        <v>263</v>
      </c>
    </row>
    <row r="2502" spans="8:19" ht="31.8" customHeight="1" x14ac:dyDescent="0.3">
      <c r="H2502" s="22" t="s">
        <v>62</v>
      </c>
      <c r="I2502" s="17" t="s">
        <v>10</v>
      </c>
      <c r="J2502" s="18" t="s">
        <v>11</v>
      </c>
      <c r="K2502" s="19"/>
      <c r="L2502" s="17"/>
      <c r="M2502" s="17"/>
      <c r="N2502" s="20"/>
      <c r="O2502" s="17">
        <v>3</v>
      </c>
      <c r="P2502" s="17">
        <v>0</v>
      </c>
      <c r="Q2502" s="17">
        <v>3</v>
      </c>
      <c r="R2502" s="17" t="s">
        <v>127</v>
      </c>
      <c r="S2502" s="17" t="s">
        <v>263</v>
      </c>
    </row>
    <row r="2503" spans="8:19" ht="31.8" customHeight="1" x14ac:dyDescent="0.3">
      <c r="H2503" s="22" t="s">
        <v>62</v>
      </c>
      <c r="I2503" s="17" t="s">
        <v>10</v>
      </c>
      <c r="J2503" s="18" t="s">
        <v>316</v>
      </c>
      <c r="K2503" s="19"/>
      <c r="L2503" s="17"/>
      <c r="M2503" s="17"/>
      <c r="N2503" s="20"/>
      <c r="O2503" s="17">
        <v>3</v>
      </c>
      <c r="P2503" s="17">
        <v>3</v>
      </c>
      <c r="Q2503" s="17">
        <v>3</v>
      </c>
      <c r="R2503" s="17" t="s">
        <v>127</v>
      </c>
      <c r="S2503" s="17" t="s">
        <v>263</v>
      </c>
    </row>
    <row r="2504" spans="8:19" ht="31.8" customHeight="1" x14ac:dyDescent="0.3">
      <c r="H2504" s="22" t="s">
        <v>62</v>
      </c>
      <c r="I2504" s="17" t="s">
        <v>10</v>
      </c>
      <c r="J2504" s="18" t="s">
        <v>319</v>
      </c>
      <c r="K2504" s="19"/>
      <c r="L2504" s="17"/>
      <c r="M2504" s="17"/>
      <c r="N2504" s="20"/>
      <c r="O2504" s="17">
        <v>3</v>
      </c>
      <c r="P2504" s="17">
        <v>0</v>
      </c>
      <c r="Q2504" s="17">
        <v>3</v>
      </c>
      <c r="R2504" s="17" t="s">
        <v>127</v>
      </c>
      <c r="S2504" s="17" t="s">
        <v>263</v>
      </c>
    </row>
    <row r="2505" spans="8:19" ht="31.8" customHeight="1" x14ac:dyDescent="0.3">
      <c r="H2505" s="22" t="s">
        <v>62</v>
      </c>
      <c r="I2505" s="17" t="s">
        <v>10</v>
      </c>
      <c r="J2505" s="18" t="s">
        <v>393</v>
      </c>
      <c r="K2505" s="27"/>
      <c r="L2505" s="17"/>
      <c r="M2505" s="17"/>
      <c r="N2505" s="20"/>
      <c r="O2505" s="17">
        <v>2</v>
      </c>
      <c r="P2505" s="17">
        <v>2</v>
      </c>
      <c r="Q2505" s="17">
        <v>2</v>
      </c>
      <c r="R2505" s="17" t="s">
        <v>127</v>
      </c>
      <c r="S2505" s="17" t="s">
        <v>263</v>
      </c>
    </row>
    <row r="2506" spans="8:19" ht="31.8" customHeight="1" x14ac:dyDescent="0.3">
      <c r="H2506" s="22" t="s">
        <v>62</v>
      </c>
      <c r="I2506" s="17" t="s">
        <v>10</v>
      </c>
      <c r="J2506" s="18" t="s">
        <v>313</v>
      </c>
      <c r="K2506" s="19"/>
      <c r="L2506" s="17"/>
      <c r="M2506" s="17"/>
      <c r="N2506" s="20"/>
      <c r="O2506" s="17">
        <v>3</v>
      </c>
      <c r="P2506" s="17">
        <v>3</v>
      </c>
      <c r="Q2506" s="17">
        <v>3</v>
      </c>
      <c r="R2506" s="17" t="s">
        <v>127</v>
      </c>
      <c r="S2506" s="17" t="s">
        <v>263</v>
      </c>
    </row>
    <row r="2507" spans="8:19" ht="31.8" customHeight="1" x14ac:dyDescent="0.3">
      <c r="H2507" s="22" t="s">
        <v>62</v>
      </c>
      <c r="I2507" s="17" t="s">
        <v>12</v>
      </c>
      <c r="J2507" s="18" t="s">
        <v>13</v>
      </c>
      <c r="K2507" s="19"/>
      <c r="L2507" s="17"/>
      <c r="M2507" s="17"/>
      <c r="N2507" s="20"/>
      <c r="O2507" s="17">
        <v>2</v>
      </c>
      <c r="P2507" s="17">
        <v>0</v>
      </c>
      <c r="Q2507" s="17">
        <v>2</v>
      </c>
      <c r="R2507" s="17" t="s">
        <v>127</v>
      </c>
      <c r="S2507" s="17" t="s">
        <v>263</v>
      </c>
    </row>
    <row r="2508" spans="8:19" ht="31.8" customHeight="1" x14ac:dyDescent="0.3">
      <c r="H2508" s="22" t="s">
        <v>62</v>
      </c>
      <c r="I2508" s="17" t="s">
        <v>17</v>
      </c>
      <c r="J2508" s="18" t="s">
        <v>18</v>
      </c>
      <c r="K2508" s="19"/>
      <c r="L2508" s="17"/>
      <c r="M2508" s="17"/>
      <c r="N2508" s="20"/>
      <c r="O2508" s="17">
        <v>3</v>
      </c>
      <c r="P2508" s="17">
        <v>3</v>
      </c>
      <c r="Q2508" s="17">
        <v>3</v>
      </c>
      <c r="R2508" s="17" t="s">
        <v>127</v>
      </c>
      <c r="S2508" s="17" t="s">
        <v>263</v>
      </c>
    </row>
    <row r="2509" spans="8:19" ht="31.8" customHeight="1" x14ac:dyDescent="0.3">
      <c r="H2509" s="22" t="s">
        <v>62</v>
      </c>
      <c r="I2509" s="17" t="s">
        <v>17</v>
      </c>
      <c r="J2509" s="18" t="s">
        <v>19</v>
      </c>
      <c r="K2509" s="19"/>
      <c r="L2509" s="17"/>
      <c r="M2509" s="17"/>
      <c r="N2509" s="20"/>
      <c r="O2509" s="17">
        <v>1</v>
      </c>
      <c r="P2509" s="17">
        <v>1</v>
      </c>
      <c r="Q2509" s="17">
        <v>1</v>
      </c>
      <c r="R2509" s="17" t="s">
        <v>127</v>
      </c>
      <c r="S2509" s="17" t="s">
        <v>263</v>
      </c>
    </row>
    <row r="2510" spans="8:19" ht="31.8" customHeight="1" x14ac:dyDescent="0.3">
      <c r="H2510" s="22" t="s">
        <v>62</v>
      </c>
      <c r="I2510" s="17" t="s">
        <v>20</v>
      </c>
      <c r="J2510" s="18" t="s">
        <v>21</v>
      </c>
      <c r="K2510" s="19"/>
      <c r="L2510" s="17"/>
      <c r="M2510" s="17"/>
      <c r="N2510" s="20"/>
      <c r="O2510" s="17">
        <v>3</v>
      </c>
      <c r="P2510" s="17">
        <v>3</v>
      </c>
      <c r="Q2510" s="17">
        <v>3</v>
      </c>
      <c r="R2510" s="17" t="s">
        <v>127</v>
      </c>
      <c r="S2510" s="17" t="s">
        <v>263</v>
      </c>
    </row>
    <row r="2511" spans="8:19" ht="31.8" customHeight="1" x14ac:dyDescent="0.3">
      <c r="H2511" s="22" t="s">
        <v>62</v>
      </c>
      <c r="I2511" s="17" t="s">
        <v>20</v>
      </c>
      <c r="J2511" s="18" t="s">
        <v>311</v>
      </c>
      <c r="K2511" s="19"/>
      <c r="L2511" s="17"/>
      <c r="M2511" s="17"/>
      <c r="N2511" s="20"/>
      <c r="O2511" s="17">
        <v>1</v>
      </c>
      <c r="P2511" s="17">
        <v>1</v>
      </c>
      <c r="Q2511" s="17">
        <v>1</v>
      </c>
      <c r="R2511" s="17" t="s">
        <v>127</v>
      </c>
      <c r="S2511" s="17" t="s">
        <v>263</v>
      </c>
    </row>
    <row r="2512" spans="8:19" ht="31.8" customHeight="1" x14ac:dyDescent="0.3">
      <c r="H2512" s="22" t="s">
        <v>62</v>
      </c>
      <c r="I2512" s="17" t="s">
        <v>22</v>
      </c>
      <c r="J2512" s="18" t="s">
        <v>23</v>
      </c>
      <c r="K2512" s="27"/>
      <c r="L2512" s="17"/>
      <c r="M2512" s="17"/>
      <c r="N2512" s="20"/>
      <c r="O2512" s="17">
        <v>1</v>
      </c>
      <c r="P2512" s="17">
        <v>1</v>
      </c>
      <c r="Q2512" s="17">
        <v>1</v>
      </c>
      <c r="R2512" s="17" t="s">
        <v>127</v>
      </c>
      <c r="S2512" s="17" t="s">
        <v>263</v>
      </c>
    </row>
    <row r="2513" spans="8:19" ht="31.8" customHeight="1" x14ac:dyDescent="0.3">
      <c r="H2513" s="22" t="s">
        <v>62</v>
      </c>
      <c r="I2513" s="17" t="s">
        <v>22</v>
      </c>
      <c r="J2513" s="18" t="s">
        <v>322</v>
      </c>
      <c r="K2513" s="27"/>
      <c r="L2513" s="17"/>
      <c r="M2513" s="17"/>
      <c r="N2513" s="20"/>
      <c r="O2513" s="17">
        <v>1</v>
      </c>
      <c r="P2513" s="17">
        <v>1</v>
      </c>
      <c r="Q2513" s="17">
        <v>1</v>
      </c>
      <c r="R2513" s="17" t="s">
        <v>127</v>
      </c>
      <c r="S2513" s="17" t="s">
        <v>263</v>
      </c>
    </row>
    <row r="2514" spans="8:19" ht="31.8" customHeight="1" x14ac:dyDescent="0.3">
      <c r="H2514" s="22" t="s">
        <v>62</v>
      </c>
      <c r="I2514" s="17" t="s">
        <v>25</v>
      </c>
      <c r="J2514" s="18" t="s">
        <v>321</v>
      </c>
      <c r="K2514" s="19"/>
      <c r="L2514" s="17"/>
      <c r="M2514" s="17"/>
      <c r="N2514" s="20"/>
      <c r="O2514" s="17">
        <v>3</v>
      </c>
      <c r="P2514" s="17">
        <v>0</v>
      </c>
      <c r="Q2514" s="17">
        <v>3</v>
      </c>
      <c r="R2514" s="17" t="s">
        <v>127</v>
      </c>
      <c r="S2514" s="17" t="s">
        <v>263</v>
      </c>
    </row>
    <row r="2515" spans="8:19" ht="31.8" customHeight="1" x14ac:dyDescent="0.3">
      <c r="H2515" s="22" t="s">
        <v>62</v>
      </c>
      <c r="I2515" s="17" t="s">
        <v>25</v>
      </c>
      <c r="J2515" s="18" t="s">
        <v>320</v>
      </c>
      <c r="K2515" s="19"/>
      <c r="L2515" s="17"/>
      <c r="M2515" s="17"/>
      <c r="N2515" s="20"/>
      <c r="O2515" s="17">
        <v>3</v>
      </c>
      <c r="P2515" s="17">
        <v>3</v>
      </c>
      <c r="Q2515" s="17">
        <v>3</v>
      </c>
      <c r="R2515" s="17" t="s">
        <v>127</v>
      </c>
      <c r="S2515" s="17" t="s">
        <v>263</v>
      </c>
    </row>
    <row r="2516" spans="8:19" ht="31.8" customHeight="1" x14ac:dyDescent="0.3">
      <c r="H2516" s="22" t="s">
        <v>62</v>
      </c>
      <c r="I2516" s="17" t="s">
        <v>30</v>
      </c>
      <c r="J2516" s="18" t="s">
        <v>315</v>
      </c>
      <c r="K2516" s="19"/>
      <c r="L2516" s="17"/>
      <c r="M2516" s="17"/>
      <c r="N2516" s="20"/>
      <c r="O2516" s="17">
        <v>3</v>
      </c>
      <c r="P2516" s="17">
        <v>3</v>
      </c>
      <c r="Q2516" s="17">
        <v>3</v>
      </c>
      <c r="R2516" s="17" t="s">
        <v>127</v>
      </c>
      <c r="S2516" s="17" t="s">
        <v>263</v>
      </c>
    </row>
    <row r="2517" spans="8:19" ht="31.8" customHeight="1" x14ac:dyDescent="0.3">
      <c r="H2517" s="22" t="s">
        <v>62</v>
      </c>
      <c r="I2517" s="17" t="s">
        <v>25</v>
      </c>
      <c r="J2517" s="18" t="s">
        <v>312</v>
      </c>
      <c r="K2517" s="19"/>
      <c r="L2517" s="17"/>
      <c r="M2517" s="17"/>
      <c r="N2517" s="20"/>
      <c r="O2517" s="17">
        <v>3</v>
      </c>
      <c r="P2517" s="17">
        <v>3</v>
      </c>
      <c r="Q2517" s="17">
        <v>3</v>
      </c>
      <c r="R2517" s="17" t="s">
        <v>127</v>
      </c>
      <c r="S2517" s="17" t="s">
        <v>263</v>
      </c>
    </row>
    <row r="2518" spans="8:19" ht="31.8" customHeight="1" x14ac:dyDescent="0.3">
      <c r="H2518" s="22" t="s">
        <v>62</v>
      </c>
      <c r="I2518" s="17" t="s">
        <v>41</v>
      </c>
      <c r="J2518" s="18" t="s">
        <v>307</v>
      </c>
      <c r="K2518" s="19"/>
      <c r="L2518" s="17"/>
      <c r="M2518" s="17"/>
      <c r="N2518" s="20"/>
      <c r="O2518" s="17">
        <v>3</v>
      </c>
      <c r="P2518" s="17">
        <v>0</v>
      </c>
      <c r="Q2518" s="17">
        <v>1.5</v>
      </c>
      <c r="R2518" s="17" t="s">
        <v>127</v>
      </c>
      <c r="S2518" s="17" t="s">
        <v>263</v>
      </c>
    </row>
    <row r="2519" spans="8:19" ht="31.8" customHeight="1" x14ac:dyDescent="0.3">
      <c r="H2519" s="22" t="s">
        <v>62</v>
      </c>
      <c r="I2519" s="23" t="s">
        <v>41</v>
      </c>
      <c r="J2519" s="18" t="s">
        <v>308</v>
      </c>
      <c r="K2519" s="24"/>
      <c r="L2519" s="23"/>
      <c r="M2519" s="23"/>
      <c r="N2519" s="25"/>
      <c r="O2519" s="23">
        <v>2</v>
      </c>
      <c r="P2519" s="23">
        <v>0</v>
      </c>
      <c r="Q2519" s="17">
        <v>2</v>
      </c>
      <c r="R2519" s="17" t="s">
        <v>127</v>
      </c>
      <c r="S2519" s="17" t="s">
        <v>263</v>
      </c>
    </row>
    <row r="2520" spans="8:19" ht="31.8" customHeight="1" x14ac:dyDescent="0.3">
      <c r="H2520" s="16" t="s">
        <v>55</v>
      </c>
      <c r="I2520" s="17" t="s">
        <v>14</v>
      </c>
      <c r="J2520" s="18" t="s">
        <v>15</v>
      </c>
      <c r="K2520" s="19" t="s">
        <v>0</v>
      </c>
      <c r="L2520" s="17"/>
      <c r="M2520" s="17"/>
      <c r="N2520" s="20"/>
      <c r="O2520" s="17">
        <v>3</v>
      </c>
      <c r="P2520" s="17">
        <v>3</v>
      </c>
      <c r="Q2520" s="17">
        <v>3</v>
      </c>
      <c r="R2520" s="17" t="s">
        <v>127</v>
      </c>
      <c r="S2520" s="17" t="s">
        <v>263</v>
      </c>
    </row>
    <row r="2521" spans="8:19" ht="31.8" customHeight="1" x14ac:dyDescent="0.3">
      <c r="H2521" s="16" t="s">
        <v>55</v>
      </c>
      <c r="I2521" s="17" t="s">
        <v>14</v>
      </c>
      <c r="J2521" s="18" t="s">
        <v>16</v>
      </c>
      <c r="K2521" s="19" t="s">
        <v>0</v>
      </c>
      <c r="L2521" s="17"/>
      <c r="M2521" s="17"/>
      <c r="N2521" s="20"/>
      <c r="O2521" s="17">
        <v>1</v>
      </c>
      <c r="P2521" s="17">
        <v>1</v>
      </c>
      <c r="Q2521" s="17">
        <v>1</v>
      </c>
      <c r="R2521" s="17" t="s">
        <v>127</v>
      </c>
      <c r="S2521" s="17" t="s">
        <v>263</v>
      </c>
    </row>
    <row r="2522" spans="8:19" ht="31.8" customHeight="1" x14ac:dyDescent="0.3">
      <c r="H2522" s="16" t="s">
        <v>55</v>
      </c>
      <c r="I2522" s="17" t="s">
        <v>30</v>
      </c>
      <c r="J2522" s="18" t="s">
        <v>315</v>
      </c>
      <c r="K2522" s="19" t="s">
        <v>0</v>
      </c>
      <c r="L2522" s="17"/>
      <c r="M2522" s="17"/>
      <c r="N2522" s="20"/>
      <c r="O2522" s="17">
        <v>3</v>
      </c>
      <c r="P2522" s="17">
        <v>3</v>
      </c>
      <c r="Q2522" s="17">
        <v>3</v>
      </c>
      <c r="R2522" s="17" t="s">
        <v>127</v>
      </c>
      <c r="S2522" s="17" t="s">
        <v>263</v>
      </c>
    </row>
    <row r="2523" spans="8:19" ht="31.8" customHeight="1" x14ac:dyDescent="0.3">
      <c r="H2523" s="16" t="s">
        <v>55</v>
      </c>
      <c r="I2523" s="17" t="s">
        <v>25</v>
      </c>
      <c r="J2523" s="18" t="s">
        <v>312</v>
      </c>
      <c r="K2523" s="19" t="s">
        <v>0</v>
      </c>
      <c r="L2523" s="17"/>
      <c r="M2523" s="17"/>
      <c r="N2523" s="20"/>
      <c r="O2523" s="17">
        <v>3</v>
      </c>
      <c r="P2523" s="17">
        <v>3</v>
      </c>
      <c r="Q2523" s="17">
        <v>3</v>
      </c>
      <c r="R2523" s="17" t="s">
        <v>127</v>
      </c>
      <c r="S2523" s="17" t="s">
        <v>263</v>
      </c>
    </row>
    <row r="2524" spans="8:19" ht="31.2" customHeight="1" x14ac:dyDescent="0.3">
      <c r="H2524" s="16" t="s">
        <v>237</v>
      </c>
      <c r="I2524" s="17" t="s">
        <v>14</v>
      </c>
      <c r="J2524" s="18" t="s">
        <v>15</v>
      </c>
      <c r="K2524" s="19" t="s">
        <v>0</v>
      </c>
      <c r="L2524" s="17"/>
      <c r="M2524" s="17"/>
      <c r="N2524" s="20"/>
      <c r="O2524" s="17">
        <v>3</v>
      </c>
      <c r="P2524" s="17">
        <v>3</v>
      </c>
      <c r="Q2524" s="17">
        <v>3</v>
      </c>
      <c r="R2524" s="17" t="s">
        <v>127</v>
      </c>
      <c r="S2524" s="17" t="s">
        <v>263</v>
      </c>
    </row>
    <row r="2525" spans="8:19" ht="31.2" customHeight="1" x14ac:dyDescent="0.3">
      <c r="H2525" s="16" t="s">
        <v>237</v>
      </c>
      <c r="I2525" s="17" t="s">
        <v>14</v>
      </c>
      <c r="J2525" s="18" t="s">
        <v>16</v>
      </c>
      <c r="K2525" s="19" t="s">
        <v>0</v>
      </c>
      <c r="L2525" s="17"/>
      <c r="M2525" s="17"/>
      <c r="N2525" s="20"/>
      <c r="O2525" s="17">
        <v>1</v>
      </c>
      <c r="P2525" s="17">
        <v>1</v>
      </c>
      <c r="Q2525" s="17">
        <v>1</v>
      </c>
      <c r="R2525" s="17" t="s">
        <v>127</v>
      </c>
      <c r="S2525" s="17" t="s">
        <v>263</v>
      </c>
    </row>
    <row r="2526" spans="8:19" ht="31.2" customHeight="1" x14ac:dyDescent="0.3">
      <c r="H2526" s="16" t="s">
        <v>237</v>
      </c>
      <c r="I2526" s="17" t="s">
        <v>30</v>
      </c>
      <c r="J2526" s="18" t="s">
        <v>315</v>
      </c>
      <c r="K2526" s="19" t="s">
        <v>0</v>
      </c>
      <c r="L2526" s="17"/>
      <c r="M2526" s="17"/>
      <c r="N2526" s="20"/>
      <c r="O2526" s="17">
        <v>3</v>
      </c>
      <c r="P2526" s="17">
        <v>3</v>
      </c>
      <c r="Q2526" s="17">
        <v>3</v>
      </c>
      <c r="R2526" s="17" t="s">
        <v>127</v>
      </c>
      <c r="S2526" s="17" t="s">
        <v>263</v>
      </c>
    </row>
    <row r="2527" spans="8:19" ht="31.2" customHeight="1" x14ac:dyDescent="0.3">
      <c r="H2527" s="16" t="s">
        <v>237</v>
      </c>
      <c r="I2527" s="17" t="s">
        <v>25</v>
      </c>
      <c r="J2527" s="18" t="s">
        <v>312</v>
      </c>
      <c r="K2527" s="19" t="s">
        <v>0</v>
      </c>
      <c r="L2527" s="17"/>
      <c r="M2527" s="17"/>
      <c r="N2527" s="20"/>
      <c r="O2527" s="17">
        <v>3</v>
      </c>
      <c r="P2527" s="17">
        <v>3</v>
      </c>
      <c r="Q2527" s="17">
        <v>3</v>
      </c>
      <c r="R2527" s="17" t="s">
        <v>127</v>
      </c>
      <c r="S2527" s="17" t="s">
        <v>263</v>
      </c>
    </row>
    <row r="2528" spans="8:19" ht="17.399999999999999" x14ac:dyDescent="0.3">
      <c r="H2528" s="32"/>
      <c r="I2528" s="33"/>
      <c r="J2528" s="34"/>
      <c r="K2528" s="59"/>
      <c r="L2528" s="33"/>
      <c r="M2528" s="33"/>
      <c r="N2528" s="36"/>
      <c r="O2528" s="33"/>
      <c r="P2528" s="33">
        <f>IF(Tabela1[[#This Row],[Status]]="✔️",Tabela1[[#This Row],[Peso]]*1*1,0)</f>
        <v>0</v>
      </c>
      <c r="Q252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28" s="33"/>
      <c r="S2528" s="37"/>
    </row>
    <row r="2529" spans="8:19" ht="17.399999999999999" x14ac:dyDescent="0.3">
      <c r="H2529" s="32"/>
      <c r="I2529" s="33"/>
      <c r="J2529" s="34"/>
      <c r="K2529" s="59"/>
      <c r="L2529" s="33"/>
      <c r="M2529" s="33"/>
      <c r="N2529" s="36"/>
      <c r="O2529" s="33"/>
      <c r="P2529" s="33">
        <f>IF(Tabela1[[#This Row],[Status]]="✔️",Tabela1[[#This Row],[Peso]]*1*1,0)</f>
        <v>0</v>
      </c>
      <c r="Q252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29" s="33"/>
      <c r="S2529" s="37"/>
    </row>
    <row r="2530" spans="8:19" ht="17.399999999999999" x14ac:dyDescent="0.3">
      <c r="H2530" s="32"/>
      <c r="I2530" s="33"/>
      <c r="J2530" s="34"/>
      <c r="K2530" s="59"/>
      <c r="L2530" s="33"/>
      <c r="M2530" s="33"/>
      <c r="N2530" s="36"/>
      <c r="O2530" s="33"/>
      <c r="P2530" s="33">
        <f>IF(Tabela1[[#This Row],[Status]]="✔️",Tabela1[[#This Row],[Peso]]*1*1,0)</f>
        <v>0</v>
      </c>
      <c r="Q253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30" s="33"/>
      <c r="S2530" s="37"/>
    </row>
    <row r="2531" spans="8:19" ht="17.399999999999999" x14ac:dyDescent="0.3">
      <c r="H2531" s="32"/>
      <c r="I2531" s="33"/>
      <c r="J2531" s="34"/>
      <c r="K2531" s="59"/>
      <c r="L2531" s="33"/>
      <c r="M2531" s="33"/>
      <c r="N2531" s="36"/>
      <c r="O2531" s="33"/>
      <c r="P2531" s="33">
        <f>IF(Tabela1[[#This Row],[Status]]="✔️",Tabela1[[#This Row],[Peso]]*1*1,0)</f>
        <v>0</v>
      </c>
      <c r="Q253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31" s="33"/>
      <c r="S2531" s="37"/>
    </row>
    <row r="2532" spans="8:19" ht="17.399999999999999" x14ac:dyDescent="0.3">
      <c r="H2532" s="32"/>
      <c r="I2532" s="33"/>
      <c r="J2532" s="34"/>
      <c r="K2532" s="59"/>
      <c r="L2532" s="33"/>
      <c r="M2532" s="33"/>
      <c r="N2532" s="36"/>
      <c r="O2532" s="33"/>
      <c r="P2532" s="33">
        <f>IF(Tabela1[[#This Row],[Status]]="✔️",Tabela1[[#This Row],[Peso]]*1*1,0)</f>
        <v>0</v>
      </c>
      <c r="Q253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32" s="33"/>
      <c r="S2532" s="37"/>
    </row>
    <row r="2533" spans="8:19" ht="17.399999999999999" x14ac:dyDescent="0.3">
      <c r="H2533" s="32"/>
      <c r="I2533" s="33"/>
      <c r="J2533" s="34"/>
      <c r="K2533" s="59"/>
      <c r="L2533" s="33"/>
      <c r="M2533" s="33"/>
      <c r="N2533" s="36"/>
      <c r="O2533" s="33"/>
      <c r="P2533" s="33">
        <f>IF(Tabela1[[#This Row],[Status]]="✔️",Tabela1[[#This Row],[Peso]]*1*1,0)</f>
        <v>0</v>
      </c>
      <c r="Q253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33" s="33"/>
      <c r="S2533" s="37"/>
    </row>
    <row r="2534" spans="8:19" ht="17.399999999999999" x14ac:dyDescent="0.3">
      <c r="H2534" s="32"/>
      <c r="I2534" s="33"/>
      <c r="J2534" s="34"/>
      <c r="K2534" s="59"/>
      <c r="L2534" s="33"/>
      <c r="M2534" s="33"/>
      <c r="N2534" s="36"/>
      <c r="O2534" s="33"/>
      <c r="P2534" s="33">
        <f>IF(Tabela1[[#This Row],[Status]]="✔️",Tabela1[[#This Row],[Peso]]*1*1,0)</f>
        <v>0</v>
      </c>
      <c r="Q253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34" s="33"/>
      <c r="S2534" s="37"/>
    </row>
    <row r="2535" spans="8:19" ht="17.399999999999999" x14ac:dyDescent="0.3">
      <c r="H2535" s="32"/>
      <c r="I2535" s="33"/>
      <c r="J2535" s="34"/>
      <c r="K2535" s="59"/>
      <c r="L2535" s="33"/>
      <c r="M2535" s="33"/>
      <c r="N2535" s="36"/>
      <c r="O2535" s="33"/>
      <c r="P2535" s="33">
        <f>IF(Tabela1[[#This Row],[Status]]="✔️",Tabela1[[#This Row],[Peso]]*1*1,0)</f>
        <v>0</v>
      </c>
      <c r="Q253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35" s="33"/>
      <c r="S2535" s="37"/>
    </row>
    <row r="2536" spans="8:19" ht="17.399999999999999" x14ac:dyDescent="0.3">
      <c r="H2536" s="32"/>
      <c r="I2536" s="33"/>
      <c r="J2536" s="34"/>
      <c r="K2536" s="59"/>
      <c r="L2536" s="33"/>
      <c r="M2536" s="33"/>
      <c r="N2536" s="36"/>
      <c r="O2536" s="33"/>
      <c r="P2536" s="33">
        <f>IF(Tabela1[[#This Row],[Status]]="✔️",Tabela1[[#This Row],[Peso]]*1*1,0)</f>
        <v>0</v>
      </c>
      <c r="Q253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36" s="33"/>
      <c r="S2536" s="37"/>
    </row>
    <row r="2537" spans="8:19" ht="17.399999999999999" x14ac:dyDescent="0.3">
      <c r="H2537" s="32"/>
      <c r="I2537" s="33"/>
      <c r="J2537" s="34"/>
      <c r="K2537" s="59"/>
      <c r="L2537" s="33"/>
      <c r="M2537" s="33"/>
      <c r="N2537" s="36"/>
      <c r="O2537" s="33"/>
      <c r="P2537" s="33">
        <f>IF(Tabela1[[#This Row],[Status]]="✔️",Tabela1[[#This Row],[Peso]]*1*1,0)</f>
        <v>0</v>
      </c>
      <c r="Q253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37" s="33"/>
      <c r="S2537" s="37"/>
    </row>
    <row r="2538" spans="8:19" ht="17.399999999999999" x14ac:dyDescent="0.3">
      <c r="H2538" s="32"/>
      <c r="I2538" s="33"/>
      <c r="J2538" s="34"/>
      <c r="K2538" s="59"/>
      <c r="L2538" s="33"/>
      <c r="M2538" s="33"/>
      <c r="N2538" s="36"/>
      <c r="O2538" s="33"/>
      <c r="P2538" s="33">
        <f>IF(Tabela1[[#This Row],[Status]]="✔️",Tabela1[[#This Row],[Peso]]*1*1,0)</f>
        <v>0</v>
      </c>
      <c r="Q253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38" s="33"/>
      <c r="S2538" s="37"/>
    </row>
    <row r="2539" spans="8:19" ht="17.399999999999999" x14ac:dyDescent="0.3">
      <c r="H2539" s="32"/>
      <c r="I2539" s="33"/>
      <c r="J2539" s="34"/>
      <c r="K2539" s="59"/>
      <c r="L2539" s="33"/>
      <c r="M2539" s="33"/>
      <c r="N2539" s="36"/>
      <c r="O2539" s="33"/>
      <c r="P2539" s="33">
        <f>IF(Tabela1[[#This Row],[Status]]="✔️",Tabela1[[#This Row],[Peso]]*1*1,0)</f>
        <v>0</v>
      </c>
      <c r="Q253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39" s="33"/>
      <c r="S2539" s="37"/>
    </row>
    <row r="2540" spans="8:19" ht="17.399999999999999" x14ac:dyDescent="0.3">
      <c r="H2540" s="32"/>
      <c r="I2540" s="33"/>
      <c r="J2540" s="34"/>
      <c r="K2540" s="59"/>
      <c r="L2540" s="33"/>
      <c r="M2540" s="33"/>
      <c r="N2540" s="36"/>
      <c r="O2540" s="33"/>
      <c r="P2540" s="33">
        <f>IF(Tabela1[[#This Row],[Status]]="✔️",Tabela1[[#This Row],[Peso]]*1*1,0)</f>
        <v>0</v>
      </c>
      <c r="Q254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40" s="33"/>
      <c r="S2540" s="37"/>
    </row>
    <row r="2541" spans="8:19" ht="17.399999999999999" x14ac:dyDescent="0.3">
      <c r="H2541" s="32"/>
      <c r="I2541" s="33"/>
      <c r="J2541" s="34"/>
      <c r="K2541" s="59"/>
      <c r="L2541" s="33"/>
      <c r="M2541" s="33"/>
      <c r="N2541" s="36"/>
      <c r="O2541" s="33"/>
      <c r="P2541" s="33">
        <f>IF(Tabela1[[#This Row],[Status]]="✔️",Tabela1[[#This Row],[Peso]]*1*1,0)</f>
        <v>0</v>
      </c>
      <c r="Q254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41" s="33"/>
      <c r="S2541" s="37"/>
    </row>
    <row r="2542" spans="8:19" ht="17.399999999999999" x14ac:dyDescent="0.3">
      <c r="H2542" s="32"/>
      <c r="I2542" s="33"/>
      <c r="J2542" s="34"/>
      <c r="K2542" s="59"/>
      <c r="L2542" s="33"/>
      <c r="M2542" s="33"/>
      <c r="N2542" s="36"/>
      <c r="O2542" s="33"/>
      <c r="P2542" s="33">
        <f>IF(Tabela1[[#This Row],[Status]]="✔️",Tabela1[[#This Row],[Peso]]*1*1,0)</f>
        <v>0</v>
      </c>
      <c r="Q254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42" s="33"/>
      <c r="S2542" s="37"/>
    </row>
    <row r="2543" spans="8:19" ht="17.399999999999999" x14ac:dyDescent="0.3">
      <c r="H2543" s="32"/>
      <c r="I2543" s="33"/>
      <c r="J2543" s="34"/>
      <c r="K2543" s="59"/>
      <c r="L2543" s="33"/>
      <c r="M2543" s="33"/>
      <c r="N2543" s="36"/>
      <c r="O2543" s="33"/>
      <c r="P2543" s="33">
        <f>IF(Tabela1[[#This Row],[Status]]="✔️",Tabela1[[#This Row],[Peso]]*1*1,0)</f>
        <v>0</v>
      </c>
      <c r="Q254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43" s="33"/>
      <c r="S2543" s="37"/>
    </row>
    <row r="2544" spans="8:19" ht="17.399999999999999" x14ac:dyDescent="0.3">
      <c r="H2544" s="32"/>
      <c r="I2544" s="33"/>
      <c r="J2544" s="34"/>
      <c r="K2544" s="59"/>
      <c r="L2544" s="33"/>
      <c r="M2544" s="33"/>
      <c r="N2544" s="36"/>
      <c r="O2544" s="33"/>
      <c r="P2544" s="33">
        <f>IF(Tabela1[[#This Row],[Status]]="✔️",Tabela1[[#This Row],[Peso]]*1*1,0)</f>
        <v>0</v>
      </c>
      <c r="Q254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44" s="33"/>
      <c r="S2544" s="37"/>
    </row>
    <row r="2545" spans="8:19" ht="17.399999999999999" x14ac:dyDescent="0.3">
      <c r="H2545" s="32"/>
      <c r="I2545" s="33"/>
      <c r="J2545" s="34"/>
      <c r="K2545" s="59"/>
      <c r="L2545" s="33"/>
      <c r="M2545" s="33"/>
      <c r="N2545" s="36"/>
      <c r="O2545" s="33"/>
      <c r="P2545" s="33">
        <f>IF(Tabela1[[#This Row],[Status]]="✔️",Tabela1[[#This Row],[Peso]]*1*1,0)</f>
        <v>0</v>
      </c>
      <c r="Q254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45" s="33"/>
      <c r="S2545" s="37"/>
    </row>
    <row r="2546" spans="8:19" ht="17.399999999999999" x14ac:dyDescent="0.3">
      <c r="H2546" s="32"/>
      <c r="I2546" s="33"/>
      <c r="J2546" s="34"/>
      <c r="K2546" s="59"/>
      <c r="L2546" s="33"/>
      <c r="M2546" s="33"/>
      <c r="N2546" s="36"/>
      <c r="O2546" s="33"/>
      <c r="P2546" s="33">
        <f>IF(Tabela1[[#This Row],[Status]]="✔️",Tabela1[[#This Row],[Peso]]*1*1,0)</f>
        <v>0</v>
      </c>
      <c r="Q254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46" s="33"/>
      <c r="S2546" s="37"/>
    </row>
    <row r="2547" spans="8:19" ht="17.399999999999999" x14ac:dyDescent="0.3">
      <c r="H2547" s="32"/>
      <c r="I2547" s="33"/>
      <c r="J2547" s="34"/>
      <c r="K2547" s="59"/>
      <c r="L2547" s="33"/>
      <c r="M2547" s="33"/>
      <c r="N2547" s="36"/>
      <c r="O2547" s="33"/>
      <c r="P2547" s="33">
        <f>IF(Tabela1[[#This Row],[Status]]="✔️",Tabela1[[#This Row],[Peso]]*1*1,0)</f>
        <v>0</v>
      </c>
      <c r="Q254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47" s="33"/>
      <c r="S2547" s="37"/>
    </row>
    <row r="2548" spans="8:19" ht="17.399999999999999" x14ac:dyDescent="0.3">
      <c r="H2548" s="32"/>
      <c r="I2548" s="33"/>
      <c r="J2548" s="34"/>
      <c r="K2548" s="59"/>
      <c r="L2548" s="33"/>
      <c r="M2548" s="33"/>
      <c r="N2548" s="36"/>
      <c r="O2548" s="33"/>
      <c r="P2548" s="33">
        <f>IF(Tabela1[[#This Row],[Status]]="✔️",Tabela1[[#This Row],[Peso]]*1*1,0)</f>
        <v>0</v>
      </c>
      <c r="Q254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48" s="33"/>
      <c r="S2548" s="37"/>
    </row>
    <row r="2549" spans="8:19" ht="17.399999999999999" x14ac:dyDescent="0.3">
      <c r="H2549" s="32"/>
      <c r="I2549" s="33"/>
      <c r="J2549" s="34"/>
      <c r="K2549" s="59"/>
      <c r="L2549" s="33"/>
      <c r="M2549" s="33"/>
      <c r="N2549" s="36"/>
      <c r="O2549" s="33"/>
      <c r="P2549" s="33">
        <f>IF(Tabela1[[#This Row],[Status]]="✔️",Tabela1[[#This Row],[Peso]]*1*1,0)</f>
        <v>0</v>
      </c>
      <c r="Q254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49" s="33"/>
      <c r="S2549" s="37"/>
    </row>
    <row r="2550" spans="8:19" ht="17.399999999999999" x14ac:dyDescent="0.3">
      <c r="H2550" s="32"/>
      <c r="I2550" s="33"/>
      <c r="J2550" s="34"/>
      <c r="K2550" s="59"/>
      <c r="L2550" s="33"/>
      <c r="M2550" s="33"/>
      <c r="N2550" s="36"/>
      <c r="O2550" s="33"/>
      <c r="P2550" s="33">
        <f>IF(Tabela1[[#This Row],[Status]]="✔️",Tabela1[[#This Row],[Peso]]*1*1,0)</f>
        <v>0</v>
      </c>
      <c r="Q255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50" s="33"/>
      <c r="S2550" s="37"/>
    </row>
    <row r="2551" spans="8:19" ht="17.399999999999999" x14ac:dyDescent="0.3">
      <c r="H2551" s="32"/>
      <c r="I2551" s="33"/>
      <c r="J2551" s="34"/>
      <c r="K2551" s="59"/>
      <c r="L2551" s="33"/>
      <c r="M2551" s="33"/>
      <c r="N2551" s="36"/>
      <c r="O2551" s="33"/>
      <c r="P2551" s="33">
        <f>IF(Tabela1[[#This Row],[Status]]="✔️",Tabela1[[#This Row],[Peso]]*1*1,0)</f>
        <v>0</v>
      </c>
      <c r="Q255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51" s="33"/>
      <c r="S2551" s="37"/>
    </row>
    <row r="2552" spans="8:19" ht="17.399999999999999" x14ac:dyDescent="0.3">
      <c r="H2552" s="32"/>
      <c r="I2552" s="33"/>
      <c r="J2552" s="34"/>
      <c r="K2552" s="59"/>
      <c r="L2552" s="33"/>
      <c r="M2552" s="33"/>
      <c r="N2552" s="36"/>
      <c r="O2552" s="33"/>
      <c r="P2552" s="33">
        <f>IF(Tabela1[[#This Row],[Status]]="✔️",Tabela1[[#This Row],[Peso]]*1*1,0)</f>
        <v>0</v>
      </c>
      <c r="Q255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52" s="33"/>
      <c r="S2552" s="37"/>
    </row>
    <row r="2553" spans="8:19" ht="17.399999999999999" x14ac:dyDescent="0.3">
      <c r="H2553" s="32"/>
      <c r="I2553" s="33"/>
      <c r="J2553" s="34"/>
      <c r="K2553" s="59"/>
      <c r="L2553" s="33"/>
      <c r="M2553" s="33"/>
      <c r="N2553" s="36"/>
      <c r="O2553" s="33"/>
      <c r="P2553" s="33">
        <f>IF(Tabela1[[#This Row],[Status]]="✔️",Tabela1[[#This Row],[Peso]]*1*1,0)</f>
        <v>0</v>
      </c>
      <c r="Q255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53" s="33"/>
      <c r="S2553" s="37"/>
    </row>
    <row r="2554" spans="8:19" ht="17.399999999999999" x14ac:dyDescent="0.3">
      <c r="H2554" s="32"/>
      <c r="I2554" s="33"/>
      <c r="J2554" s="34"/>
      <c r="K2554" s="59"/>
      <c r="L2554" s="33"/>
      <c r="M2554" s="33"/>
      <c r="N2554" s="36"/>
      <c r="O2554" s="33"/>
      <c r="P2554" s="33">
        <f>IF(Tabela1[[#This Row],[Status]]="✔️",Tabela1[[#This Row],[Peso]]*1*1,0)</f>
        <v>0</v>
      </c>
      <c r="Q255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54" s="33"/>
      <c r="S2554" s="37"/>
    </row>
    <row r="2555" spans="8:19" ht="17.399999999999999" x14ac:dyDescent="0.3">
      <c r="H2555" s="32"/>
      <c r="I2555" s="33"/>
      <c r="J2555" s="34"/>
      <c r="K2555" s="59"/>
      <c r="L2555" s="33"/>
      <c r="M2555" s="33"/>
      <c r="N2555" s="36"/>
      <c r="O2555" s="33"/>
      <c r="P2555" s="33">
        <f>IF(Tabela1[[#This Row],[Status]]="✔️",Tabela1[[#This Row],[Peso]]*1*1,0)</f>
        <v>0</v>
      </c>
      <c r="Q255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55" s="33"/>
      <c r="S2555" s="37"/>
    </row>
    <row r="2556" spans="8:19" ht="17.399999999999999" x14ac:dyDescent="0.3">
      <c r="H2556" s="32"/>
      <c r="I2556" s="33"/>
      <c r="J2556" s="34"/>
      <c r="K2556" s="59"/>
      <c r="L2556" s="33"/>
      <c r="M2556" s="33"/>
      <c r="N2556" s="36"/>
      <c r="O2556" s="33"/>
      <c r="P2556" s="33">
        <f>IF(Tabela1[[#This Row],[Status]]="✔️",Tabela1[[#This Row],[Peso]]*1*1,0)</f>
        <v>0</v>
      </c>
      <c r="Q255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56" s="33"/>
      <c r="S2556" s="37"/>
    </row>
    <row r="2557" spans="8:19" ht="17.399999999999999" x14ac:dyDescent="0.3">
      <c r="H2557" s="32"/>
      <c r="I2557" s="33"/>
      <c r="J2557" s="34"/>
      <c r="K2557" s="59"/>
      <c r="L2557" s="33"/>
      <c r="M2557" s="33"/>
      <c r="N2557" s="36"/>
      <c r="O2557" s="33"/>
      <c r="P2557" s="33">
        <f>IF(Tabela1[[#This Row],[Status]]="✔️",Tabela1[[#This Row],[Peso]]*1*1,0)</f>
        <v>0</v>
      </c>
      <c r="Q255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57" s="33"/>
      <c r="S2557" s="37"/>
    </row>
    <row r="2558" spans="8:19" ht="17.399999999999999" x14ac:dyDescent="0.3">
      <c r="H2558" s="32"/>
      <c r="I2558" s="33"/>
      <c r="J2558" s="34"/>
      <c r="K2558" s="59"/>
      <c r="L2558" s="33"/>
      <c r="M2558" s="33"/>
      <c r="N2558" s="36"/>
      <c r="O2558" s="33"/>
      <c r="P2558" s="33">
        <f>IF(Tabela1[[#This Row],[Status]]="✔️",Tabela1[[#This Row],[Peso]]*1*1,0)</f>
        <v>0</v>
      </c>
      <c r="Q255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58" s="33"/>
      <c r="S2558" s="37"/>
    </row>
    <row r="2559" spans="8:19" ht="17.399999999999999" x14ac:dyDescent="0.3">
      <c r="H2559" s="32"/>
      <c r="I2559" s="33"/>
      <c r="J2559" s="34"/>
      <c r="K2559" s="59"/>
      <c r="L2559" s="33"/>
      <c r="M2559" s="33"/>
      <c r="N2559" s="36"/>
      <c r="O2559" s="33"/>
      <c r="P2559" s="33">
        <f>IF(Tabela1[[#This Row],[Status]]="✔️",Tabela1[[#This Row],[Peso]]*1*1,0)</f>
        <v>0</v>
      </c>
      <c r="Q255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59" s="33"/>
      <c r="S2559" s="37"/>
    </row>
    <row r="2560" spans="8:19" ht="17.399999999999999" x14ac:dyDescent="0.3">
      <c r="H2560" s="32"/>
      <c r="I2560" s="33"/>
      <c r="J2560" s="34"/>
      <c r="K2560" s="59"/>
      <c r="L2560" s="33"/>
      <c r="M2560" s="33"/>
      <c r="N2560" s="36"/>
      <c r="O2560" s="33"/>
      <c r="P2560" s="33">
        <f>IF(Tabela1[[#This Row],[Status]]="✔️",Tabela1[[#This Row],[Peso]]*1*1,0)</f>
        <v>0</v>
      </c>
      <c r="Q256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60" s="33"/>
      <c r="S2560" s="37"/>
    </row>
    <row r="2561" spans="8:19" ht="17.399999999999999" x14ac:dyDescent="0.3">
      <c r="H2561" s="32"/>
      <c r="I2561" s="33"/>
      <c r="J2561" s="34"/>
      <c r="K2561" s="59"/>
      <c r="L2561" s="33"/>
      <c r="M2561" s="33"/>
      <c r="N2561" s="36"/>
      <c r="O2561" s="33"/>
      <c r="P2561" s="33">
        <f>IF(Tabela1[[#This Row],[Status]]="✔️",Tabela1[[#This Row],[Peso]]*1*1,0)</f>
        <v>0</v>
      </c>
      <c r="Q256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61" s="33"/>
      <c r="S2561" s="37"/>
    </row>
    <row r="2562" spans="8:19" ht="17.399999999999999" x14ac:dyDescent="0.3">
      <c r="H2562" s="32"/>
      <c r="I2562" s="33"/>
      <c r="J2562" s="34"/>
      <c r="K2562" s="59"/>
      <c r="L2562" s="33"/>
      <c r="M2562" s="33"/>
      <c r="N2562" s="36"/>
      <c r="O2562" s="33"/>
      <c r="P2562" s="33">
        <f>IF(Tabela1[[#This Row],[Status]]="✔️",Tabela1[[#This Row],[Peso]]*1*1,0)</f>
        <v>0</v>
      </c>
      <c r="Q256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62" s="33"/>
      <c r="S2562" s="37"/>
    </row>
    <row r="2563" spans="8:19" ht="17.399999999999999" x14ac:dyDescent="0.3">
      <c r="H2563" s="32"/>
      <c r="I2563" s="33"/>
      <c r="J2563" s="34"/>
      <c r="K2563" s="59"/>
      <c r="L2563" s="33"/>
      <c r="M2563" s="33"/>
      <c r="N2563" s="36"/>
      <c r="O2563" s="33"/>
      <c r="P2563" s="33">
        <f>IF(Tabela1[[#This Row],[Status]]="✔️",Tabela1[[#This Row],[Peso]]*1*1,0)</f>
        <v>0</v>
      </c>
      <c r="Q256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63" s="33"/>
      <c r="S2563" s="37"/>
    </row>
    <row r="2564" spans="8:19" ht="17.399999999999999" x14ac:dyDescent="0.3">
      <c r="H2564" s="32"/>
      <c r="I2564" s="33"/>
      <c r="J2564" s="34"/>
      <c r="K2564" s="59"/>
      <c r="L2564" s="33"/>
      <c r="M2564" s="33"/>
      <c r="N2564" s="36"/>
      <c r="O2564" s="33"/>
      <c r="P2564" s="33">
        <f>IF(Tabela1[[#This Row],[Status]]="✔️",Tabela1[[#This Row],[Peso]]*1*1,0)</f>
        <v>0</v>
      </c>
      <c r="Q256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64" s="33"/>
      <c r="S2564" s="37"/>
    </row>
    <row r="2565" spans="8:19" ht="17.399999999999999" x14ac:dyDescent="0.3">
      <c r="H2565" s="32"/>
      <c r="I2565" s="33"/>
      <c r="J2565" s="34"/>
      <c r="K2565" s="59"/>
      <c r="L2565" s="33"/>
      <c r="M2565" s="33"/>
      <c r="N2565" s="36"/>
      <c r="O2565" s="33"/>
      <c r="P2565" s="33">
        <f>IF(Tabela1[[#This Row],[Status]]="✔️",Tabela1[[#This Row],[Peso]]*1*1,0)</f>
        <v>0</v>
      </c>
      <c r="Q256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65" s="33"/>
      <c r="S2565" s="37"/>
    </row>
    <row r="2566" spans="8:19" ht="17.399999999999999" x14ac:dyDescent="0.3">
      <c r="H2566" s="32"/>
      <c r="I2566" s="33"/>
      <c r="J2566" s="34"/>
      <c r="K2566" s="59"/>
      <c r="L2566" s="33"/>
      <c r="M2566" s="33"/>
      <c r="N2566" s="36"/>
      <c r="O2566" s="33"/>
      <c r="P2566" s="33">
        <f>IF(Tabela1[[#This Row],[Status]]="✔️",Tabela1[[#This Row],[Peso]]*1*1,0)</f>
        <v>0</v>
      </c>
      <c r="Q256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66" s="33"/>
      <c r="S2566" s="37"/>
    </row>
    <row r="2567" spans="8:19" ht="17.399999999999999" x14ac:dyDescent="0.3">
      <c r="H2567" s="32"/>
      <c r="I2567" s="33"/>
      <c r="J2567" s="34"/>
      <c r="K2567" s="59"/>
      <c r="L2567" s="33"/>
      <c r="M2567" s="33"/>
      <c r="N2567" s="36"/>
      <c r="O2567" s="33"/>
      <c r="P2567" s="33">
        <f>IF(Tabela1[[#This Row],[Status]]="✔️",Tabela1[[#This Row],[Peso]]*1*1,0)</f>
        <v>0</v>
      </c>
      <c r="Q256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67" s="33"/>
      <c r="S2567" s="37"/>
    </row>
    <row r="2568" spans="8:19" ht="17.399999999999999" x14ac:dyDescent="0.3">
      <c r="H2568" s="32"/>
      <c r="I2568" s="33"/>
      <c r="J2568" s="34"/>
      <c r="K2568" s="59"/>
      <c r="L2568" s="33"/>
      <c r="M2568" s="33"/>
      <c r="N2568" s="36"/>
      <c r="O2568" s="33"/>
      <c r="P2568" s="33">
        <f>IF(Tabela1[[#This Row],[Status]]="✔️",Tabela1[[#This Row],[Peso]]*1*1,0)</f>
        <v>0</v>
      </c>
      <c r="Q256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68" s="33"/>
      <c r="S2568" s="37"/>
    </row>
    <row r="2569" spans="8:19" ht="17.399999999999999" x14ac:dyDescent="0.3">
      <c r="H2569" s="32"/>
      <c r="I2569" s="33"/>
      <c r="J2569" s="34"/>
      <c r="K2569" s="59"/>
      <c r="L2569" s="33"/>
      <c r="M2569" s="33"/>
      <c r="N2569" s="36"/>
      <c r="O2569" s="33"/>
      <c r="P2569" s="33">
        <f>IF(Tabela1[[#This Row],[Status]]="✔️",Tabela1[[#This Row],[Peso]]*1*1,0)</f>
        <v>0</v>
      </c>
      <c r="Q256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69" s="33"/>
      <c r="S2569" s="37"/>
    </row>
    <row r="2570" spans="8:19" ht="17.399999999999999" x14ac:dyDescent="0.3">
      <c r="H2570" s="32"/>
      <c r="I2570" s="33"/>
      <c r="J2570" s="34"/>
      <c r="K2570" s="59"/>
      <c r="L2570" s="33"/>
      <c r="M2570" s="33"/>
      <c r="N2570" s="36"/>
      <c r="O2570" s="33"/>
      <c r="P2570" s="33">
        <f>IF(Tabela1[[#This Row],[Status]]="✔️",Tabela1[[#This Row],[Peso]]*1*1,0)</f>
        <v>0</v>
      </c>
      <c r="Q257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70" s="33"/>
      <c r="S2570" s="37"/>
    </row>
    <row r="2571" spans="8:19" ht="17.399999999999999" x14ac:dyDescent="0.3">
      <c r="H2571" s="32"/>
      <c r="I2571" s="33"/>
      <c r="J2571" s="34"/>
      <c r="K2571" s="59"/>
      <c r="L2571" s="33"/>
      <c r="M2571" s="33"/>
      <c r="N2571" s="36"/>
      <c r="O2571" s="33"/>
      <c r="P2571" s="33">
        <f>IF(Tabela1[[#This Row],[Status]]="✔️",Tabela1[[#This Row],[Peso]]*1*1,0)</f>
        <v>0</v>
      </c>
      <c r="Q257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71" s="33"/>
      <c r="S2571" s="37"/>
    </row>
    <row r="2572" spans="8:19" ht="17.399999999999999" x14ac:dyDescent="0.3">
      <c r="H2572" s="32"/>
      <c r="I2572" s="33"/>
      <c r="J2572" s="34"/>
      <c r="K2572" s="59"/>
      <c r="L2572" s="33"/>
      <c r="M2572" s="33"/>
      <c r="N2572" s="36"/>
      <c r="O2572" s="33"/>
      <c r="P2572" s="33">
        <f>IF(Tabela1[[#This Row],[Status]]="✔️",Tabela1[[#This Row],[Peso]]*1*1,0)</f>
        <v>0</v>
      </c>
      <c r="Q257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72" s="33"/>
      <c r="S2572" s="37"/>
    </row>
    <row r="2573" spans="8:19" ht="17.399999999999999" x14ac:dyDescent="0.3">
      <c r="H2573" s="32"/>
      <c r="I2573" s="33"/>
      <c r="J2573" s="34"/>
      <c r="K2573" s="59"/>
      <c r="L2573" s="33"/>
      <c r="M2573" s="33"/>
      <c r="N2573" s="36"/>
      <c r="O2573" s="33"/>
      <c r="P2573" s="33">
        <f>IF(Tabela1[[#This Row],[Status]]="✔️",Tabela1[[#This Row],[Peso]]*1*1,0)</f>
        <v>0</v>
      </c>
      <c r="Q257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73" s="33"/>
      <c r="S2573" s="37"/>
    </row>
    <row r="2574" spans="8:19" ht="17.399999999999999" x14ac:dyDescent="0.3">
      <c r="H2574" s="32"/>
      <c r="I2574" s="33"/>
      <c r="J2574" s="34"/>
      <c r="K2574" s="59"/>
      <c r="L2574" s="33"/>
      <c r="M2574" s="33"/>
      <c r="N2574" s="36"/>
      <c r="O2574" s="33"/>
      <c r="P2574" s="33">
        <f>IF(Tabela1[[#This Row],[Status]]="✔️",Tabela1[[#This Row],[Peso]]*1*1,0)</f>
        <v>0</v>
      </c>
      <c r="Q257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74" s="33"/>
      <c r="S2574" s="37"/>
    </row>
    <row r="2575" spans="8:19" ht="17.399999999999999" x14ac:dyDescent="0.3">
      <c r="H2575" s="32"/>
      <c r="I2575" s="33"/>
      <c r="J2575" s="34"/>
      <c r="K2575" s="59"/>
      <c r="L2575" s="33"/>
      <c r="M2575" s="33"/>
      <c r="N2575" s="36"/>
      <c r="O2575" s="33"/>
      <c r="P2575" s="33">
        <f>IF(Tabela1[[#This Row],[Status]]="✔️",Tabela1[[#This Row],[Peso]]*1*1,0)</f>
        <v>0</v>
      </c>
      <c r="Q257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75" s="33"/>
      <c r="S2575" s="37"/>
    </row>
    <row r="2576" spans="8:19" ht="17.399999999999999" x14ac:dyDescent="0.3">
      <c r="H2576" s="32"/>
      <c r="I2576" s="33"/>
      <c r="J2576" s="34"/>
      <c r="K2576" s="59"/>
      <c r="L2576" s="33"/>
      <c r="M2576" s="33"/>
      <c r="N2576" s="36"/>
      <c r="O2576" s="33"/>
      <c r="P2576" s="33">
        <f>IF(Tabela1[[#This Row],[Status]]="✔️",Tabela1[[#This Row],[Peso]]*1*1,0)</f>
        <v>0</v>
      </c>
      <c r="Q257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76" s="33"/>
      <c r="S2576" s="37"/>
    </row>
    <row r="2577" spans="8:19" ht="17.399999999999999" x14ac:dyDescent="0.3">
      <c r="H2577" s="32"/>
      <c r="I2577" s="33"/>
      <c r="J2577" s="34"/>
      <c r="K2577" s="59"/>
      <c r="L2577" s="33"/>
      <c r="M2577" s="33"/>
      <c r="N2577" s="36"/>
      <c r="O2577" s="33"/>
      <c r="P2577" s="33">
        <f>IF(Tabela1[[#This Row],[Status]]="✔️",Tabela1[[#This Row],[Peso]]*1*1,0)</f>
        <v>0</v>
      </c>
      <c r="Q257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77" s="33"/>
      <c r="S2577" s="37"/>
    </row>
    <row r="2578" spans="8:19" ht="17.399999999999999" x14ac:dyDescent="0.3">
      <c r="H2578" s="32"/>
      <c r="I2578" s="33"/>
      <c r="J2578" s="34"/>
      <c r="K2578" s="59"/>
      <c r="L2578" s="33"/>
      <c r="M2578" s="33"/>
      <c r="N2578" s="36"/>
      <c r="O2578" s="33"/>
      <c r="P2578" s="33">
        <f>IF(Tabela1[[#This Row],[Status]]="✔️",Tabela1[[#This Row],[Peso]]*1*1,0)</f>
        <v>0</v>
      </c>
      <c r="Q257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78" s="33"/>
      <c r="S2578" s="37"/>
    </row>
    <row r="2579" spans="8:19" ht="17.399999999999999" x14ac:dyDescent="0.3">
      <c r="H2579" s="32"/>
      <c r="I2579" s="33"/>
      <c r="J2579" s="34"/>
      <c r="K2579" s="59"/>
      <c r="L2579" s="33"/>
      <c r="M2579" s="33"/>
      <c r="N2579" s="36"/>
      <c r="O2579" s="33"/>
      <c r="P2579" s="33">
        <f>IF(Tabela1[[#This Row],[Status]]="✔️",Tabela1[[#This Row],[Peso]]*1*1,0)</f>
        <v>0</v>
      </c>
      <c r="Q257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79" s="33"/>
      <c r="S2579" s="37"/>
    </row>
    <row r="2580" spans="8:19" ht="17.399999999999999" x14ac:dyDescent="0.3">
      <c r="H2580" s="32"/>
      <c r="I2580" s="33"/>
      <c r="J2580" s="34"/>
      <c r="K2580" s="59"/>
      <c r="L2580" s="33"/>
      <c r="M2580" s="33"/>
      <c r="N2580" s="36"/>
      <c r="O2580" s="33"/>
      <c r="P2580" s="33">
        <f>IF(Tabela1[[#This Row],[Status]]="✔️",Tabela1[[#This Row],[Peso]]*1*1,0)</f>
        <v>0</v>
      </c>
      <c r="Q258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80" s="33"/>
      <c r="S2580" s="37"/>
    </row>
    <row r="2581" spans="8:19" ht="17.399999999999999" x14ac:dyDescent="0.3">
      <c r="H2581" s="32"/>
      <c r="I2581" s="33"/>
      <c r="J2581" s="34"/>
      <c r="K2581" s="59"/>
      <c r="L2581" s="33"/>
      <c r="M2581" s="33"/>
      <c r="N2581" s="36"/>
      <c r="O2581" s="33"/>
      <c r="P2581" s="33">
        <f>IF(Tabela1[[#This Row],[Status]]="✔️",Tabela1[[#This Row],[Peso]]*1*1,0)</f>
        <v>0</v>
      </c>
      <c r="Q258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81" s="33"/>
      <c r="S2581" s="37"/>
    </row>
    <row r="2582" spans="8:19" ht="17.399999999999999" x14ac:dyDescent="0.3">
      <c r="H2582" s="32"/>
      <c r="I2582" s="33"/>
      <c r="J2582" s="34"/>
      <c r="K2582" s="59"/>
      <c r="L2582" s="33"/>
      <c r="M2582" s="33"/>
      <c r="N2582" s="36"/>
      <c r="O2582" s="33"/>
      <c r="P2582" s="33">
        <f>IF(Tabela1[[#This Row],[Status]]="✔️",Tabela1[[#This Row],[Peso]]*1*1,0)</f>
        <v>0</v>
      </c>
      <c r="Q258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82" s="33"/>
      <c r="S2582" s="37"/>
    </row>
    <row r="2583" spans="8:19" ht="17.399999999999999" x14ac:dyDescent="0.3">
      <c r="H2583" s="32"/>
      <c r="I2583" s="33"/>
      <c r="J2583" s="34"/>
      <c r="K2583" s="59"/>
      <c r="L2583" s="33"/>
      <c r="M2583" s="33"/>
      <c r="N2583" s="36"/>
      <c r="O2583" s="33"/>
      <c r="P2583" s="33">
        <f>IF(Tabela1[[#This Row],[Status]]="✔️",Tabela1[[#This Row],[Peso]]*1*1,0)</f>
        <v>0</v>
      </c>
      <c r="Q258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83" s="33"/>
      <c r="S2583" s="37"/>
    </row>
    <row r="2584" spans="8:19" ht="17.399999999999999" x14ac:dyDescent="0.3">
      <c r="H2584" s="32"/>
      <c r="I2584" s="33"/>
      <c r="J2584" s="34"/>
      <c r="K2584" s="59"/>
      <c r="L2584" s="33"/>
      <c r="M2584" s="33"/>
      <c r="N2584" s="36"/>
      <c r="O2584" s="33"/>
      <c r="P2584" s="33">
        <f>IF(Tabela1[[#This Row],[Status]]="✔️",Tabela1[[#This Row],[Peso]]*1*1,0)</f>
        <v>0</v>
      </c>
      <c r="Q258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84" s="33"/>
      <c r="S2584" s="37"/>
    </row>
    <row r="2585" spans="8:19" ht="17.399999999999999" x14ac:dyDescent="0.3">
      <c r="H2585" s="32"/>
      <c r="I2585" s="33"/>
      <c r="J2585" s="34"/>
      <c r="K2585" s="59"/>
      <c r="L2585" s="33"/>
      <c r="M2585" s="33"/>
      <c r="N2585" s="36"/>
      <c r="O2585" s="33"/>
      <c r="P2585" s="33">
        <f>IF(Tabela1[[#This Row],[Status]]="✔️",Tabela1[[#This Row],[Peso]]*1*1,0)</f>
        <v>0</v>
      </c>
      <c r="Q258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85" s="33"/>
      <c r="S2585" s="37"/>
    </row>
    <row r="2586" spans="8:19" ht="17.399999999999999" x14ac:dyDescent="0.3">
      <c r="H2586" s="32"/>
      <c r="I2586" s="33"/>
      <c r="J2586" s="34"/>
      <c r="K2586" s="59"/>
      <c r="L2586" s="33"/>
      <c r="M2586" s="33"/>
      <c r="N2586" s="36"/>
      <c r="O2586" s="33"/>
      <c r="P2586" s="33">
        <f>IF(Tabela1[[#This Row],[Status]]="✔️",Tabela1[[#This Row],[Peso]]*1*1,0)</f>
        <v>0</v>
      </c>
      <c r="Q258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86" s="33"/>
      <c r="S2586" s="37"/>
    </row>
    <row r="2587" spans="8:19" ht="17.399999999999999" x14ac:dyDescent="0.3">
      <c r="H2587" s="32"/>
      <c r="I2587" s="33"/>
      <c r="J2587" s="34"/>
      <c r="K2587" s="59"/>
      <c r="L2587" s="33"/>
      <c r="M2587" s="33"/>
      <c r="N2587" s="36"/>
      <c r="O2587" s="33"/>
      <c r="P2587" s="33">
        <f>IF(Tabela1[[#This Row],[Status]]="✔️",Tabela1[[#This Row],[Peso]]*1*1,0)</f>
        <v>0</v>
      </c>
      <c r="Q258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87" s="33"/>
      <c r="S2587" s="37"/>
    </row>
    <row r="2588" spans="8:19" ht="17.399999999999999" x14ac:dyDescent="0.3">
      <c r="H2588" s="32"/>
      <c r="I2588" s="33"/>
      <c r="J2588" s="34"/>
      <c r="K2588" s="59"/>
      <c r="L2588" s="33"/>
      <c r="M2588" s="33"/>
      <c r="N2588" s="36"/>
      <c r="O2588" s="33"/>
      <c r="P2588" s="33">
        <f>IF(Tabela1[[#This Row],[Status]]="✔️",Tabela1[[#This Row],[Peso]]*1*1,0)</f>
        <v>0</v>
      </c>
      <c r="Q258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88" s="33"/>
      <c r="S2588" s="37"/>
    </row>
    <row r="2589" spans="8:19" ht="17.399999999999999" x14ac:dyDescent="0.3">
      <c r="H2589" s="32"/>
      <c r="I2589" s="33"/>
      <c r="J2589" s="34"/>
      <c r="K2589" s="59"/>
      <c r="L2589" s="33"/>
      <c r="M2589" s="33"/>
      <c r="N2589" s="36"/>
      <c r="O2589" s="33"/>
      <c r="P2589" s="33">
        <f>IF(Tabela1[[#This Row],[Status]]="✔️",Tabela1[[#This Row],[Peso]]*1*1,0)</f>
        <v>0</v>
      </c>
      <c r="Q258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89" s="33"/>
      <c r="S2589" s="37"/>
    </row>
    <row r="2590" spans="8:19" ht="17.399999999999999" x14ac:dyDescent="0.3">
      <c r="H2590" s="32"/>
      <c r="I2590" s="33"/>
      <c r="J2590" s="34"/>
      <c r="K2590" s="59"/>
      <c r="L2590" s="33"/>
      <c r="M2590" s="33"/>
      <c r="N2590" s="36"/>
      <c r="O2590" s="33"/>
      <c r="P2590" s="33">
        <f>IF(Tabela1[[#This Row],[Status]]="✔️",Tabela1[[#This Row],[Peso]]*1*1,0)</f>
        <v>0</v>
      </c>
      <c r="Q259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90" s="33"/>
      <c r="S2590" s="37"/>
    </row>
    <row r="2591" spans="8:19" ht="17.399999999999999" x14ac:dyDescent="0.3">
      <c r="H2591" s="32"/>
      <c r="I2591" s="33"/>
      <c r="J2591" s="34"/>
      <c r="K2591" s="59"/>
      <c r="L2591" s="33"/>
      <c r="M2591" s="33"/>
      <c r="N2591" s="36"/>
      <c r="O2591" s="33"/>
      <c r="P2591" s="33">
        <f>IF(Tabela1[[#This Row],[Status]]="✔️",Tabela1[[#This Row],[Peso]]*1*1,0)</f>
        <v>0</v>
      </c>
      <c r="Q259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91" s="33"/>
      <c r="S2591" s="37"/>
    </row>
    <row r="2592" spans="8:19" ht="17.399999999999999" x14ac:dyDescent="0.3">
      <c r="H2592" s="32"/>
      <c r="I2592" s="33"/>
      <c r="J2592" s="34"/>
      <c r="K2592" s="59"/>
      <c r="L2592" s="33"/>
      <c r="M2592" s="33"/>
      <c r="N2592" s="36"/>
      <c r="O2592" s="33"/>
      <c r="P2592" s="33">
        <f>IF(Tabela1[[#This Row],[Status]]="✔️",Tabela1[[#This Row],[Peso]]*1*1,0)</f>
        <v>0</v>
      </c>
      <c r="Q259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92" s="33"/>
      <c r="S2592" s="37"/>
    </row>
    <row r="2593" spans="8:19" ht="17.399999999999999" x14ac:dyDescent="0.3">
      <c r="H2593" s="32"/>
      <c r="I2593" s="33"/>
      <c r="J2593" s="34"/>
      <c r="K2593" s="59"/>
      <c r="L2593" s="33"/>
      <c r="M2593" s="33"/>
      <c r="N2593" s="36"/>
      <c r="O2593" s="33"/>
      <c r="P2593" s="33">
        <f>IF(Tabela1[[#This Row],[Status]]="✔️",Tabela1[[#This Row],[Peso]]*1*1,0)</f>
        <v>0</v>
      </c>
      <c r="Q259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93" s="33"/>
      <c r="S2593" s="37"/>
    </row>
    <row r="2594" spans="8:19" ht="17.399999999999999" x14ac:dyDescent="0.3">
      <c r="H2594" s="32"/>
      <c r="I2594" s="33"/>
      <c r="J2594" s="34"/>
      <c r="K2594" s="59"/>
      <c r="L2594" s="33"/>
      <c r="M2594" s="33"/>
      <c r="N2594" s="36"/>
      <c r="O2594" s="33"/>
      <c r="P2594" s="33">
        <f>IF(Tabela1[[#This Row],[Status]]="✔️",Tabela1[[#This Row],[Peso]]*1*1,0)</f>
        <v>0</v>
      </c>
      <c r="Q259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94" s="33"/>
      <c r="S2594" s="37"/>
    </row>
    <row r="2595" spans="8:19" ht="17.399999999999999" x14ac:dyDescent="0.3">
      <c r="H2595" s="32"/>
      <c r="I2595" s="33"/>
      <c r="J2595" s="34"/>
      <c r="K2595" s="59"/>
      <c r="L2595" s="33"/>
      <c r="M2595" s="33"/>
      <c r="N2595" s="36"/>
      <c r="O2595" s="33"/>
      <c r="P2595" s="33">
        <f>IF(Tabela1[[#This Row],[Status]]="✔️",Tabela1[[#This Row],[Peso]]*1*1,0)</f>
        <v>0</v>
      </c>
      <c r="Q259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95" s="33"/>
      <c r="S2595" s="37"/>
    </row>
    <row r="2596" spans="8:19" ht="17.399999999999999" x14ac:dyDescent="0.3">
      <c r="H2596" s="32"/>
      <c r="I2596" s="33"/>
      <c r="J2596" s="34"/>
      <c r="K2596" s="59"/>
      <c r="L2596" s="33"/>
      <c r="M2596" s="33"/>
      <c r="N2596" s="36"/>
      <c r="O2596" s="33"/>
      <c r="P2596" s="33">
        <f>IF(Tabela1[[#This Row],[Status]]="✔️",Tabela1[[#This Row],[Peso]]*1*1,0)</f>
        <v>0</v>
      </c>
      <c r="Q259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96" s="33"/>
      <c r="S2596" s="37"/>
    </row>
    <row r="2597" spans="8:19" ht="17.399999999999999" x14ac:dyDescent="0.3">
      <c r="H2597" s="32"/>
      <c r="I2597" s="33"/>
      <c r="J2597" s="34"/>
      <c r="K2597" s="59"/>
      <c r="L2597" s="33"/>
      <c r="M2597" s="33"/>
      <c r="N2597" s="36"/>
      <c r="O2597" s="33"/>
      <c r="P2597" s="33">
        <f>IF(Tabela1[[#This Row],[Status]]="✔️",Tabela1[[#This Row],[Peso]]*1*1,0)</f>
        <v>0</v>
      </c>
      <c r="Q259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97" s="33"/>
      <c r="S2597" s="37"/>
    </row>
    <row r="2598" spans="8:19" ht="17.399999999999999" x14ac:dyDescent="0.3">
      <c r="H2598" s="32"/>
      <c r="I2598" s="33"/>
      <c r="J2598" s="34"/>
      <c r="K2598" s="59"/>
      <c r="L2598" s="33"/>
      <c r="M2598" s="33"/>
      <c r="N2598" s="36"/>
      <c r="O2598" s="33"/>
      <c r="P2598" s="33">
        <f>IF(Tabela1[[#This Row],[Status]]="✔️",Tabela1[[#This Row],[Peso]]*1*1,0)</f>
        <v>0</v>
      </c>
      <c r="Q259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98" s="33"/>
      <c r="S2598" s="37"/>
    </row>
    <row r="2599" spans="8:19" ht="17.399999999999999" x14ac:dyDescent="0.3">
      <c r="H2599" s="32"/>
      <c r="I2599" s="33"/>
      <c r="J2599" s="34"/>
      <c r="K2599" s="59"/>
      <c r="L2599" s="33"/>
      <c r="M2599" s="33"/>
      <c r="N2599" s="36"/>
      <c r="O2599" s="33"/>
      <c r="P2599" s="33">
        <f>IF(Tabela1[[#This Row],[Status]]="✔️",Tabela1[[#This Row],[Peso]]*1*1,0)</f>
        <v>0</v>
      </c>
      <c r="Q259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99" s="33"/>
      <c r="S2599" s="37"/>
    </row>
    <row r="2600" spans="8:19" ht="17.399999999999999" x14ac:dyDescent="0.3">
      <c r="H2600" s="32"/>
      <c r="I2600" s="33"/>
      <c r="J2600" s="34"/>
      <c r="K2600" s="59"/>
      <c r="L2600" s="33"/>
      <c r="M2600" s="33"/>
      <c r="N2600" s="36"/>
      <c r="O2600" s="33"/>
      <c r="P2600" s="33">
        <f>IF(Tabela1[[#This Row],[Status]]="✔️",Tabela1[[#This Row],[Peso]]*1*1,0)</f>
        <v>0</v>
      </c>
      <c r="Q260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00" s="33"/>
      <c r="S2600" s="37"/>
    </row>
    <row r="2601" spans="8:19" ht="17.399999999999999" x14ac:dyDescent="0.3">
      <c r="H2601" s="32"/>
      <c r="I2601" s="33"/>
      <c r="J2601" s="34"/>
      <c r="K2601" s="59"/>
      <c r="L2601" s="33"/>
      <c r="M2601" s="33"/>
      <c r="N2601" s="36"/>
      <c r="O2601" s="33"/>
      <c r="P2601" s="33">
        <f>IF(Tabela1[[#This Row],[Status]]="✔️",Tabela1[[#This Row],[Peso]]*1*1,0)</f>
        <v>0</v>
      </c>
      <c r="Q260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01" s="33"/>
      <c r="S2601" s="37"/>
    </row>
    <row r="2602" spans="8:19" ht="17.399999999999999" x14ac:dyDescent="0.3">
      <c r="H2602" s="32"/>
      <c r="I2602" s="33"/>
      <c r="J2602" s="34"/>
      <c r="K2602" s="59"/>
      <c r="L2602" s="33"/>
      <c r="M2602" s="33"/>
      <c r="N2602" s="36"/>
      <c r="O2602" s="33"/>
      <c r="P2602" s="33">
        <f>IF(Tabela1[[#This Row],[Status]]="✔️",Tabela1[[#This Row],[Peso]]*1*1,0)</f>
        <v>0</v>
      </c>
      <c r="Q260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02" s="33"/>
      <c r="S2602" s="37"/>
    </row>
    <row r="2603" spans="8:19" ht="17.399999999999999" x14ac:dyDescent="0.3">
      <c r="H2603" s="32"/>
      <c r="I2603" s="33"/>
      <c r="J2603" s="34"/>
      <c r="K2603" s="59"/>
      <c r="L2603" s="33"/>
      <c r="M2603" s="33"/>
      <c r="N2603" s="36"/>
      <c r="O2603" s="33"/>
      <c r="P2603" s="33">
        <f>IF(Tabela1[[#This Row],[Status]]="✔️",Tabela1[[#This Row],[Peso]]*1*1,0)</f>
        <v>0</v>
      </c>
      <c r="Q260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03" s="33"/>
      <c r="S2603" s="37"/>
    </row>
    <row r="2604" spans="8:19" ht="17.399999999999999" x14ac:dyDescent="0.3">
      <c r="H2604" s="32"/>
      <c r="I2604" s="33"/>
      <c r="J2604" s="34"/>
      <c r="K2604" s="59"/>
      <c r="L2604" s="33"/>
      <c r="M2604" s="33"/>
      <c r="N2604" s="36"/>
      <c r="O2604" s="33"/>
      <c r="P2604" s="33">
        <f>IF(Tabela1[[#This Row],[Status]]="✔️",Tabela1[[#This Row],[Peso]]*1*1,0)</f>
        <v>0</v>
      </c>
      <c r="Q260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04" s="33"/>
      <c r="S2604" s="37"/>
    </row>
    <row r="2605" spans="8:19" ht="17.399999999999999" x14ac:dyDescent="0.3">
      <c r="H2605" s="32"/>
      <c r="I2605" s="33"/>
      <c r="J2605" s="34"/>
      <c r="K2605" s="59"/>
      <c r="L2605" s="33"/>
      <c r="M2605" s="33"/>
      <c r="N2605" s="36"/>
      <c r="O2605" s="33"/>
      <c r="P2605" s="33">
        <f>IF(Tabela1[[#This Row],[Status]]="✔️",Tabela1[[#This Row],[Peso]]*1*1,0)</f>
        <v>0</v>
      </c>
      <c r="Q260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05" s="33"/>
      <c r="S2605" s="37"/>
    </row>
    <row r="2606" spans="8:19" ht="17.399999999999999" x14ac:dyDescent="0.3">
      <c r="H2606" s="32"/>
      <c r="I2606" s="33"/>
      <c r="J2606" s="34"/>
      <c r="K2606" s="59"/>
      <c r="L2606" s="33"/>
      <c r="M2606" s="33"/>
      <c r="N2606" s="36"/>
      <c r="O2606" s="33"/>
      <c r="P2606" s="33">
        <f>IF(Tabela1[[#This Row],[Status]]="✔️",Tabela1[[#This Row],[Peso]]*1*1,0)</f>
        <v>0</v>
      </c>
      <c r="Q260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06" s="33"/>
      <c r="S2606" s="37"/>
    </row>
    <row r="2607" spans="8:19" ht="17.399999999999999" x14ac:dyDescent="0.3">
      <c r="H2607" s="32"/>
      <c r="I2607" s="33"/>
      <c r="J2607" s="34"/>
      <c r="K2607" s="59"/>
      <c r="L2607" s="33"/>
      <c r="M2607" s="33"/>
      <c r="N2607" s="36"/>
      <c r="O2607" s="33"/>
      <c r="P2607" s="33">
        <f>IF(Tabela1[[#This Row],[Status]]="✔️",Tabela1[[#This Row],[Peso]]*1*1,0)</f>
        <v>0</v>
      </c>
      <c r="Q260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07" s="33"/>
      <c r="S2607" s="37"/>
    </row>
    <row r="2608" spans="8:19" ht="17.399999999999999" x14ac:dyDescent="0.3">
      <c r="H2608" s="32"/>
      <c r="I2608" s="33"/>
      <c r="J2608" s="34"/>
      <c r="K2608" s="59"/>
      <c r="L2608" s="33"/>
      <c r="M2608" s="33"/>
      <c r="N2608" s="36"/>
      <c r="O2608" s="33"/>
      <c r="P2608" s="33">
        <f>IF(Tabela1[[#This Row],[Status]]="✔️",Tabela1[[#This Row],[Peso]]*1*1,0)</f>
        <v>0</v>
      </c>
      <c r="Q260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08" s="33"/>
      <c r="S2608" s="37"/>
    </row>
    <row r="2609" spans="8:19" ht="17.399999999999999" x14ac:dyDescent="0.3">
      <c r="H2609" s="32"/>
      <c r="I2609" s="33"/>
      <c r="J2609" s="34"/>
      <c r="K2609" s="59"/>
      <c r="L2609" s="33"/>
      <c r="M2609" s="33"/>
      <c r="N2609" s="36"/>
      <c r="O2609" s="33"/>
      <c r="P2609" s="33">
        <f>IF(Tabela1[[#This Row],[Status]]="✔️",Tabela1[[#This Row],[Peso]]*1*1,0)</f>
        <v>0</v>
      </c>
      <c r="Q260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09" s="33"/>
      <c r="S2609" s="37"/>
    </row>
    <row r="2610" spans="8:19" ht="17.399999999999999" x14ac:dyDescent="0.3">
      <c r="H2610" s="32"/>
      <c r="I2610" s="33"/>
      <c r="J2610" s="34"/>
      <c r="K2610" s="59"/>
      <c r="L2610" s="33"/>
      <c r="M2610" s="33"/>
      <c r="N2610" s="36"/>
      <c r="O2610" s="33"/>
      <c r="P2610" s="33">
        <f>IF(Tabela1[[#This Row],[Status]]="✔️",Tabela1[[#This Row],[Peso]]*1*1,0)</f>
        <v>0</v>
      </c>
      <c r="Q261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10" s="33"/>
      <c r="S2610" s="37"/>
    </row>
    <row r="2611" spans="8:19" ht="17.399999999999999" x14ac:dyDescent="0.3">
      <c r="H2611" s="32"/>
      <c r="I2611" s="33"/>
      <c r="J2611" s="34"/>
      <c r="K2611" s="59"/>
      <c r="L2611" s="33"/>
      <c r="M2611" s="33"/>
      <c r="N2611" s="36"/>
      <c r="O2611" s="33"/>
      <c r="P2611" s="33">
        <f>IF(Tabela1[[#This Row],[Status]]="✔️",Tabela1[[#This Row],[Peso]]*1*1,0)</f>
        <v>0</v>
      </c>
      <c r="Q261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11" s="33"/>
      <c r="S2611" s="37"/>
    </row>
    <row r="2612" spans="8:19" ht="17.399999999999999" x14ac:dyDescent="0.3">
      <c r="H2612" s="32"/>
      <c r="I2612" s="33"/>
      <c r="J2612" s="34"/>
      <c r="K2612" s="59"/>
      <c r="L2612" s="33"/>
      <c r="M2612" s="33"/>
      <c r="N2612" s="36"/>
      <c r="O2612" s="33"/>
      <c r="P2612" s="33">
        <f>IF(Tabela1[[#This Row],[Status]]="✔️",Tabela1[[#This Row],[Peso]]*1*1,0)</f>
        <v>0</v>
      </c>
      <c r="Q261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12" s="33"/>
      <c r="S2612" s="37"/>
    </row>
    <row r="2613" spans="8:19" ht="17.399999999999999" x14ac:dyDescent="0.3">
      <c r="H2613" s="32"/>
      <c r="I2613" s="33"/>
      <c r="J2613" s="34"/>
      <c r="K2613" s="59"/>
      <c r="L2613" s="33"/>
      <c r="M2613" s="33"/>
      <c r="N2613" s="36"/>
      <c r="O2613" s="33"/>
      <c r="P2613" s="33">
        <f>IF(Tabela1[[#This Row],[Status]]="✔️",Tabela1[[#This Row],[Peso]]*1*1,0)</f>
        <v>0</v>
      </c>
      <c r="Q261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13" s="33"/>
      <c r="S2613" s="37"/>
    </row>
    <row r="2614" spans="8:19" ht="17.399999999999999" x14ac:dyDescent="0.3">
      <c r="H2614" s="32"/>
      <c r="I2614" s="33"/>
      <c r="J2614" s="34"/>
      <c r="K2614" s="59"/>
      <c r="L2614" s="33"/>
      <c r="M2614" s="33"/>
      <c r="N2614" s="36"/>
      <c r="O2614" s="33"/>
      <c r="P2614" s="33">
        <f>IF(Tabela1[[#This Row],[Status]]="✔️",Tabela1[[#This Row],[Peso]]*1*1,0)</f>
        <v>0</v>
      </c>
      <c r="Q261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14" s="33"/>
      <c r="S2614" s="37"/>
    </row>
    <row r="2615" spans="8:19" ht="17.399999999999999" x14ac:dyDescent="0.3">
      <c r="H2615" s="32"/>
      <c r="I2615" s="33"/>
      <c r="J2615" s="34"/>
      <c r="K2615" s="59"/>
      <c r="L2615" s="33"/>
      <c r="M2615" s="33"/>
      <c r="N2615" s="36"/>
      <c r="O2615" s="33"/>
      <c r="P2615" s="33">
        <f>IF(Tabela1[[#This Row],[Status]]="✔️",Tabela1[[#This Row],[Peso]]*1*1,0)</f>
        <v>0</v>
      </c>
      <c r="Q261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15" s="33"/>
      <c r="S2615" s="37"/>
    </row>
    <row r="2616" spans="8:19" ht="17.399999999999999" x14ac:dyDescent="0.3">
      <c r="H2616" s="32"/>
      <c r="I2616" s="33"/>
      <c r="J2616" s="34"/>
      <c r="K2616" s="59"/>
      <c r="L2616" s="33"/>
      <c r="M2616" s="33"/>
      <c r="N2616" s="36"/>
      <c r="O2616" s="33"/>
      <c r="P2616" s="33">
        <f>IF(Tabela1[[#This Row],[Status]]="✔️",Tabela1[[#This Row],[Peso]]*1*1,0)</f>
        <v>0</v>
      </c>
      <c r="Q261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16" s="33"/>
      <c r="S2616" s="37"/>
    </row>
    <row r="2617" spans="8:19" ht="17.399999999999999" x14ac:dyDescent="0.3">
      <c r="H2617" s="32"/>
      <c r="I2617" s="33"/>
      <c r="J2617" s="34"/>
      <c r="K2617" s="59"/>
      <c r="L2617" s="33"/>
      <c r="M2617" s="33"/>
      <c r="N2617" s="36"/>
      <c r="O2617" s="33"/>
      <c r="P2617" s="33">
        <f>IF(Tabela1[[#This Row],[Status]]="✔️",Tabela1[[#This Row],[Peso]]*1*1,0)</f>
        <v>0</v>
      </c>
      <c r="Q261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17" s="33"/>
      <c r="S2617" s="37"/>
    </row>
    <row r="2618" spans="8:19" ht="17.399999999999999" x14ac:dyDescent="0.3">
      <c r="H2618" s="32"/>
      <c r="I2618" s="33"/>
      <c r="J2618" s="34"/>
      <c r="K2618" s="59"/>
      <c r="L2618" s="33"/>
      <c r="M2618" s="33"/>
      <c r="N2618" s="36"/>
      <c r="O2618" s="33"/>
      <c r="P2618" s="33">
        <f>IF(Tabela1[[#This Row],[Status]]="✔️",Tabela1[[#This Row],[Peso]]*1*1,0)</f>
        <v>0</v>
      </c>
      <c r="Q261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18" s="33"/>
      <c r="S2618" s="37"/>
    </row>
    <row r="2619" spans="8:19" ht="17.399999999999999" x14ac:dyDescent="0.3">
      <c r="H2619" s="32"/>
      <c r="I2619" s="33"/>
      <c r="J2619" s="34"/>
      <c r="K2619" s="59"/>
      <c r="L2619" s="33"/>
      <c r="M2619" s="33"/>
      <c r="N2619" s="36"/>
      <c r="O2619" s="33"/>
      <c r="P2619" s="33">
        <f>IF(Tabela1[[#This Row],[Status]]="✔️",Tabela1[[#This Row],[Peso]]*1*1,0)</f>
        <v>0</v>
      </c>
      <c r="Q261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19" s="33"/>
      <c r="S2619" s="37"/>
    </row>
    <row r="2620" spans="8:19" ht="17.399999999999999" x14ac:dyDescent="0.3">
      <c r="H2620" s="32"/>
      <c r="I2620" s="33"/>
      <c r="J2620" s="34"/>
      <c r="K2620" s="59"/>
      <c r="L2620" s="33"/>
      <c r="M2620" s="33"/>
      <c r="N2620" s="36"/>
      <c r="O2620" s="33"/>
      <c r="P2620" s="33">
        <f>IF(Tabela1[[#This Row],[Status]]="✔️",Tabela1[[#This Row],[Peso]]*1*1,0)</f>
        <v>0</v>
      </c>
      <c r="Q262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20" s="33"/>
      <c r="S2620" s="37"/>
    </row>
    <row r="2621" spans="8:19" ht="17.399999999999999" x14ac:dyDescent="0.3">
      <c r="H2621" s="32"/>
      <c r="I2621" s="33"/>
      <c r="J2621" s="34"/>
      <c r="K2621" s="59"/>
      <c r="L2621" s="33"/>
      <c r="M2621" s="33"/>
      <c r="N2621" s="36"/>
      <c r="O2621" s="33"/>
      <c r="P2621" s="33">
        <f>IF(Tabela1[[#This Row],[Status]]="✔️",Tabela1[[#This Row],[Peso]]*1*1,0)</f>
        <v>0</v>
      </c>
      <c r="Q262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21" s="33"/>
      <c r="S2621" s="37"/>
    </row>
    <row r="2622" spans="8:19" ht="17.399999999999999" x14ac:dyDescent="0.3">
      <c r="H2622" s="32"/>
      <c r="I2622" s="33"/>
      <c r="J2622" s="34"/>
      <c r="K2622" s="59"/>
      <c r="L2622" s="33"/>
      <c r="M2622" s="33"/>
      <c r="N2622" s="36"/>
      <c r="O2622" s="33"/>
      <c r="P2622" s="33">
        <f>IF(Tabela1[[#This Row],[Status]]="✔️",Tabela1[[#This Row],[Peso]]*1*1,0)</f>
        <v>0</v>
      </c>
      <c r="Q262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22" s="33"/>
      <c r="S2622" s="37"/>
    </row>
    <row r="2623" spans="8:19" ht="17.399999999999999" x14ac:dyDescent="0.3">
      <c r="H2623" s="32"/>
      <c r="I2623" s="33"/>
      <c r="J2623" s="34"/>
      <c r="K2623" s="59"/>
      <c r="L2623" s="33"/>
      <c r="M2623" s="33"/>
      <c r="N2623" s="36"/>
      <c r="O2623" s="33"/>
      <c r="P2623" s="33">
        <f>IF(Tabela1[[#This Row],[Status]]="✔️",Tabela1[[#This Row],[Peso]]*1*1,0)</f>
        <v>0</v>
      </c>
      <c r="Q262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23" s="33"/>
      <c r="S2623" s="37"/>
    </row>
    <row r="2624" spans="8:19" ht="17.399999999999999" x14ac:dyDescent="0.3">
      <c r="H2624" s="32"/>
      <c r="I2624" s="33"/>
      <c r="J2624" s="34"/>
      <c r="K2624" s="59"/>
      <c r="L2624" s="33"/>
      <c r="M2624" s="33"/>
      <c r="N2624" s="36"/>
      <c r="O2624" s="33"/>
      <c r="P2624" s="33">
        <f>IF(Tabela1[[#This Row],[Status]]="✔️",Tabela1[[#This Row],[Peso]]*1*1,0)</f>
        <v>0</v>
      </c>
      <c r="Q262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24" s="33"/>
      <c r="S2624" s="37"/>
    </row>
    <row r="2625" spans="8:19" ht="17.399999999999999" x14ac:dyDescent="0.3">
      <c r="H2625" s="32"/>
      <c r="I2625" s="33"/>
      <c r="J2625" s="34"/>
      <c r="K2625" s="59"/>
      <c r="L2625" s="33"/>
      <c r="M2625" s="33"/>
      <c r="N2625" s="36"/>
      <c r="O2625" s="33"/>
      <c r="P2625" s="33">
        <f>IF(Tabela1[[#This Row],[Status]]="✔️",Tabela1[[#This Row],[Peso]]*1*1,0)</f>
        <v>0</v>
      </c>
      <c r="Q262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25" s="33"/>
      <c r="S2625" s="37"/>
    </row>
    <row r="2626" spans="8:19" ht="17.399999999999999" x14ac:dyDescent="0.3">
      <c r="H2626" s="32"/>
      <c r="I2626" s="33"/>
      <c r="J2626" s="34"/>
      <c r="K2626" s="59"/>
      <c r="L2626" s="33"/>
      <c r="M2626" s="33"/>
      <c r="N2626" s="36"/>
      <c r="O2626" s="33"/>
      <c r="P2626" s="33">
        <f>IF(Tabela1[[#This Row],[Status]]="✔️",Tabela1[[#This Row],[Peso]]*1*1,0)</f>
        <v>0</v>
      </c>
      <c r="Q262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26" s="33"/>
      <c r="S2626" s="37"/>
    </row>
    <row r="2627" spans="8:19" ht="17.399999999999999" x14ac:dyDescent="0.3">
      <c r="H2627" s="32"/>
      <c r="I2627" s="33"/>
      <c r="J2627" s="34"/>
      <c r="K2627" s="59"/>
      <c r="L2627" s="33"/>
      <c r="M2627" s="33"/>
      <c r="N2627" s="36"/>
      <c r="O2627" s="33"/>
      <c r="P2627" s="33">
        <f>IF(Tabela1[[#This Row],[Status]]="✔️",Tabela1[[#This Row],[Peso]]*1*1,0)</f>
        <v>0</v>
      </c>
      <c r="Q262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27" s="33"/>
      <c r="S2627" s="37"/>
    </row>
    <row r="2628" spans="8:19" ht="17.399999999999999" x14ac:dyDescent="0.3">
      <c r="H2628" s="32"/>
      <c r="I2628" s="33"/>
      <c r="J2628" s="34"/>
      <c r="K2628" s="59"/>
      <c r="L2628" s="33"/>
      <c r="M2628" s="33"/>
      <c r="N2628" s="36"/>
      <c r="O2628" s="33"/>
      <c r="P2628" s="33">
        <f>IF(Tabela1[[#This Row],[Status]]="✔️",Tabela1[[#This Row],[Peso]]*1*1,0)</f>
        <v>0</v>
      </c>
      <c r="Q262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28" s="33"/>
      <c r="S2628" s="37"/>
    </row>
    <row r="2629" spans="8:19" ht="17.399999999999999" x14ac:dyDescent="0.3">
      <c r="H2629" s="32"/>
      <c r="I2629" s="33"/>
      <c r="J2629" s="34"/>
      <c r="K2629" s="59"/>
      <c r="L2629" s="33"/>
      <c r="M2629" s="33"/>
      <c r="N2629" s="36"/>
      <c r="O2629" s="33"/>
      <c r="P2629" s="33">
        <f>IF(Tabela1[[#This Row],[Status]]="✔️",Tabela1[[#This Row],[Peso]]*1*1,0)</f>
        <v>0</v>
      </c>
      <c r="Q262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29" s="33"/>
      <c r="S2629" s="37"/>
    </row>
    <row r="2630" spans="8:19" ht="17.399999999999999" x14ac:dyDescent="0.3">
      <c r="H2630" s="32"/>
      <c r="I2630" s="33"/>
      <c r="J2630" s="34"/>
      <c r="K2630" s="59"/>
      <c r="L2630" s="33"/>
      <c r="M2630" s="33"/>
      <c r="N2630" s="36"/>
      <c r="O2630" s="33"/>
      <c r="P2630" s="33">
        <f>IF(Tabela1[[#This Row],[Status]]="✔️",Tabela1[[#This Row],[Peso]]*1*1,0)</f>
        <v>0</v>
      </c>
      <c r="Q263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30" s="33"/>
      <c r="S2630" s="37"/>
    </row>
    <row r="2631" spans="8:19" ht="17.399999999999999" x14ac:dyDescent="0.3">
      <c r="H2631" s="32"/>
      <c r="I2631" s="33"/>
      <c r="J2631" s="34"/>
      <c r="K2631" s="59"/>
      <c r="L2631" s="33"/>
      <c r="M2631" s="33"/>
      <c r="N2631" s="36"/>
      <c r="O2631" s="33"/>
      <c r="P2631" s="33">
        <f>IF(Tabela1[[#This Row],[Status]]="✔️",Tabela1[[#This Row],[Peso]]*1*1,0)</f>
        <v>0</v>
      </c>
      <c r="Q263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31" s="33"/>
      <c r="S2631" s="37"/>
    </row>
    <row r="2632" spans="8:19" ht="17.399999999999999" x14ac:dyDescent="0.3">
      <c r="H2632" s="32"/>
      <c r="I2632" s="33"/>
      <c r="J2632" s="34"/>
      <c r="K2632" s="59"/>
      <c r="L2632" s="33"/>
      <c r="M2632" s="33"/>
      <c r="N2632" s="36"/>
      <c r="O2632" s="33"/>
      <c r="P2632" s="33">
        <f>IF(Tabela1[[#This Row],[Status]]="✔️",Tabela1[[#This Row],[Peso]]*1*1,0)</f>
        <v>0</v>
      </c>
      <c r="Q263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32" s="33"/>
      <c r="S2632" s="37"/>
    </row>
    <row r="2633" spans="8:19" ht="17.399999999999999" x14ac:dyDescent="0.3">
      <c r="H2633" s="32"/>
      <c r="I2633" s="33"/>
      <c r="J2633" s="34"/>
      <c r="K2633" s="59"/>
      <c r="L2633" s="33"/>
      <c r="M2633" s="33"/>
      <c r="N2633" s="36"/>
      <c r="O2633" s="33"/>
      <c r="P2633" s="33">
        <f>IF(Tabela1[[#This Row],[Status]]="✔️",Tabela1[[#This Row],[Peso]]*1*1,0)</f>
        <v>0</v>
      </c>
      <c r="Q263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33" s="33"/>
      <c r="S2633" s="37"/>
    </row>
    <row r="2634" spans="8:19" ht="17.399999999999999" x14ac:dyDescent="0.3">
      <c r="H2634" s="32"/>
      <c r="I2634" s="33"/>
      <c r="J2634" s="34"/>
      <c r="K2634" s="59"/>
      <c r="L2634" s="33"/>
      <c r="M2634" s="33"/>
      <c r="N2634" s="36"/>
      <c r="O2634" s="33"/>
      <c r="P2634" s="33">
        <f>IF(Tabela1[[#This Row],[Status]]="✔️",Tabela1[[#This Row],[Peso]]*1*1,0)</f>
        <v>0</v>
      </c>
      <c r="Q263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34" s="33"/>
      <c r="S2634" s="37"/>
    </row>
    <row r="2635" spans="8:19" ht="17.399999999999999" x14ac:dyDescent="0.3">
      <c r="H2635" s="32"/>
      <c r="I2635" s="33"/>
      <c r="J2635" s="34"/>
      <c r="K2635" s="59"/>
      <c r="L2635" s="33"/>
      <c r="M2635" s="33"/>
      <c r="N2635" s="36"/>
      <c r="O2635" s="33"/>
      <c r="P2635" s="33">
        <f>IF(Tabela1[[#This Row],[Status]]="✔️",Tabela1[[#This Row],[Peso]]*1*1,0)</f>
        <v>0</v>
      </c>
      <c r="Q263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35" s="33"/>
      <c r="S2635" s="37"/>
    </row>
    <row r="2636" spans="8:19" ht="17.399999999999999" x14ac:dyDescent="0.3">
      <c r="H2636" s="32"/>
      <c r="I2636" s="33"/>
      <c r="J2636" s="34"/>
      <c r="K2636" s="59"/>
      <c r="L2636" s="33"/>
      <c r="M2636" s="33"/>
      <c r="N2636" s="36"/>
      <c r="O2636" s="33"/>
      <c r="P2636" s="33">
        <f>IF(Tabela1[[#This Row],[Status]]="✔️",Tabela1[[#This Row],[Peso]]*1*1,0)</f>
        <v>0</v>
      </c>
      <c r="Q263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36" s="33"/>
      <c r="S2636" s="37"/>
    </row>
    <row r="2637" spans="8:19" ht="17.399999999999999" x14ac:dyDescent="0.3">
      <c r="H2637" s="32"/>
      <c r="I2637" s="33"/>
      <c r="J2637" s="34"/>
      <c r="K2637" s="59"/>
      <c r="L2637" s="33"/>
      <c r="M2637" s="33"/>
      <c r="N2637" s="36"/>
      <c r="O2637" s="33"/>
      <c r="P2637" s="33">
        <f>IF(Tabela1[[#This Row],[Status]]="✔️",Tabela1[[#This Row],[Peso]]*1*1,0)</f>
        <v>0</v>
      </c>
      <c r="Q263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37" s="33"/>
      <c r="S2637" s="37"/>
    </row>
    <row r="2638" spans="8:19" ht="17.399999999999999" x14ac:dyDescent="0.3">
      <c r="H2638" s="32"/>
      <c r="I2638" s="33"/>
      <c r="J2638" s="34"/>
      <c r="K2638" s="59"/>
      <c r="L2638" s="33"/>
      <c r="M2638" s="33"/>
      <c r="N2638" s="36"/>
      <c r="O2638" s="33"/>
      <c r="P2638" s="33">
        <f>IF(Tabela1[[#This Row],[Status]]="✔️",Tabela1[[#This Row],[Peso]]*1*1,0)</f>
        <v>0</v>
      </c>
      <c r="Q263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38" s="33"/>
      <c r="S2638" s="37"/>
    </row>
    <row r="2639" spans="8:19" ht="17.399999999999999" x14ac:dyDescent="0.3">
      <c r="H2639" s="32"/>
      <c r="I2639" s="33"/>
      <c r="J2639" s="34"/>
      <c r="K2639" s="59"/>
      <c r="L2639" s="33"/>
      <c r="M2639" s="33"/>
      <c r="N2639" s="36"/>
      <c r="O2639" s="33"/>
      <c r="P2639" s="33">
        <f>IF(Tabela1[[#This Row],[Status]]="✔️",Tabela1[[#This Row],[Peso]]*1*1,0)</f>
        <v>0</v>
      </c>
      <c r="Q263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39" s="33"/>
      <c r="S2639" s="37"/>
    </row>
    <row r="2640" spans="8:19" ht="17.399999999999999" x14ac:dyDescent="0.3">
      <c r="H2640" s="32"/>
      <c r="I2640" s="33"/>
      <c r="J2640" s="34"/>
      <c r="K2640" s="59"/>
      <c r="L2640" s="33"/>
      <c r="M2640" s="33"/>
      <c r="N2640" s="36"/>
      <c r="O2640" s="33"/>
      <c r="P2640" s="33">
        <f>IF(Tabela1[[#This Row],[Status]]="✔️",Tabela1[[#This Row],[Peso]]*1*1,0)</f>
        <v>0</v>
      </c>
      <c r="Q264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40" s="33"/>
      <c r="S2640" s="37"/>
    </row>
    <row r="2641" spans="8:19" ht="17.399999999999999" x14ac:dyDescent="0.3">
      <c r="H2641" s="32"/>
      <c r="I2641" s="33"/>
      <c r="J2641" s="34"/>
      <c r="K2641" s="59"/>
      <c r="L2641" s="33"/>
      <c r="M2641" s="33"/>
      <c r="N2641" s="36"/>
      <c r="O2641" s="33"/>
      <c r="P2641" s="33">
        <f>IF(Tabela1[[#This Row],[Status]]="✔️",Tabela1[[#This Row],[Peso]]*1*1,0)</f>
        <v>0</v>
      </c>
      <c r="Q264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41" s="33"/>
      <c r="S2641" s="37"/>
    </row>
    <row r="2642" spans="8:19" ht="17.399999999999999" x14ac:dyDescent="0.3">
      <c r="H2642" s="32"/>
      <c r="I2642" s="33"/>
      <c r="J2642" s="34"/>
      <c r="K2642" s="59"/>
      <c r="L2642" s="33"/>
      <c r="M2642" s="33"/>
      <c r="N2642" s="36"/>
      <c r="O2642" s="33"/>
      <c r="P2642" s="33">
        <f>IF(Tabela1[[#This Row],[Status]]="✔️",Tabela1[[#This Row],[Peso]]*1*1,0)</f>
        <v>0</v>
      </c>
      <c r="Q264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42" s="33"/>
      <c r="S2642" s="37"/>
    </row>
    <row r="2643" spans="8:19" ht="17.399999999999999" x14ac:dyDescent="0.3">
      <c r="H2643" s="32"/>
      <c r="I2643" s="33"/>
      <c r="J2643" s="34"/>
      <c r="K2643" s="59"/>
      <c r="L2643" s="33"/>
      <c r="M2643" s="33"/>
      <c r="N2643" s="36"/>
      <c r="O2643" s="33"/>
      <c r="P2643" s="33">
        <f>IF(Tabela1[[#This Row],[Status]]="✔️",Tabela1[[#This Row],[Peso]]*1*1,0)</f>
        <v>0</v>
      </c>
      <c r="Q264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43" s="33"/>
      <c r="S2643" s="37"/>
    </row>
    <row r="2644" spans="8:19" ht="17.399999999999999" x14ac:dyDescent="0.3">
      <c r="H2644" s="32"/>
      <c r="I2644" s="33"/>
      <c r="J2644" s="34"/>
      <c r="K2644" s="59"/>
      <c r="L2644" s="33"/>
      <c r="M2644" s="33"/>
      <c r="N2644" s="36"/>
      <c r="O2644" s="33"/>
      <c r="P2644" s="33">
        <f>IF(Tabela1[[#This Row],[Status]]="✔️",Tabela1[[#This Row],[Peso]]*1*1,0)</f>
        <v>0</v>
      </c>
      <c r="Q264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44" s="33"/>
      <c r="S2644" s="37"/>
    </row>
    <row r="2645" spans="8:19" ht="17.399999999999999" x14ac:dyDescent="0.3">
      <c r="H2645" s="32"/>
      <c r="I2645" s="33"/>
      <c r="J2645" s="34"/>
      <c r="K2645" s="59"/>
      <c r="L2645" s="33"/>
      <c r="M2645" s="33"/>
      <c r="N2645" s="36"/>
      <c r="O2645" s="33"/>
      <c r="P2645" s="33">
        <f>IF(Tabela1[[#This Row],[Status]]="✔️",Tabela1[[#This Row],[Peso]]*1*1,0)</f>
        <v>0</v>
      </c>
      <c r="Q264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45" s="33"/>
      <c r="S2645" s="37"/>
    </row>
    <row r="2646" spans="8:19" ht="17.399999999999999" x14ac:dyDescent="0.3">
      <c r="H2646" s="32"/>
      <c r="I2646" s="33"/>
      <c r="J2646" s="34"/>
      <c r="K2646" s="59"/>
      <c r="L2646" s="33"/>
      <c r="M2646" s="33"/>
      <c r="N2646" s="36"/>
      <c r="O2646" s="33"/>
      <c r="P2646" s="33">
        <f>IF(Tabela1[[#This Row],[Status]]="✔️",Tabela1[[#This Row],[Peso]]*1*1,0)</f>
        <v>0</v>
      </c>
      <c r="Q264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46" s="33"/>
      <c r="S2646" s="37"/>
    </row>
    <row r="2647" spans="8:19" ht="17.399999999999999" x14ac:dyDescent="0.3">
      <c r="H2647" s="32"/>
      <c r="I2647" s="33"/>
      <c r="J2647" s="34"/>
      <c r="K2647" s="59"/>
      <c r="L2647" s="33"/>
      <c r="M2647" s="33"/>
      <c r="N2647" s="36"/>
      <c r="O2647" s="33"/>
      <c r="P2647" s="33">
        <f>IF(Tabela1[[#This Row],[Status]]="✔️",Tabela1[[#This Row],[Peso]]*1*1,0)</f>
        <v>0</v>
      </c>
      <c r="Q264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47" s="33"/>
      <c r="S2647" s="37"/>
    </row>
    <row r="2648" spans="8:19" ht="17.399999999999999" x14ac:dyDescent="0.3">
      <c r="H2648" s="32"/>
      <c r="I2648" s="33"/>
      <c r="J2648" s="34"/>
      <c r="K2648" s="59"/>
      <c r="L2648" s="33"/>
      <c r="M2648" s="33"/>
      <c r="N2648" s="36"/>
      <c r="O2648" s="33"/>
      <c r="P2648" s="33">
        <f>IF(Tabela1[[#This Row],[Status]]="✔️",Tabela1[[#This Row],[Peso]]*1*1,0)</f>
        <v>0</v>
      </c>
      <c r="Q264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48" s="33"/>
      <c r="S2648" s="37"/>
    </row>
    <row r="2649" spans="8:19" ht="17.399999999999999" x14ac:dyDescent="0.3">
      <c r="H2649" s="32"/>
      <c r="I2649" s="33"/>
      <c r="J2649" s="34"/>
      <c r="K2649" s="59"/>
      <c r="L2649" s="33"/>
      <c r="M2649" s="33"/>
      <c r="N2649" s="36"/>
      <c r="O2649" s="33"/>
      <c r="P2649" s="33">
        <f>IF(Tabela1[[#This Row],[Status]]="✔️",Tabela1[[#This Row],[Peso]]*1*1,0)</f>
        <v>0</v>
      </c>
      <c r="Q264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49" s="33"/>
      <c r="S2649" s="37"/>
    </row>
    <row r="2650" spans="8:19" ht="17.399999999999999" x14ac:dyDescent="0.3">
      <c r="H2650" s="32"/>
      <c r="I2650" s="33"/>
      <c r="J2650" s="34"/>
      <c r="K2650" s="59"/>
      <c r="L2650" s="33"/>
      <c r="M2650" s="33"/>
      <c r="N2650" s="36"/>
      <c r="O2650" s="33"/>
      <c r="P2650" s="33">
        <f>IF(Tabela1[[#This Row],[Status]]="✔️",Tabela1[[#This Row],[Peso]]*1*1,0)</f>
        <v>0</v>
      </c>
      <c r="Q265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50" s="33"/>
      <c r="S2650" s="37"/>
    </row>
    <row r="2651" spans="8:19" ht="17.399999999999999" x14ac:dyDescent="0.3">
      <c r="H2651" s="32"/>
      <c r="I2651" s="33"/>
      <c r="J2651" s="34"/>
      <c r="K2651" s="59"/>
      <c r="L2651" s="33"/>
      <c r="M2651" s="33"/>
      <c r="N2651" s="36"/>
      <c r="O2651" s="33"/>
      <c r="P2651" s="33">
        <f>IF(Tabela1[[#This Row],[Status]]="✔️",Tabela1[[#This Row],[Peso]]*1*1,0)</f>
        <v>0</v>
      </c>
      <c r="Q265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51" s="33"/>
      <c r="S2651" s="37"/>
    </row>
    <row r="2652" spans="8:19" ht="17.399999999999999" x14ac:dyDescent="0.3">
      <c r="H2652" s="32"/>
      <c r="I2652" s="33"/>
      <c r="J2652" s="34"/>
      <c r="K2652" s="59"/>
      <c r="L2652" s="33"/>
      <c r="M2652" s="33"/>
      <c r="N2652" s="36"/>
      <c r="O2652" s="33"/>
      <c r="P2652" s="33">
        <f>IF(Tabela1[[#This Row],[Status]]="✔️",Tabela1[[#This Row],[Peso]]*1*1,0)</f>
        <v>0</v>
      </c>
      <c r="Q265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52" s="33"/>
      <c r="S2652" s="37"/>
    </row>
    <row r="2653" spans="8:19" ht="17.399999999999999" x14ac:dyDescent="0.3">
      <c r="H2653" s="32"/>
      <c r="I2653" s="33"/>
      <c r="J2653" s="34"/>
      <c r="K2653" s="59"/>
      <c r="L2653" s="33"/>
      <c r="M2653" s="33"/>
      <c r="N2653" s="36"/>
      <c r="O2653" s="33"/>
      <c r="P2653" s="33">
        <f>IF(Tabela1[[#This Row],[Status]]="✔️",Tabela1[[#This Row],[Peso]]*1*1,0)</f>
        <v>0</v>
      </c>
      <c r="Q265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53" s="33"/>
      <c r="S2653" s="37"/>
    </row>
    <row r="2654" spans="8:19" ht="17.399999999999999" x14ac:dyDescent="0.3">
      <c r="H2654" s="32"/>
      <c r="I2654" s="33"/>
      <c r="J2654" s="34"/>
      <c r="K2654" s="59"/>
      <c r="L2654" s="33"/>
      <c r="M2654" s="33"/>
      <c r="N2654" s="36"/>
      <c r="O2654" s="33"/>
      <c r="P2654" s="33">
        <f>IF(Tabela1[[#This Row],[Status]]="✔️",Tabela1[[#This Row],[Peso]]*1*1,0)</f>
        <v>0</v>
      </c>
      <c r="Q265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54" s="33"/>
      <c r="S2654" s="37"/>
    </row>
    <row r="2655" spans="8:19" ht="17.399999999999999" x14ac:dyDescent="0.3">
      <c r="H2655" s="32"/>
      <c r="I2655" s="33"/>
      <c r="J2655" s="34"/>
      <c r="K2655" s="59"/>
      <c r="L2655" s="33"/>
      <c r="M2655" s="33"/>
      <c r="N2655" s="36"/>
      <c r="O2655" s="33"/>
      <c r="P2655" s="33">
        <f>IF(Tabela1[[#This Row],[Status]]="✔️",Tabela1[[#This Row],[Peso]]*1*1,0)</f>
        <v>0</v>
      </c>
      <c r="Q265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55" s="33"/>
      <c r="S2655" s="37"/>
    </row>
    <row r="2656" spans="8:19" ht="17.399999999999999" x14ac:dyDescent="0.3">
      <c r="H2656" s="32"/>
      <c r="I2656" s="33"/>
      <c r="J2656" s="34"/>
      <c r="K2656" s="59"/>
      <c r="L2656" s="33"/>
      <c r="M2656" s="33"/>
      <c r="N2656" s="36"/>
      <c r="O2656" s="33"/>
      <c r="P2656" s="33">
        <f>IF(Tabela1[[#This Row],[Status]]="✔️",Tabela1[[#This Row],[Peso]]*1*1,0)</f>
        <v>0</v>
      </c>
      <c r="Q265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56" s="33"/>
      <c r="S2656" s="37"/>
    </row>
    <row r="2657" spans="8:19" ht="17.399999999999999" x14ac:dyDescent="0.3">
      <c r="H2657" s="32"/>
      <c r="I2657" s="33"/>
      <c r="J2657" s="34"/>
      <c r="K2657" s="59"/>
      <c r="L2657" s="33"/>
      <c r="M2657" s="33"/>
      <c r="N2657" s="36"/>
      <c r="O2657" s="33"/>
      <c r="P2657" s="33">
        <f>IF(Tabela1[[#This Row],[Status]]="✔️",Tabela1[[#This Row],[Peso]]*1*1,0)</f>
        <v>0</v>
      </c>
      <c r="Q265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57" s="33"/>
      <c r="S2657" s="37"/>
    </row>
    <row r="2658" spans="8:19" ht="17.399999999999999" x14ac:dyDescent="0.3">
      <c r="H2658" s="32"/>
      <c r="I2658" s="33"/>
      <c r="J2658" s="34"/>
      <c r="K2658" s="59"/>
      <c r="L2658" s="33"/>
      <c r="M2658" s="33"/>
      <c r="N2658" s="36"/>
      <c r="O2658" s="33"/>
      <c r="P2658" s="33">
        <f>IF(Tabela1[[#This Row],[Status]]="✔️",Tabela1[[#This Row],[Peso]]*1*1,0)</f>
        <v>0</v>
      </c>
      <c r="Q265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58" s="33"/>
      <c r="S2658" s="37"/>
    </row>
    <row r="2659" spans="8:19" ht="17.399999999999999" x14ac:dyDescent="0.3">
      <c r="H2659" s="32"/>
      <c r="I2659" s="33"/>
      <c r="J2659" s="34"/>
      <c r="K2659" s="59"/>
      <c r="L2659" s="33"/>
      <c r="M2659" s="33"/>
      <c r="N2659" s="36"/>
      <c r="O2659" s="33"/>
      <c r="P2659" s="33">
        <f>IF(Tabela1[[#This Row],[Status]]="✔️",Tabela1[[#This Row],[Peso]]*1*1,0)</f>
        <v>0</v>
      </c>
      <c r="Q265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59" s="33"/>
      <c r="S2659" s="37"/>
    </row>
    <row r="2660" spans="8:19" ht="17.399999999999999" x14ac:dyDescent="0.3">
      <c r="H2660" s="32"/>
      <c r="I2660" s="33"/>
      <c r="J2660" s="34"/>
      <c r="K2660" s="59"/>
      <c r="L2660" s="33"/>
      <c r="M2660" s="33"/>
      <c r="N2660" s="36"/>
      <c r="O2660" s="33"/>
      <c r="P2660" s="33">
        <f>IF(Tabela1[[#This Row],[Status]]="✔️",Tabela1[[#This Row],[Peso]]*1*1,0)</f>
        <v>0</v>
      </c>
      <c r="Q266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60" s="33"/>
      <c r="S2660" s="37"/>
    </row>
    <row r="2661" spans="8:19" ht="17.399999999999999" x14ac:dyDescent="0.3">
      <c r="H2661" s="32"/>
      <c r="I2661" s="33"/>
      <c r="J2661" s="34"/>
      <c r="K2661" s="59"/>
      <c r="L2661" s="33"/>
      <c r="M2661" s="33"/>
      <c r="N2661" s="36"/>
      <c r="O2661" s="33"/>
      <c r="P2661" s="33">
        <f>IF(Tabela1[[#This Row],[Status]]="✔️",Tabela1[[#This Row],[Peso]]*1*1,0)</f>
        <v>0</v>
      </c>
      <c r="Q266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61" s="33"/>
      <c r="S2661" s="37"/>
    </row>
    <row r="2662" spans="8:19" ht="17.399999999999999" x14ac:dyDescent="0.3">
      <c r="H2662" s="32"/>
      <c r="I2662" s="33"/>
      <c r="J2662" s="34"/>
      <c r="K2662" s="59"/>
      <c r="L2662" s="33"/>
      <c r="M2662" s="33"/>
      <c r="N2662" s="36"/>
      <c r="O2662" s="33"/>
      <c r="P2662" s="33">
        <f>IF(Tabela1[[#This Row],[Status]]="✔️",Tabela1[[#This Row],[Peso]]*1*1,0)</f>
        <v>0</v>
      </c>
      <c r="Q266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62" s="33"/>
      <c r="S2662" s="37"/>
    </row>
    <row r="2663" spans="8:19" ht="17.399999999999999" x14ac:dyDescent="0.3">
      <c r="H2663" s="32"/>
      <c r="I2663" s="33"/>
      <c r="J2663" s="34"/>
      <c r="K2663" s="59"/>
      <c r="L2663" s="33"/>
      <c r="M2663" s="33"/>
      <c r="N2663" s="36"/>
      <c r="O2663" s="33"/>
      <c r="P2663" s="33">
        <f>IF(Tabela1[[#This Row],[Status]]="✔️",Tabela1[[#This Row],[Peso]]*1*1,0)</f>
        <v>0</v>
      </c>
      <c r="Q266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63" s="33"/>
      <c r="S2663" s="37"/>
    </row>
    <row r="2664" spans="8:19" ht="17.399999999999999" x14ac:dyDescent="0.3">
      <c r="H2664" s="32"/>
      <c r="I2664" s="33"/>
      <c r="J2664" s="34"/>
      <c r="K2664" s="59"/>
      <c r="L2664" s="33"/>
      <c r="M2664" s="33"/>
      <c r="N2664" s="36"/>
      <c r="O2664" s="33"/>
      <c r="P2664" s="33">
        <f>IF(Tabela1[[#This Row],[Status]]="✔️",Tabela1[[#This Row],[Peso]]*1*1,0)</f>
        <v>0</v>
      </c>
      <c r="Q266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64" s="33"/>
      <c r="S2664" s="37"/>
    </row>
    <row r="2665" spans="8:19" ht="17.399999999999999" x14ac:dyDescent="0.3">
      <c r="H2665" s="32"/>
      <c r="I2665" s="33"/>
      <c r="J2665" s="34"/>
      <c r="K2665" s="59"/>
      <c r="L2665" s="33"/>
      <c r="M2665" s="33"/>
      <c r="N2665" s="36"/>
      <c r="O2665" s="33"/>
      <c r="P2665" s="33">
        <f>IF(Tabela1[[#This Row],[Status]]="✔️",Tabela1[[#This Row],[Peso]]*1*1,0)</f>
        <v>0</v>
      </c>
      <c r="Q266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65" s="33"/>
      <c r="S2665" s="37"/>
    </row>
    <row r="2666" spans="8:19" ht="17.399999999999999" x14ac:dyDescent="0.3">
      <c r="H2666" s="32"/>
      <c r="I2666" s="33"/>
      <c r="J2666" s="34"/>
      <c r="K2666" s="59"/>
      <c r="L2666" s="33"/>
      <c r="M2666" s="33"/>
      <c r="N2666" s="36"/>
      <c r="O2666" s="33"/>
      <c r="P2666" s="33">
        <f>IF(Tabela1[[#This Row],[Status]]="✔️",Tabela1[[#This Row],[Peso]]*1*1,0)</f>
        <v>0</v>
      </c>
      <c r="Q266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66" s="33"/>
      <c r="S2666" s="37"/>
    </row>
    <row r="2667" spans="8:19" ht="17.399999999999999" x14ac:dyDescent="0.3">
      <c r="H2667" s="32"/>
      <c r="I2667" s="33"/>
      <c r="J2667" s="34"/>
      <c r="K2667" s="59"/>
      <c r="L2667" s="33"/>
      <c r="M2667" s="33"/>
      <c r="N2667" s="36"/>
      <c r="O2667" s="33"/>
      <c r="P2667" s="33">
        <f>IF(Tabela1[[#This Row],[Status]]="✔️",Tabela1[[#This Row],[Peso]]*1*1,0)</f>
        <v>0</v>
      </c>
      <c r="Q266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67" s="33"/>
      <c r="S2667" s="37"/>
    </row>
    <row r="2668" spans="8:19" ht="17.399999999999999" x14ac:dyDescent="0.3">
      <c r="H2668" s="32"/>
      <c r="I2668" s="33"/>
      <c r="J2668" s="34"/>
      <c r="K2668" s="59"/>
      <c r="L2668" s="33"/>
      <c r="M2668" s="33"/>
      <c r="N2668" s="36"/>
      <c r="O2668" s="33"/>
      <c r="P2668" s="33">
        <f>IF(Tabela1[[#This Row],[Status]]="✔️",Tabela1[[#This Row],[Peso]]*1*1,0)</f>
        <v>0</v>
      </c>
      <c r="Q266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68" s="33"/>
      <c r="S2668" s="37"/>
    </row>
    <row r="2669" spans="8:19" ht="17.399999999999999" x14ac:dyDescent="0.3">
      <c r="H2669" s="32"/>
      <c r="I2669" s="33"/>
      <c r="J2669" s="34"/>
      <c r="K2669" s="59"/>
      <c r="L2669" s="33"/>
      <c r="M2669" s="33"/>
      <c r="N2669" s="36"/>
      <c r="O2669" s="33"/>
      <c r="P2669" s="33">
        <f>IF(Tabela1[[#This Row],[Status]]="✔️",Tabela1[[#This Row],[Peso]]*1*1,0)</f>
        <v>0</v>
      </c>
      <c r="Q266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69" s="33"/>
      <c r="S2669" s="37"/>
    </row>
    <row r="2670" spans="8:19" ht="17.399999999999999" x14ac:dyDescent="0.3">
      <c r="H2670" s="32"/>
      <c r="I2670" s="33"/>
      <c r="J2670" s="34"/>
      <c r="K2670" s="59"/>
      <c r="L2670" s="33"/>
      <c r="M2670" s="33"/>
      <c r="N2670" s="36"/>
      <c r="O2670" s="33"/>
      <c r="P2670" s="33">
        <f>IF(Tabela1[[#This Row],[Status]]="✔️",Tabela1[[#This Row],[Peso]]*1*1,0)</f>
        <v>0</v>
      </c>
      <c r="Q267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70" s="33"/>
      <c r="S2670" s="37"/>
    </row>
    <row r="2671" spans="8:19" ht="17.399999999999999" x14ac:dyDescent="0.3">
      <c r="H2671" s="32"/>
      <c r="I2671" s="33"/>
      <c r="J2671" s="34"/>
      <c r="K2671" s="59"/>
      <c r="L2671" s="33"/>
      <c r="M2671" s="33"/>
      <c r="N2671" s="36"/>
      <c r="O2671" s="33"/>
      <c r="P2671" s="33">
        <f>IF(Tabela1[[#This Row],[Status]]="✔️",Tabela1[[#This Row],[Peso]]*1*1,0)</f>
        <v>0</v>
      </c>
      <c r="Q267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71" s="33"/>
      <c r="S2671" s="37"/>
    </row>
    <row r="2672" spans="8:19" ht="17.399999999999999" x14ac:dyDescent="0.3">
      <c r="H2672" s="32"/>
      <c r="I2672" s="33"/>
      <c r="J2672" s="34"/>
      <c r="K2672" s="59"/>
      <c r="L2672" s="33"/>
      <c r="M2672" s="33"/>
      <c r="N2672" s="36"/>
      <c r="O2672" s="33"/>
      <c r="P2672" s="33">
        <f>IF(Tabela1[[#This Row],[Status]]="✔️",Tabela1[[#This Row],[Peso]]*1*1,0)</f>
        <v>0</v>
      </c>
      <c r="Q267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72" s="33"/>
      <c r="S2672" s="37"/>
    </row>
    <row r="2673" spans="8:19" ht="17.399999999999999" x14ac:dyDescent="0.3">
      <c r="H2673" s="32"/>
      <c r="I2673" s="33"/>
      <c r="J2673" s="34"/>
      <c r="K2673" s="59"/>
      <c r="L2673" s="33"/>
      <c r="M2673" s="33"/>
      <c r="N2673" s="36"/>
      <c r="O2673" s="33"/>
      <c r="P2673" s="33">
        <f>IF(Tabela1[[#This Row],[Status]]="✔️",Tabela1[[#This Row],[Peso]]*1*1,0)</f>
        <v>0</v>
      </c>
      <c r="Q267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73" s="33"/>
      <c r="S2673" s="37"/>
    </row>
    <row r="2674" spans="8:19" ht="17.399999999999999" x14ac:dyDescent="0.3">
      <c r="H2674" s="32"/>
      <c r="I2674" s="33"/>
      <c r="J2674" s="34"/>
      <c r="K2674" s="59"/>
      <c r="L2674" s="33"/>
      <c r="M2674" s="33"/>
      <c r="N2674" s="36"/>
      <c r="O2674" s="33"/>
      <c r="P2674" s="33">
        <f>IF(Tabela1[[#This Row],[Status]]="✔️",Tabela1[[#This Row],[Peso]]*1*1,0)</f>
        <v>0</v>
      </c>
      <c r="Q267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74" s="33"/>
      <c r="S2674" s="37"/>
    </row>
    <row r="2675" spans="8:19" ht="17.399999999999999" x14ac:dyDescent="0.3">
      <c r="H2675" s="32"/>
      <c r="I2675" s="33"/>
      <c r="J2675" s="34"/>
      <c r="K2675" s="59"/>
      <c r="L2675" s="33"/>
      <c r="M2675" s="33"/>
      <c r="N2675" s="36"/>
      <c r="O2675" s="33"/>
      <c r="P2675" s="33">
        <f>IF(Tabela1[[#This Row],[Status]]="✔️",Tabela1[[#This Row],[Peso]]*1*1,0)</f>
        <v>0</v>
      </c>
      <c r="Q267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75" s="33"/>
      <c r="S2675" s="37"/>
    </row>
    <row r="2676" spans="8:19" ht="17.399999999999999" x14ac:dyDescent="0.3">
      <c r="H2676" s="32"/>
      <c r="I2676" s="33"/>
      <c r="J2676" s="34"/>
      <c r="K2676" s="59"/>
      <c r="L2676" s="33"/>
      <c r="M2676" s="33"/>
      <c r="N2676" s="36"/>
      <c r="O2676" s="33"/>
      <c r="P2676" s="33">
        <f>IF(Tabela1[[#This Row],[Status]]="✔️",Tabela1[[#This Row],[Peso]]*1*1,0)</f>
        <v>0</v>
      </c>
      <c r="Q267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76" s="33"/>
      <c r="S2676" s="37"/>
    </row>
    <row r="2677" spans="8:19" ht="17.399999999999999" x14ac:dyDescent="0.3">
      <c r="H2677" s="32"/>
      <c r="I2677" s="33"/>
      <c r="J2677" s="34"/>
      <c r="K2677" s="59"/>
      <c r="L2677" s="33"/>
      <c r="M2677" s="33"/>
      <c r="N2677" s="36"/>
      <c r="O2677" s="33"/>
      <c r="P2677" s="33">
        <f>IF(Tabela1[[#This Row],[Status]]="✔️",Tabela1[[#This Row],[Peso]]*1*1,0)</f>
        <v>0</v>
      </c>
      <c r="Q267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77" s="33"/>
      <c r="S2677" s="37"/>
    </row>
    <row r="2678" spans="8:19" ht="17.399999999999999" x14ac:dyDescent="0.3">
      <c r="H2678" s="32"/>
      <c r="I2678" s="33"/>
      <c r="J2678" s="34"/>
      <c r="K2678" s="59"/>
      <c r="L2678" s="33"/>
      <c r="M2678" s="33"/>
      <c r="N2678" s="36"/>
      <c r="O2678" s="33"/>
      <c r="P2678" s="33">
        <f>IF(Tabela1[[#This Row],[Status]]="✔️",Tabela1[[#This Row],[Peso]]*1*1,0)</f>
        <v>0</v>
      </c>
      <c r="Q267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78" s="33"/>
      <c r="S2678" s="37"/>
    </row>
    <row r="2679" spans="8:19" ht="17.399999999999999" x14ac:dyDescent="0.3">
      <c r="H2679" s="32"/>
      <c r="I2679" s="33"/>
      <c r="J2679" s="34"/>
      <c r="K2679" s="59"/>
      <c r="L2679" s="33"/>
      <c r="M2679" s="33"/>
      <c r="N2679" s="36"/>
      <c r="O2679" s="33"/>
      <c r="P2679" s="33">
        <f>IF(Tabela1[[#This Row],[Status]]="✔️",Tabela1[[#This Row],[Peso]]*1*1,0)</f>
        <v>0</v>
      </c>
      <c r="Q267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79" s="33"/>
      <c r="S2679" s="37"/>
    </row>
    <row r="2680" spans="8:19" ht="17.399999999999999" x14ac:dyDescent="0.3">
      <c r="H2680" s="32"/>
      <c r="I2680" s="33"/>
      <c r="J2680" s="34"/>
      <c r="K2680" s="59"/>
      <c r="L2680" s="33"/>
      <c r="M2680" s="33"/>
      <c r="N2680" s="36"/>
      <c r="O2680" s="33"/>
      <c r="P2680" s="33">
        <f>IF(Tabela1[[#This Row],[Status]]="✔️",Tabela1[[#This Row],[Peso]]*1*1,0)</f>
        <v>0</v>
      </c>
      <c r="Q268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80" s="33"/>
      <c r="S2680" s="37"/>
    </row>
    <row r="2681" spans="8:19" ht="17.399999999999999" x14ac:dyDescent="0.3">
      <c r="H2681" s="32"/>
      <c r="I2681" s="33"/>
      <c r="J2681" s="34"/>
      <c r="K2681" s="59"/>
      <c r="L2681" s="33"/>
      <c r="M2681" s="33"/>
      <c r="N2681" s="36"/>
      <c r="O2681" s="33"/>
      <c r="P2681" s="33">
        <f>IF(Tabela1[[#This Row],[Status]]="✔️",Tabela1[[#This Row],[Peso]]*1*1,0)</f>
        <v>0</v>
      </c>
      <c r="Q268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81" s="33"/>
      <c r="S2681" s="37"/>
    </row>
    <row r="2682" spans="8:19" ht="17.399999999999999" x14ac:dyDescent="0.3">
      <c r="H2682" s="32"/>
      <c r="I2682" s="33"/>
      <c r="J2682" s="34"/>
      <c r="K2682" s="59"/>
      <c r="L2682" s="33"/>
      <c r="M2682" s="33"/>
      <c r="N2682" s="36"/>
      <c r="O2682" s="33"/>
      <c r="P2682" s="33">
        <f>IF(Tabela1[[#This Row],[Status]]="✔️",Tabela1[[#This Row],[Peso]]*1*1,0)</f>
        <v>0</v>
      </c>
      <c r="Q268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82" s="33"/>
      <c r="S2682" s="37"/>
    </row>
    <row r="2683" spans="8:19" ht="17.399999999999999" x14ac:dyDescent="0.3">
      <c r="H2683" s="32"/>
      <c r="I2683" s="33"/>
      <c r="J2683" s="34"/>
      <c r="K2683" s="59"/>
      <c r="L2683" s="33"/>
      <c r="M2683" s="33"/>
      <c r="N2683" s="36"/>
      <c r="O2683" s="33"/>
      <c r="P2683" s="33">
        <f>IF(Tabela1[[#This Row],[Status]]="✔️",Tabela1[[#This Row],[Peso]]*1*1,0)</f>
        <v>0</v>
      </c>
      <c r="Q268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83" s="33"/>
      <c r="S2683" s="37"/>
    </row>
    <row r="2684" spans="8:19" ht="17.399999999999999" x14ac:dyDescent="0.3">
      <c r="H2684" s="32"/>
      <c r="I2684" s="33"/>
      <c r="J2684" s="34"/>
      <c r="K2684" s="59"/>
      <c r="L2684" s="33"/>
      <c r="M2684" s="33"/>
      <c r="N2684" s="36"/>
      <c r="O2684" s="33"/>
      <c r="P2684" s="33">
        <f>IF(Tabela1[[#This Row],[Status]]="✔️",Tabela1[[#This Row],[Peso]]*1*1,0)</f>
        <v>0</v>
      </c>
      <c r="Q268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84" s="33"/>
      <c r="S2684" s="37"/>
    </row>
    <row r="2685" spans="8:19" ht="17.399999999999999" x14ac:dyDescent="0.3">
      <c r="H2685" s="32"/>
      <c r="I2685" s="33"/>
      <c r="J2685" s="34"/>
      <c r="K2685" s="59"/>
      <c r="L2685" s="33"/>
      <c r="M2685" s="33"/>
      <c r="N2685" s="36"/>
      <c r="O2685" s="33"/>
      <c r="P2685" s="33">
        <f>IF(Tabela1[[#This Row],[Status]]="✔️",Tabela1[[#This Row],[Peso]]*1*1,0)</f>
        <v>0</v>
      </c>
      <c r="Q268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85" s="33"/>
      <c r="S2685" s="37"/>
    </row>
    <row r="2686" spans="8:19" ht="17.399999999999999" x14ac:dyDescent="0.3">
      <c r="H2686" s="32"/>
      <c r="I2686" s="33"/>
      <c r="J2686" s="34"/>
      <c r="K2686" s="59"/>
      <c r="L2686" s="33"/>
      <c r="M2686" s="33"/>
      <c r="N2686" s="36"/>
      <c r="O2686" s="33"/>
      <c r="P2686" s="33">
        <f>IF(Tabela1[[#This Row],[Status]]="✔️",Tabela1[[#This Row],[Peso]]*1*1,0)</f>
        <v>0</v>
      </c>
      <c r="Q268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86" s="33"/>
      <c r="S2686" s="37"/>
    </row>
    <row r="2687" spans="8:19" ht="17.399999999999999" x14ac:dyDescent="0.3">
      <c r="H2687" s="32"/>
      <c r="I2687" s="33"/>
      <c r="J2687" s="34"/>
      <c r="K2687" s="59"/>
      <c r="L2687" s="33"/>
      <c r="M2687" s="33"/>
      <c r="N2687" s="36"/>
      <c r="O2687" s="33"/>
      <c r="P2687" s="33">
        <f>IF(Tabela1[[#This Row],[Status]]="✔️",Tabela1[[#This Row],[Peso]]*1*1,0)</f>
        <v>0</v>
      </c>
      <c r="Q268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87" s="33"/>
      <c r="S2687" s="37"/>
    </row>
    <row r="2688" spans="8:19" ht="17.399999999999999" x14ac:dyDescent="0.3">
      <c r="H2688" s="32"/>
      <c r="I2688" s="33"/>
      <c r="J2688" s="34"/>
      <c r="K2688" s="59"/>
      <c r="L2688" s="33"/>
      <c r="M2688" s="33"/>
      <c r="N2688" s="36"/>
      <c r="O2688" s="33"/>
      <c r="P2688" s="33">
        <f>IF(Tabela1[[#This Row],[Status]]="✔️",Tabela1[[#This Row],[Peso]]*1*1,0)</f>
        <v>0</v>
      </c>
      <c r="Q268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88" s="33"/>
      <c r="S2688" s="37"/>
    </row>
    <row r="2689" spans="8:19" ht="17.399999999999999" x14ac:dyDescent="0.3">
      <c r="H2689" s="32"/>
      <c r="I2689" s="33"/>
      <c r="J2689" s="34"/>
      <c r="K2689" s="59"/>
      <c r="L2689" s="33"/>
      <c r="M2689" s="33"/>
      <c r="N2689" s="36"/>
      <c r="O2689" s="33"/>
      <c r="P2689" s="33">
        <f>IF(Tabela1[[#This Row],[Status]]="✔️",Tabela1[[#This Row],[Peso]]*1*1,0)</f>
        <v>0</v>
      </c>
      <c r="Q268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89" s="33"/>
      <c r="S2689" s="37"/>
    </row>
    <row r="2690" spans="8:19" ht="17.399999999999999" x14ac:dyDescent="0.3">
      <c r="H2690" s="32"/>
      <c r="I2690" s="33"/>
      <c r="J2690" s="34"/>
      <c r="K2690" s="59"/>
      <c r="L2690" s="33"/>
      <c r="M2690" s="33"/>
      <c r="N2690" s="36"/>
      <c r="O2690" s="33"/>
      <c r="P2690" s="33">
        <f>IF(Tabela1[[#This Row],[Status]]="✔️",Tabela1[[#This Row],[Peso]]*1*1,0)</f>
        <v>0</v>
      </c>
      <c r="Q269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90" s="33"/>
      <c r="S2690" s="37"/>
    </row>
    <row r="2691" spans="8:19" ht="17.399999999999999" x14ac:dyDescent="0.3">
      <c r="H2691" s="32"/>
      <c r="I2691" s="33"/>
      <c r="J2691" s="34"/>
      <c r="K2691" s="59"/>
      <c r="L2691" s="33"/>
      <c r="M2691" s="33"/>
      <c r="N2691" s="36"/>
      <c r="O2691" s="33"/>
      <c r="P2691" s="33">
        <f>IF(Tabela1[[#This Row],[Status]]="✔️",Tabela1[[#This Row],[Peso]]*1*1,0)</f>
        <v>0</v>
      </c>
      <c r="Q269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91" s="33"/>
      <c r="S2691" s="37"/>
    </row>
    <row r="2692" spans="8:19" ht="17.399999999999999" x14ac:dyDescent="0.3">
      <c r="H2692" s="32"/>
      <c r="I2692" s="33"/>
      <c r="J2692" s="34"/>
      <c r="K2692" s="59"/>
      <c r="L2692" s="33"/>
      <c r="M2692" s="33"/>
      <c r="N2692" s="36"/>
      <c r="O2692" s="33"/>
      <c r="P2692" s="33">
        <f>IF(Tabela1[[#This Row],[Status]]="✔️",Tabela1[[#This Row],[Peso]]*1*1,0)</f>
        <v>0</v>
      </c>
      <c r="Q269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92" s="33"/>
      <c r="S2692" s="37"/>
    </row>
    <row r="2693" spans="8:19" ht="17.399999999999999" x14ac:dyDescent="0.3">
      <c r="H2693" s="32"/>
      <c r="I2693" s="33"/>
      <c r="J2693" s="34"/>
      <c r="K2693" s="59"/>
      <c r="L2693" s="33"/>
      <c r="M2693" s="33"/>
      <c r="N2693" s="36"/>
      <c r="O2693" s="33"/>
      <c r="P2693" s="33">
        <f>IF(Tabela1[[#This Row],[Status]]="✔️",Tabela1[[#This Row],[Peso]]*1*1,0)</f>
        <v>0</v>
      </c>
      <c r="Q269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93" s="33"/>
      <c r="S2693" s="37"/>
    </row>
    <row r="2694" spans="8:19" ht="17.399999999999999" x14ac:dyDescent="0.3">
      <c r="H2694" s="32"/>
      <c r="I2694" s="33"/>
      <c r="J2694" s="34"/>
      <c r="K2694" s="59"/>
      <c r="L2694" s="33"/>
      <c r="M2694" s="33"/>
      <c r="N2694" s="36"/>
      <c r="O2694" s="33"/>
      <c r="P2694" s="33">
        <f>IF(Tabela1[[#This Row],[Status]]="✔️",Tabela1[[#This Row],[Peso]]*1*1,0)</f>
        <v>0</v>
      </c>
      <c r="Q269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94" s="33"/>
      <c r="S2694" s="37"/>
    </row>
    <row r="2695" spans="8:19" ht="17.399999999999999" x14ac:dyDescent="0.3">
      <c r="H2695" s="32"/>
      <c r="I2695" s="33"/>
      <c r="J2695" s="34"/>
      <c r="K2695" s="59"/>
      <c r="L2695" s="33"/>
      <c r="M2695" s="33"/>
      <c r="N2695" s="36"/>
      <c r="O2695" s="33"/>
      <c r="P2695" s="33">
        <f>IF(Tabela1[[#This Row],[Status]]="✔️",Tabela1[[#This Row],[Peso]]*1*1,0)</f>
        <v>0</v>
      </c>
      <c r="Q269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95" s="33"/>
      <c r="S2695" s="37"/>
    </row>
    <row r="2696" spans="8:19" ht="17.399999999999999" x14ac:dyDescent="0.3">
      <c r="H2696" s="32"/>
      <c r="I2696" s="33"/>
      <c r="J2696" s="34"/>
      <c r="K2696" s="59"/>
      <c r="L2696" s="33"/>
      <c r="M2696" s="33"/>
      <c r="N2696" s="36"/>
      <c r="O2696" s="33"/>
      <c r="P2696" s="33">
        <f>IF(Tabela1[[#This Row],[Status]]="✔️",Tabela1[[#This Row],[Peso]]*1*1,0)</f>
        <v>0</v>
      </c>
      <c r="Q269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96" s="33"/>
      <c r="S2696" s="37"/>
    </row>
    <row r="2697" spans="8:19" ht="17.399999999999999" x14ac:dyDescent="0.3">
      <c r="H2697" s="32"/>
      <c r="I2697" s="33"/>
      <c r="J2697" s="34"/>
      <c r="K2697" s="59"/>
      <c r="L2697" s="33"/>
      <c r="M2697" s="33"/>
      <c r="N2697" s="36"/>
      <c r="O2697" s="33"/>
      <c r="P2697" s="33">
        <f>IF(Tabela1[[#This Row],[Status]]="✔️",Tabela1[[#This Row],[Peso]]*1*1,0)</f>
        <v>0</v>
      </c>
      <c r="Q269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97" s="33"/>
      <c r="S2697" s="37"/>
    </row>
    <row r="2698" spans="8:19" ht="17.399999999999999" x14ac:dyDescent="0.3">
      <c r="H2698" s="32"/>
      <c r="I2698" s="33"/>
      <c r="J2698" s="34"/>
      <c r="K2698" s="59"/>
      <c r="L2698" s="33"/>
      <c r="M2698" s="33"/>
      <c r="N2698" s="36"/>
      <c r="O2698" s="33"/>
      <c r="P2698" s="33">
        <f>IF(Tabela1[[#This Row],[Status]]="✔️",Tabela1[[#This Row],[Peso]]*1*1,0)</f>
        <v>0</v>
      </c>
      <c r="Q269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98" s="33"/>
      <c r="S2698" s="37"/>
    </row>
    <row r="2699" spans="8:19" ht="17.399999999999999" x14ac:dyDescent="0.3">
      <c r="H2699" s="32"/>
      <c r="I2699" s="33"/>
      <c r="J2699" s="34"/>
      <c r="K2699" s="59"/>
      <c r="L2699" s="33"/>
      <c r="M2699" s="33"/>
      <c r="N2699" s="36"/>
      <c r="O2699" s="33"/>
      <c r="P2699" s="33">
        <f>IF(Tabela1[[#This Row],[Status]]="✔️",Tabela1[[#This Row],[Peso]]*1*1,0)</f>
        <v>0</v>
      </c>
      <c r="Q269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99" s="33"/>
      <c r="S2699" s="37"/>
    </row>
    <row r="2700" spans="8:19" ht="17.399999999999999" x14ac:dyDescent="0.3">
      <c r="H2700" s="32"/>
      <c r="I2700" s="33"/>
      <c r="J2700" s="34"/>
      <c r="K2700" s="59"/>
      <c r="L2700" s="33"/>
      <c r="M2700" s="33"/>
      <c r="N2700" s="36"/>
      <c r="O2700" s="33"/>
      <c r="P2700" s="33">
        <f>IF(Tabela1[[#This Row],[Status]]="✔️",Tabela1[[#This Row],[Peso]]*1*1,0)</f>
        <v>0</v>
      </c>
      <c r="Q270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00" s="33"/>
      <c r="S2700" s="37"/>
    </row>
    <row r="2701" spans="8:19" ht="17.399999999999999" x14ac:dyDescent="0.3">
      <c r="H2701" s="32"/>
      <c r="I2701" s="33"/>
      <c r="J2701" s="34"/>
      <c r="K2701" s="59"/>
      <c r="L2701" s="33"/>
      <c r="M2701" s="33"/>
      <c r="N2701" s="36"/>
      <c r="O2701" s="33"/>
      <c r="P2701" s="33">
        <f>IF(Tabela1[[#This Row],[Status]]="✔️",Tabela1[[#This Row],[Peso]]*1*1,0)</f>
        <v>0</v>
      </c>
      <c r="Q270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01" s="33"/>
      <c r="S2701" s="37"/>
    </row>
    <row r="2702" spans="8:19" ht="17.399999999999999" x14ac:dyDescent="0.3">
      <c r="H2702" s="32"/>
      <c r="I2702" s="33"/>
      <c r="J2702" s="34"/>
      <c r="K2702" s="59"/>
      <c r="L2702" s="33"/>
      <c r="M2702" s="33"/>
      <c r="N2702" s="36"/>
      <c r="O2702" s="33"/>
      <c r="P2702" s="33">
        <f>IF(Tabela1[[#This Row],[Status]]="✔️",Tabela1[[#This Row],[Peso]]*1*1,0)</f>
        <v>0</v>
      </c>
      <c r="Q270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02" s="33"/>
      <c r="S2702" s="37"/>
    </row>
    <row r="2703" spans="8:19" ht="17.399999999999999" x14ac:dyDescent="0.3">
      <c r="H2703" s="32"/>
      <c r="I2703" s="33"/>
      <c r="J2703" s="34"/>
      <c r="K2703" s="59"/>
      <c r="L2703" s="33"/>
      <c r="M2703" s="33"/>
      <c r="N2703" s="36"/>
      <c r="O2703" s="33"/>
      <c r="P2703" s="33">
        <f>IF(Tabela1[[#This Row],[Status]]="✔️",Tabela1[[#This Row],[Peso]]*1*1,0)</f>
        <v>0</v>
      </c>
      <c r="Q270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03" s="33"/>
      <c r="S2703" s="37"/>
    </row>
    <row r="2704" spans="8:19" ht="17.399999999999999" x14ac:dyDescent="0.3">
      <c r="H2704" s="32"/>
      <c r="I2704" s="33"/>
      <c r="J2704" s="34"/>
      <c r="K2704" s="59"/>
      <c r="L2704" s="33"/>
      <c r="M2704" s="33"/>
      <c r="N2704" s="36"/>
      <c r="O2704" s="33"/>
      <c r="P2704" s="33">
        <f>IF(Tabela1[[#This Row],[Status]]="✔️",Tabela1[[#This Row],[Peso]]*1*1,0)</f>
        <v>0</v>
      </c>
      <c r="Q270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04" s="33"/>
      <c r="S2704" s="37"/>
    </row>
    <row r="2705" spans="8:19" ht="17.399999999999999" x14ac:dyDescent="0.3">
      <c r="H2705" s="32"/>
      <c r="I2705" s="33"/>
      <c r="J2705" s="34"/>
      <c r="K2705" s="59"/>
      <c r="L2705" s="33"/>
      <c r="M2705" s="33"/>
      <c r="N2705" s="36"/>
      <c r="O2705" s="33"/>
      <c r="P2705" s="33">
        <f>IF(Tabela1[[#This Row],[Status]]="✔️",Tabela1[[#This Row],[Peso]]*1*1,0)</f>
        <v>0</v>
      </c>
      <c r="Q270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05" s="33"/>
      <c r="S2705" s="37"/>
    </row>
    <row r="2706" spans="8:19" ht="17.399999999999999" x14ac:dyDescent="0.3">
      <c r="H2706" s="32"/>
      <c r="I2706" s="33"/>
      <c r="J2706" s="34"/>
      <c r="K2706" s="59"/>
      <c r="L2706" s="33"/>
      <c r="M2706" s="33"/>
      <c r="N2706" s="36"/>
      <c r="O2706" s="33"/>
      <c r="P2706" s="33">
        <f>IF(Tabela1[[#This Row],[Status]]="✔️",Tabela1[[#This Row],[Peso]]*1*1,0)</f>
        <v>0</v>
      </c>
      <c r="Q270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06" s="33"/>
      <c r="S2706" s="37"/>
    </row>
    <row r="2707" spans="8:19" ht="17.399999999999999" x14ac:dyDescent="0.3">
      <c r="H2707" s="32"/>
      <c r="I2707" s="33"/>
      <c r="J2707" s="34"/>
      <c r="K2707" s="59"/>
      <c r="L2707" s="33"/>
      <c r="M2707" s="33"/>
      <c r="N2707" s="36"/>
      <c r="O2707" s="33"/>
      <c r="P2707" s="33">
        <f>IF(Tabela1[[#This Row],[Status]]="✔️",Tabela1[[#This Row],[Peso]]*1*1,0)</f>
        <v>0</v>
      </c>
      <c r="Q270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07" s="33"/>
      <c r="S2707" s="37"/>
    </row>
    <row r="2708" spans="8:19" ht="17.399999999999999" x14ac:dyDescent="0.3">
      <c r="H2708" s="32"/>
      <c r="I2708" s="33"/>
      <c r="J2708" s="34"/>
      <c r="K2708" s="59"/>
      <c r="L2708" s="33"/>
      <c r="M2708" s="33"/>
      <c r="N2708" s="36"/>
      <c r="O2708" s="33"/>
      <c r="P2708" s="33">
        <f>IF(Tabela1[[#This Row],[Status]]="✔️",Tabela1[[#This Row],[Peso]]*1*1,0)</f>
        <v>0</v>
      </c>
      <c r="Q270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08" s="33"/>
      <c r="S2708" s="37"/>
    </row>
    <row r="2709" spans="8:19" ht="17.399999999999999" x14ac:dyDescent="0.3">
      <c r="H2709" s="32"/>
      <c r="I2709" s="33"/>
      <c r="J2709" s="34"/>
      <c r="K2709" s="59"/>
      <c r="L2709" s="33"/>
      <c r="M2709" s="33"/>
      <c r="N2709" s="36"/>
      <c r="O2709" s="33"/>
      <c r="P2709" s="33">
        <f>IF(Tabela1[[#This Row],[Status]]="✔️",Tabela1[[#This Row],[Peso]]*1*1,0)</f>
        <v>0</v>
      </c>
      <c r="Q270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09" s="33"/>
      <c r="S2709" s="37"/>
    </row>
    <row r="2710" spans="8:19" ht="17.399999999999999" x14ac:dyDescent="0.3">
      <c r="H2710" s="32"/>
      <c r="I2710" s="33"/>
      <c r="J2710" s="34"/>
      <c r="K2710" s="59"/>
      <c r="L2710" s="33"/>
      <c r="M2710" s="33"/>
      <c r="N2710" s="36"/>
      <c r="O2710" s="33"/>
      <c r="P2710" s="33">
        <f>IF(Tabela1[[#This Row],[Status]]="✔️",Tabela1[[#This Row],[Peso]]*1*1,0)</f>
        <v>0</v>
      </c>
      <c r="Q271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10" s="33"/>
      <c r="S2710" s="37"/>
    </row>
    <row r="2711" spans="8:19" ht="17.399999999999999" x14ac:dyDescent="0.3">
      <c r="H2711" s="32"/>
      <c r="I2711" s="33"/>
      <c r="J2711" s="34"/>
      <c r="K2711" s="59"/>
      <c r="L2711" s="33"/>
      <c r="M2711" s="33"/>
      <c r="N2711" s="36"/>
      <c r="O2711" s="33"/>
      <c r="P2711" s="33">
        <f>IF(Tabela1[[#This Row],[Status]]="✔️",Tabela1[[#This Row],[Peso]]*1*1,0)</f>
        <v>0</v>
      </c>
      <c r="Q271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11" s="33"/>
      <c r="S2711" s="37"/>
    </row>
    <row r="2712" spans="8:19" ht="17.399999999999999" x14ac:dyDescent="0.3">
      <c r="H2712" s="32"/>
      <c r="I2712" s="33"/>
      <c r="J2712" s="34"/>
      <c r="K2712" s="59"/>
      <c r="L2712" s="33"/>
      <c r="M2712" s="33"/>
      <c r="N2712" s="36"/>
      <c r="O2712" s="33"/>
      <c r="P2712" s="33">
        <f>IF(Tabela1[[#This Row],[Status]]="✔️",Tabela1[[#This Row],[Peso]]*1*1,0)</f>
        <v>0</v>
      </c>
      <c r="Q271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12" s="33"/>
      <c r="S2712" s="37"/>
    </row>
    <row r="2713" spans="8:19" ht="17.399999999999999" x14ac:dyDescent="0.3">
      <c r="H2713" s="32"/>
      <c r="I2713" s="33"/>
      <c r="J2713" s="34"/>
      <c r="K2713" s="59"/>
      <c r="L2713" s="33"/>
      <c r="M2713" s="33"/>
      <c r="N2713" s="36"/>
      <c r="O2713" s="33"/>
      <c r="P2713" s="33">
        <f>IF(Tabela1[[#This Row],[Status]]="✔️",Tabela1[[#This Row],[Peso]]*1*1,0)</f>
        <v>0</v>
      </c>
      <c r="Q271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13" s="33"/>
      <c r="S2713" s="37"/>
    </row>
    <row r="2714" spans="8:19" ht="17.399999999999999" x14ac:dyDescent="0.3">
      <c r="H2714" s="32"/>
      <c r="I2714" s="33"/>
      <c r="J2714" s="34"/>
      <c r="K2714" s="59"/>
      <c r="L2714" s="33"/>
      <c r="M2714" s="33"/>
      <c r="N2714" s="36"/>
      <c r="O2714" s="33"/>
      <c r="P2714" s="33">
        <f>IF(Tabela1[[#This Row],[Status]]="✔️",Tabela1[[#This Row],[Peso]]*1*1,0)</f>
        <v>0</v>
      </c>
      <c r="Q271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14" s="33"/>
      <c r="S2714" s="37"/>
    </row>
    <row r="2715" spans="8:19" ht="17.399999999999999" x14ac:dyDescent="0.3">
      <c r="H2715" s="32"/>
      <c r="I2715" s="33"/>
      <c r="J2715" s="34"/>
      <c r="K2715" s="59"/>
      <c r="L2715" s="33"/>
      <c r="M2715" s="33"/>
      <c r="N2715" s="36"/>
      <c r="O2715" s="33"/>
      <c r="P2715" s="33">
        <f>IF(Tabela1[[#This Row],[Status]]="✔️",Tabela1[[#This Row],[Peso]]*1*1,0)</f>
        <v>0</v>
      </c>
      <c r="Q271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15" s="33"/>
      <c r="S2715" s="37"/>
    </row>
    <row r="2716" spans="8:19" ht="17.399999999999999" x14ac:dyDescent="0.3">
      <c r="H2716" s="32"/>
      <c r="I2716" s="33"/>
      <c r="J2716" s="34"/>
      <c r="K2716" s="59"/>
      <c r="L2716" s="33"/>
      <c r="M2716" s="33"/>
      <c r="N2716" s="36"/>
      <c r="O2716" s="33"/>
      <c r="P2716" s="33">
        <f>IF(Tabela1[[#This Row],[Status]]="✔️",Tabela1[[#This Row],[Peso]]*1*1,0)</f>
        <v>0</v>
      </c>
      <c r="Q271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16" s="33"/>
      <c r="S2716" s="37"/>
    </row>
    <row r="2717" spans="8:19" ht="17.399999999999999" x14ac:dyDescent="0.3">
      <c r="H2717" s="32"/>
      <c r="I2717" s="33"/>
      <c r="J2717" s="34"/>
      <c r="K2717" s="59"/>
      <c r="L2717" s="33"/>
      <c r="M2717" s="33"/>
      <c r="N2717" s="36"/>
      <c r="O2717" s="33"/>
      <c r="P2717" s="33">
        <f>IF(Tabela1[[#This Row],[Status]]="✔️",Tabela1[[#This Row],[Peso]]*1*1,0)</f>
        <v>0</v>
      </c>
      <c r="Q271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17" s="33"/>
      <c r="S2717" s="37"/>
    </row>
    <row r="2718" spans="8:19" ht="17.399999999999999" x14ac:dyDescent="0.3">
      <c r="H2718" s="32"/>
      <c r="I2718" s="33"/>
      <c r="J2718" s="34"/>
      <c r="K2718" s="59"/>
      <c r="L2718" s="33"/>
      <c r="M2718" s="33"/>
      <c r="N2718" s="36"/>
      <c r="O2718" s="33"/>
      <c r="P2718" s="33">
        <f>IF(Tabela1[[#This Row],[Status]]="✔️",Tabela1[[#This Row],[Peso]]*1*1,0)</f>
        <v>0</v>
      </c>
      <c r="Q271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18" s="33"/>
      <c r="S2718" s="37"/>
    </row>
    <row r="2719" spans="8:19" ht="17.399999999999999" x14ac:dyDescent="0.3">
      <c r="H2719" s="32"/>
      <c r="I2719" s="33"/>
      <c r="J2719" s="34"/>
      <c r="K2719" s="59"/>
      <c r="L2719" s="33"/>
      <c r="M2719" s="33"/>
      <c r="N2719" s="36"/>
      <c r="O2719" s="33"/>
      <c r="P2719" s="33">
        <f>IF(Tabela1[[#This Row],[Status]]="✔️",Tabela1[[#This Row],[Peso]]*1*1,0)</f>
        <v>0</v>
      </c>
      <c r="Q271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19" s="33"/>
      <c r="S2719" s="37"/>
    </row>
    <row r="2720" spans="8:19" ht="17.399999999999999" x14ac:dyDescent="0.3">
      <c r="H2720" s="32"/>
      <c r="I2720" s="33"/>
      <c r="J2720" s="34"/>
      <c r="K2720" s="59"/>
      <c r="L2720" s="33"/>
      <c r="M2720" s="33"/>
      <c r="N2720" s="36"/>
      <c r="O2720" s="33"/>
      <c r="P2720" s="33">
        <f>IF(Tabela1[[#This Row],[Status]]="✔️",Tabela1[[#This Row],[Peso]]*1*1,0)</f>
        <v>0</v>
      </c>
      <c r="Q272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20" s="33"/>
      <c r="S2720" s="37"/>
    </row>
    <row r="2721" spans="8:19" ht="17.399999999999999" x14ac:dyDescent="0.3">
      <c r="H2721" s="32"/>
      <c r="I2721" s="33"/>
      <c r="J2721" s="34"/>
      <c r="K2721" s="59"/>
      <c r="L2721" s="33"/>
      <c r="M2721" s="33"/>
      <c r="N2721" s="36"/>
      <c r="O2721" s="33"/>
      <c r="P2721" s="33">
        <f>IF(Tabela1[[#This Row],[Status]]="✔️",Tabela1[[#This Row],[Peso]]*1*1,0)</f>
        <v>0</v>
      </c>
      <c r="Q272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21" s="33"/>
      <c r="S2721" s="37"/>
    </row>
    <row r="2722" spans="8:19" ht="17.399999999999999" x14ac:dyDescent="0.3">
      <c r="H2722" s="32"/>
      <c r="I2722" s="33"/>
      <c r="J2722" s="34"/>
      <c r="K2722" s="59"/>
      <c r="L2722" s="33"/>
      <c r="M2722" s="33"/>
      <c r="N2722" s="36"/>
      <c r="O2722" s="33"/>
      <c r="P2722" s="33">
        <f>IF(Tabela1[[#This Row],[Status]]="✔️",Tabela1[[#This Row],[Peso]]*1*1,0)</f>
        <v>0</v>
      </c>
      <c r="Q272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22" s="33"/>
      <c r="S2722" s="37"/>
    </row>
    <row r="2723" spans="8:19" ht="17.399999999999999" x14ac:dyDescent="0.3">
      <c r="H2723" s="32"/>
      <c r="I2723" s="33"/>
      <c r="J2723" s="34"/>
      <c r="K2723" s="59"/>
      <c r="L2723" s="33"/>
      <c r="M2723" s="33"/>
      <c r="N2723" s="36"/>
      <c r="O2723" s="33"/>
      <c r="P2723" s="33">
        <f>IF(Tabela1[[#This Row],[Status]]="✔️",Tabela1[[#This Row],[Peso]]*1*1,0)</f>
        <v>0</v>
      </c>
      <c r="Q272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23" s="33"/>
      <c r="S2723" s="37"/>
    </row>
    <row r="2724" spans="8:19" ht="17.399999999999999" x14ac:dyDescent="0.3">
      <c r="H2724" s="32"/>
      <c r="I2724" s="33"/>
      <c r="J2724" s="34"/>
      <c r="K2724" s="59"/>
      <c r="L2724" s="33"/>
      <c r="M2724" s="33"/>
      <c r="N2724" s="36"/>
      <c r="O2724" s="33"/>
      <c r="P2724" s="33">
        <f>IF(Tabela1[[#This Row],[Status]]="✔️",Tabela1[[#This Row],[Peso]]*1*1,0)</f>
        <v>0</v>
      </c>
      <c r="Q272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24" s="33"/>
      <c r="S2724" s="37"/>
    </row>
    <row r="2725" spans="8:19" ht="17.399999999999999" x14ac:dyDescent="0.3">
      <c r="H2725" s="32"/>
      <c r="I2725" s="33"/>
      <c r="J2725" s="34"/>
      <c r="K2725" s="59"/>
      <c r="L2725" s="33"/>
      <c r="M2725" s="33"/>
      <c r="N2725" s="36"/>
      <c r="O2725" s="33"/>
      <c r="P2725" s="33">
        <f>IF(Tabela1[[#This Row],[Status]]="✔️",Tabela1[[#This Row],[Peso]]*1*1,0)</f>
        <v>0</v>
      </c>
      <c r="Q272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25" s="33"/>
      <c r="S2725" s="37"/>
    </row>
    <row r="2726" spans="8:19" ht="17.399999999999999" x14ac:dyDescent="0.3">
      <c r="H2726" s="32"/>
      <c r="I2726" s="33"/>
      <c r="J2726" s="34"/>
      <c r="K2726" s="59"/>
      <c r="L2726" s="33"/>
      <c r="M2726" s="33"/>
      <c r="N2726" s="36"/>
      <c r="O2726" s="33"/>
      <c r="P2726" s="33">
        <f>IF(Tabela1[[#This Row],[Status]]="✔️",Tabela1[[#This Row],[Peso]]*1*1,0)</f>
        <v>0</v>
      </c>
      <c r="Q272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26" s="33"/>
      <c r="S2726" s="37"/>
    </row>
    <row r="2727" spans="8:19" ht="17.399999999999999" x14ac:dyDescent="0.3">
      <c r="H2727" s="32"/>
      <c r="I2727" s="33"/>
      <c r="J2727" s="34"/>
      <c r="K2727" s="59"/>
      <c r="L2727" s="33"/>
      <c r="M2727" s="33"/>
      <c r="N2727" s="36"/>
      <c r="O2727" s="33"/>
      <c r="P2727" s="33">
        <f>IF(Tabela1[[#This Row],[Status]]="✔️",Tabela1[[#This Row],[Peso]]*1*1,0)</f>
        <v>0</v>
      </c>
      <c r="Q272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27" s="33"/>
      <c r="S2727" s="37"/>
    </row>
    <row r="2728" spans="8:19" ht="17.399999999999999" x14ac:dyDescent="0.3">
      <c r="H2728" s="32"/>
      <c r="I2728" s="33"/>
      <c r="J2728" s="34"/>
      <c r="K2728" s="59"/>
      <c r="L2728" s="33"/>
      <c r="M2728" s="33"/>
      <c r="N2728" s="36"/>
      <c r="O2728" s="33"/>
      <c r="P2728" s="33">
        <f>IF(Tabela1[[#This Row],[Status]]="✔️",Tabela1[[#This Row],[Peso]]*1*1,0)</f>
        <v>0</v>
      </c>
      <c r="Q272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28" s="33"/>
      <c r="S2728" s="37"/>
    </row>
    <row r="2729" spans="8:19" ht="17.399999999999999" x14ac:dyDescent="0.3">
      <c r="H2729" s="32"/>
      <c r="I2729" s="33"/>
      <c r="J2729" s="34"/>
      <c r="K2729" s="59"/>
      <c r="L2729" s="33"/>
      <c r="M2729" s="33"/>
      <c r="N2729" s="36"/>
      <c r="O2729" s="33"/>
      <c r="P2729" s="33">
        <f>IF(Tabela1[[#This Row],[Status]]="✔️",Tabela1[[#This Row],[Peso]]*1*1,0)</f>
        <v>0</v>
      </c>
      <c r="Q272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29" s="33"/>
      <c r="S2729" s="37"/>
    </row>
    <row r="2730" spans="8:19" ht="17.399999999999999" x14ac:dyDescent="0.3">
      <c r="H2730" s="32"/>
      <c r="I2730" s="33"/>
      <c r="J2730" s="34"/>
      <c r="K2730" s="59"/>
      <c r="L2730" s="33"/>
      <c r="M2730" s="33"/>
      <c r="N2730" s="36"/>
      <c r="O2730" s="33"/>
      <c r="P2730" s="33">
        <f>IF(Tabela1[[#This Row],[Status]]="✔️",Tabela1[[#This Row],[Peso]]*1*1,0)</f>
        <v>0</v>
      </c>
      <c r="Q273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30" s="33"/>
      <c r="S2730" s="37"/>
    </row>
    <row r="2731" spans="8:19" ht="17.399999999999999" x14ac:dyDescent="0.3">
      <c r="H2731" s="32"/>
      <c r="I2731" s="33"/>
      <c r="J2731" s="34"/>
      <c r="K2731" s="59"/>
      <c r="L2731" s="33"/>
      <c r="M2731" s="33"/>
      <c r="N2731" s="36"/>
      <c r="O2731" s="33"/>
      <c r="P2731" s="33">
        <f>IF(Tabela1[[#This Row],[Status]]="✔️",Tabela1[[#This Row],[Peso]]*1*1,0)</f>
        <v>0</v>
      </c>
      <c r="Q273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31" s="33"/>
      <c r="S2731" s="37"/>
    </row>
    <row r="2732" spans="8:19" ht="17.399999999999999" x14ac:dyDescent="0.3">
      <c r="H2732" s="32"/>
      <c r="I2732" s="33"/>
      <c r="J2732" s="34"/>
      <c r="K2732" s="59"/>
      <c r="L2732" s="33"/>
      <c r="M2732" s="33"/>
      <c r="N2732" s="36"/>
      <c r="O2732" s="33"/>
      <c r="P2732" s="33">
        <f>IF(Tabela1[[#This Row],[Status]]="✔️",Tabela1[[#This Row],[Peso]]*1*1,0)</f>
        <v>0</v>
      </c>
      <c r="Q273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32" s="33"/>
      <c r="S2732" s="37"/>
    </row>
    <row r="2733" spans="8:19" ht="17.399999999999999" x14ac:dyDescent="0.3">
      <c r="H2733" s="32"/>
      <c r="I2733" s="33"/>
      <c r="J2733" s="34"/>
      <c r="K2733" s="59"/>
      <c r="L2733" s="33"/>
      <c r="M2733" s="33"/>
      <c r="N2733" s="36"/>
      <c r="O2733" s="33"/>
      <c r="P2733" s="33">
        <f>IF(Tabela1[[#This Row],[Status]]="✔️",Tabela1[[#This Row],[Peso]]*1*1,0)</f>
        <v>0</v>
      </c>
      <c r="Q273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33" s="33"/>
      <c r="S2733" s="37"/>
    </row>
    <row r="2734" spans="8:19" ht="17.399999999999999" x14ac:dyDescent="0.3">
      <c r="H2734" s="32"/>
      <c r="I2734" s="33"/>
      <c r="J2734" s="34"/>
      <c r="K2734" s="59"/>
      <c r="L2734" s="33"/>
      <c r="M2734" s="33"/>
      <c r="N2734" s="36"/>
      <c r="O2734" s="33"/>
      <c r="P2734" s="33">
        <f>IF(Tabela1[[#This Row],[Status]]="✔️",Tabela1[[#This Row],[Peso]]*1*1,0)</f>
        <v>0</v>
      </c>
      <c r="Q273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34" s="33"/>
      <c r="S2734" s="37"/>
    </row>
    <row r="2735" spans="8:19" ht="17.399999999999999" x14ac:dyDescent="0.3">
      <c r="H2735" s="32"/>
      <c r="I2735" s="33"/>
      <c r="J2735" s="34"/>
      <c r="K2735" s="59"/>
      <c r="L2735" s="33"/>
      <c r="M2735" s="33"/>
      <c r="N2735" s="36"/>
      <c r="O2735" s="33"/>
      <c r="P2735" s="33">
        <f>IF(Tabela1[[#This Row],[Status]]="✔️",Tabela1[[#This Row],[Peso]]*1*1,0)</f>
        <v>0</v>
      </c>
      <c r="Q273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35" s="33"/>
      <c r="S2735" s="37"/>
    </row>
    <row r="2736" spans="8:19" ht="17.399999999999999" x14ac:dyDescent="0.3">
      <c r="H2736" s="32"/>
      <c r="I2736" s="33"/>
      <c r="J2736" s="34"/>
      <c r="K2736" s="59"/>
      <c r="L2736" s="33"/>
      <c r="M2736" s="33"/>
      <c r="N2736" s="36"/>
      <c r="O2736" s="33"/>
      <c r="P2736" s="33">
        <f>IF(Tabela1[[#This Row],[Status]]="✔️",Tabela1[[#This Row],[Peso]]*1*1,0)</f>
        <v>0</v>
      </c>
      <c r="Q273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36" s="33"/>
      <c r="S2736" s="37"/>
    </row>
    <row r="2737" spans="8:19" ht="17.399999999999999" x14ac:dyDescent="0.3">
      <c r="H2737" s="32"/>
      <c r="I2737" s="33"/>
      <c r="J2737" s="34"/>
      <c r="K2737" s="59"/>
      <c r="L2737" s="33"/>
      <c r="M2737" s="33"/>
      <c r="N2737" s="36"/>
      <c r="O2737" s="33"/>
      <c r="P2737" s="33">
        <f>IF(Tabela1[[#This Row],[Status]]="✔️",Tabela1[[#This Row],[Peso]]*1*1,0)</f>
        <v>0</v>
      </c>
      <c r="Q273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37" s="33"/>
      <c r="S2737" s="37"/>
    </row>
    <row r="2738" spans="8:19" ht="17.399999999999999" x14ac:dyDescent="0.3">
      <c r="H2738" s="32"/>
      <c r="I2738" s="33"/>
      <c r="J2738" s="34"/>
      <c r="K2738" s="59"/>
      <c r="L2738" s="33"/>
      <c r="M2738" s="33"/>
      <c r="N2738" s="36"/>
      <c r="O2738" s="33"/>
      <c r="P2738" s="33">
        <f>IF(Tabela1[[#This Row],[Status]]="✔️",Tabela1[[#This Row],[Peso]]*1*1,0)</f>
        <v>0</v>
      </c>
      <c r="Q273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38" s="33"/>
      <c r="S2738" s="37"/>
    </row>
    <row r="2739" spans="8:19" ht="17.399999999999999" x14ac:dyDescent="0.3">
      <c r="H2739" s="32"/>
      <c r="I2739" s="33"/>
      <c r="J2739" s="34"/>
      <c r="K2739" s="59"/>
      <c r="L2739" s="33"/>
      <c r="M2739" s="33"/>
      <c r="N2739" s="36"/>
      <c r="O2739" s="33"/>
      <c r="P2739" s="33">
        <f>IF(Tabela1[[#This Row],[Status]]="✔️",Tabela1[[#This Row],[Peso]]*1*1,0)</f>
        <v>0</v>
      </c>
      <c r="Q273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39" s="33"/>
      <c r="S2739" s="37"/>
    </row>
    <row r="2740" spans="8:19" ht="17.399999999999999" x14ac:dyDescent="0.3">
      <c r="H2740" s="32"/>
      <c r="I2740" s="33"/>
      <c r="J2740" s="34"/>
      <c r="K2740" s="59"/>
      <c r="L2740" s="33"/>
      <c r="M2740" s="33"/>
      <c r="N2740" s="36"/>
      <c r="O2740" s="33"/>
      <c r="P2740" s="33">
        <f>IF(Tabela1[[#This Row],[Status]]="✔️",Tabela1[[#This Row],[Peso]]*1*1,0)</f>
        <v>0</v>
      </c>
      <c r="Q274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40" s="33"/>
      <c r="S2740" s="37"/>
    </row>
    <row r="2741" spans="8:19" ht="17.399999999999999" x14ac:dyDescent="0.3">
      <c r="H2741" s="32"/>
      <c r="I2741" s="33"/>
      <c r="J2741" s="34"/>
      <c r="K2741" s="59"/>
      <c r="L2741" s="33"/>
      <c r="M2741" s="33"/>
      <c r="N2741" s="36"/>
      <c r="O2741" s="33"/>
      <c r="P2741" s="33">
        <f>IF(Tabela1[[#This Row],[Status]]="✔️",Tabela1[[#This Row],[Peso]]*1*1,0)</f>
        <v>0</v>
      </c>
      <c r="Q274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41" s="33"/>
      <c r="S2741" s="37"/>
    </row>
    <row r="2742" spans="8:19" ht="17.399999999999999" x14ac:dyDescent="0.3">
      <c r="H2742" s="32"/>
      <c r="I2742" s="33"/>
      <c r="J2742" s="34"/>
      <c r="K2742" s="59"/>
      <c r="L2742" s="33"/>
      <c r="M2742" s="33"/>
      <c r="N2742" s="36"/>
      <c r="O2742" s="33"/>
      <c r="P2742" s="33">
        <f>IF(Tabela1[[#This Row],[Status]]="✔️",Tabela1[[#This Row],[Peso]]*1*1,0)</f>
        <v>0</v>
      </c>
      <c r="Q274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42" s="33"/>
      <c r="S2742" s="37"/>
    </row>
    <row r="2743" spans="8:19" ht="17.399999999999999" x14ac:dyDescent="0.3">
      <c r="H2743" s="32"/>
      <c r="I2743" s="33"/>
      <c r="J2743" s="34"/>
      <c r="K2743" s="59"/>
      <c r="L2743" s="33"/>
      <c r="M2743" s="33"/>
      <c r="N2743" s="36"/>
      <c r="O2743" s="33"/>
      <c r="P2743" s="33">
        <f>IF(Tabela1[[#This Row],[Status]]="✔️",Tabela1[[#This Row],[Peso]]*1*1,0)</f>
        <v>0</v>
      </c>
      <c r="Q274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43" s="33"/>
      <c r="S2743" s="37"/>
    </row>
    <row r="2744" spans="8:19" ht="17.399999999999999" x14ac:dyDescent="0.3">
      <c r="H2744" s="32"/>
      <c r="I2744" s="33"/>
      <c r="J2744" s="34"/>
      <c r="K2744" s="59"/>
      <c r="L2744" s="33"/>
      <c r="M2744" s="33"/>
      <c r="N2744" s="36"/>
      <c r="O2744" s="33"/>
      <c r="P2744" s="33">
        <f>IF(Tabela1[[#This Row],[Status]]="✔️",Tabela1[[#This Row],[Peso]]*1*1,0)</f>
        <v>0</v>
      </c>
      <c r="Q274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44" s="33"/>
      <c r="S2744" s="37"/>
    </row>
    <row r="2745" spans="8:19" ht="17.399999999999999" x14ac:dyDescent="0.3">
      <c r="H2745" s="32"/>
      <c r="I2745" s="33"/>
      <c r="J2745" s="34"/>
      <c r="K2745" s="59"/>
      <c r="L2745" s="33"/>
      <c r="M2745" s="33"/>
      <c r="N2745" s="36"/>
      <c r="O2745" s="33"/>
      <c r="P2745" s="33">
        <f>IF(Tabela1[[#This Row],[Status]]="✔️",Tabela1[[#This Row],[Peso]]*1*1,0)</f>
        <v>0</v>
      </c>
      <c r="Q274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45" s="33"/>
      <c r="S2745" s="37"/>
    </row>
    <row r="2746" spans="8:19" ht="17.399999999999999" x14ac:dyDescent="0.3">
      <c r="H2746" s="32"/>
      <c r="I2746" s="33"/>
      <c r="J2746" s="34"/>
      <c r="K2746" s="59"/>
      <c r="L2746" s="33"/>
      <c r="M2746" s="33"/>
      <c r="N2746" s="36"/>
      <c r="O2746" s="33"/>
      <c r="P2746" s="33">
        <f>IF(Tabela1[[#This Row],[Status]]="✔️",Tabela1[[#This Row],[Peso]]*1*1,0)</f>
        <v>0</v>
      </c>
      <c r="Q274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46" s="33"/>
      <c r="S2746" s="37"/>
    </row>
    <row r="2747" spans="8:19" ht="17.399999999999999" x14ac:dyDescent="0.3">
      <c r="H2747" s="32"/>
      <c r="I2747" s="33"/>
      <c r="J2747" s="34"/>
      <c r="K2747" s="59"/>
      <c r="L2747" s="33"/>
      <c r="M2747" s="33"/>
      <c r="N2747" s="36"/>
      <c r="O2747" s="33"/>
      <c r="P2747" s="33">
        <f>IF(Tabela1[[#This Row],[Status]]="✔️",Tabela1[[#This Row],[Peso]]*1*1,0)</f>
        <v>0</v>
      </c>
      <c r="Q274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47" s="33"/>
      <c r="S2747" s="37"/>
    </row>
    <row r="2748" spans="8:19" ht="17.399999999999999" x14ac:dyDescent="0.3">
      <c r="H2748" s="32"/>
      <c r="I2748" s="33"/>
      <c r="J2748" s="34"/>
      <c r="K2748" s="59"/>
      <c r="L2748" s="33"/>
      <c r="M2748" s="33"/>
      <c r="N2748" s="36"/>
      <c r="O2748" s="33"/>
      <c r="P2748" s="33">
        <f>IF(Tabela1[[#This Row],[Status]]="✔️",Tabela1[[#This Row],[Peso]]*1*1,0)</f>
        <v>0</v>
      </c>
      <c r="Q274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48" s="33"/>
      <c r="S2748" s="37"/>
    </row>
    <row r="2749" spans="8:19" ht="17.399999999999999" x14ac:dyDescent="0.3">
      <c r="H2749" s="32"/>
      <c r="I2749" s="33"/>
      <c r="J2749" s="34"/>
      <c r="K2749" s="59"/>
      <c r="L2749" s="33"/>
      <c r="M2749" s="33"/>
      <c r="N2749" s="36"/>
      <c r="O2749" s="33"/>
      <c r="P2749" s="33">
        <f>IF(Tabela1[[#This Row],[Status]]="✔️",Tabela1[[#This Row],[Peso]]*1*1,0)</f>
        <v>0</v>
      </c>
      <c r="Q274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49" s="33"/>
      <c r="S2749" s="37"/>
    </row>
    <row r="2750" spans="8:19" ht="17.399999999999999" x14ac:dyDescent="0.3">
      <c r="H2750" s="32"/>
      <c r="I2750" s="33"/>
      <c r="J2750" s="34"/>
      <c r="K2750" s="59"/>
      <c r="L2750" s="33"/>
      <c r="M2750" s="33"/>
      <c r="N2750" s="36"/>
      <c r="O2750" s="33"/>
      <c r="P2750" s="33">
        <f>IF(Tabela1[[#This Row],[Status]]="✔️",Tabela1[[#This Row],[Peso]]*1*1,0)</f>
        <v>0</v>
      </c>
      <c r="Q275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50" s="33"/>
      <c r="S2750" s="37"/>
    </row>
    <row r="2751" spans="8:19" ht="17.399999999999999" x14ac:dyDescent="0.3">
      <c r="H2751" s="32"/>
      <c r="I2751" s="33"/>
      <c r="J2751" s="34"/>
      <c r="K2751" s="59"/>
      <c r="L2751" s="33"/>
      <c r="M2751" s="33"/>
      <c r="N2751" s="36"/>
      <c r="O2751" s="33"/>
      <c r="P2751" s="33">
        <f>IF(Tabela1[[#This Row],[Status]]="✔️",Tabela1[[#This Row],[Peso]]*1*1,0)</f>
        <v>0</v>
      </c>
      <c r="Q275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51" s="33"/>
      <c r="S2751" s="37"/>
    </row>
    <row r="2752" spans="8:19" ht="17.399999999999999" x14ac:dyDescent="0.3">
      <c r="H2752" s="32"/>
      <c r="I2752" s="33"/>
      <c r="J2752" s="34"/>
      <c r="K2752" s="59"/>
      <c r="L2752" s="33"/>
      <c r="M2752" s="33"/>
      <c r="N2752" s="36"/>
      <c r="O2752" s="33"/>
      <c r="P2752" s="33">
        <f>IF(Tabela1[[#This Row],[Status]]="✔️",Tabela1[[#This Row],[Peso]]*1*1,0)</f>
        <v>0</v>
      </c>
      <c r="Q275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52" s="33"/>
      <c r="S2752" s="37"/>
    </row>
    <row r="2753" spans="8:19" ht="17.399999999999999" x14ac:dyDescent="0.3">
      <c r="H2753" s="32"/>
      <c r="I2753" s="33"/>
      <c r="J2753" s="34"/>
      <c r="K2753" s="59"/>
      <c r="L2753" s="33"/>
      <c r="M2753" s="33"/>
      <c r="N2753" s="36"/>
      <c r="O2753" s="33"/>
      <c r="P2753" s="33">
        <f>IF(Tabela1[[#This Row],[Status]]="✔️",Tabela1[[#This Row],[Peso]]*1*1,0)</f>
        <v>0</v>
      </c>
      <c r="Q275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53" s="33"/>
      <c r="S2753" s="37"/>
    </row>
    <row r="2754" spans="8:19" ht="17.399999999999999" x14ac:dyDescent="0.3">
      <c r="H2754" s="32"/>
      <c r="I2754" s="33"/>
      <c r="J2754" s="34"/>
      <c r="K2754" s="59"/>
      <c r="L2754" s="33"/>
      <c r="M2754" s="33"/>
      <c r="N2754" s="36"/>
      <c r="O2754" s="33"/>
      <c r="P2754" s="33">
        <f>IF(Tabela1[[#This Row],[Status]]="✔️",Tabela1[[#This Row],[Peso]]*1*1,0)</f>
        <v>0</v>
      </c>
      <c r="Q275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54" s="33"/>
      <c r="S2754" s="37"/>
    </row>
    <row r="2755" spans="8:19" ht="17.399999999999999" x14ac:dyDescent="0.3">
      <c r="H2755" s="32"/>
      <c r="I2755" s="33"/>
      <c r="J2755" s="34"/>
      <c r="K2755" s="59"/>
      <c r="L2755" s="33"/>
      <c r="M2755" s="33"/>
      <c r="N2755" s="36"/>
      <c r="O2755" s="33"/>
      <c r="P2755" s="33">
        <f>IF(Tabela1[[#This Row],[Status]]="✔️",Tabela1[[#This Row],[Peso]]*1*1,0)</f>
        <v>0</v>
      </c>
      <c r="Q275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55" s="33"/>
      <c r="S2755" s="37"/>
    </row>
    <row r="2756" spans="8:19" ht="17.399999999999999" x14ac:dyDescent="0.3">
      <c r="H2756" s="32"/>
      <c r="I2756" s="33"/>
      <c r="J2756" s="34"/>
      <c r="K2756" s="59"/>
      <c r="L2756" s="33"/>
      <c r="M2756" s="33"/>
      <c r="N2756" s="36"/>
      <c r="O2756" s="33"/>
      <c r="P2756" s="33">
        <f>IF(Tabela1[[#This Row],[Status]]="✔️",Tabela1[[#This Row],[Peso]]*1*1,0)</f>
        <v>0</v>
      </c>
      <c r="Q275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56" s="33"/>
      <c r="S2756" s="37"/>
    </row>
    <row r="2757" spans="8:19" ht="17.399999999999999" x14ac:dyDescent="0.3">
      <c r="H2757" s="32"/>
      <c r="I2757" s="33"/>
      <c r="J2757" s="34"/>
      <c r="K2757" s="59"/>
      <c r="L2757" s="33"/>
      <c r="M2757" s="33"/>
      <c r="N2757" s="36"/>
      <c r="O2757" s="33"/>
      <c r="P2757" s="33">
        <f>IF(Tabela1[[#This Row],[Status]]="✔️",Tabela1[[#This Row],[Peso]]*1*1,0)</f>
        <v>0</v>
      </c>
      <c r="Q275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57" s="33"/>
      <c r="S2757" s="37"/>
    </row>
    <row r="2758" spans="8:19" ht="17.399999999999999" x14ac:dyDescent="0.3">
      <c r="H2758" s="32"/>
      <c r="I2758" s="33"/>
      <c r="J2758" s="34"/>
      <c r="K2758" s="59"/>
      <c r="L2758" s="33"/>
      <c r="M2758" s="33"/>
      <c r="N2758" s="36"/>
      <c r="O2758" s="33"/>
      <c r="P2758" s="33">
        <f>IF(Tabela1[[#This Row],[Status]]="✔️",Tabela1[[#This Row],[Peso]]*1*1,0)</f>
        <v>0</v>
      </c>
      <c r="Q275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58" s="33"/>
      <c r="S2758" s="37"/>
    </row>
    <row r="2759" spans="8:19" ht="17.399999999999999" x14ac:dyDescent="0.3">
      <c r="H2759" s="32"/>
      <c r="I2759" s="33"/>
      <c r="J2759" s="34"/>
      <c r="K2759" s="59"/>
      <c r="L2759" s="33"/>
      <c r="M2759" s="33"/>
      <c r="N2759" s="36"/>
      <c r="O2759" s="33"/>
      <c r="P2759" s="33">
        <f>IF(Tabela1[[#This Row],[Status]]="✔️",Tabela1[[#This Row],[Peso]]*1*1,0)</f>
        <v>0</v>
      </c>
      <c r="Q275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59" s="33"/>
      <c r="S2759" s="37"/>
    </row>
    <row r="2760" spans="8:19" ht="17.399999999999999" x14ac:dyDescent="0.3">
      <c r="H2760" s="32"/>
      <c r="I2760" s="33"/>
      <c r="J2760" s="34"/>
      <c r="K2760" s="59"/>
      <c r="L2760" s="33"/>
      <c r="M2760" s="33"/>
      <c r="N2760" s="36"/>
      <c r="O2760" s="33"/>
      <c r="P2760" s="33">
        <f>IF(Tabela1[[#This Row],[Status]]="✔️",Tabela1[[#This Row],[Peso]]*1*1,0)</f>
        <v>0</v>
      </c>
      <c r="Q276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60" s="33"/>
      <c r="S2760" s="37"/>
    </row>
    <row r="2761" spans="8:19" ht="17.399999999999999" x14ac:dyDescent="0.3">
      <c r="H2761" s="32"/>
      <c r="I2761" s="33"/>
      <c r="J2761" s="34"/>
      <c r="K2761" s="59"/>
      <c r="L2761" s="33"/>
      <c r="M2761" s="33"/>
      <c r="N2761" s="36"/>
      <c r="O2761" s="33"/>
      <c r="P2761" s="33">
        <f>IF(Tabela1[[#This Row],[Status]]="✔️",Tabela1[[#This Row],[Peso]]*1*1,0)</f>
        <v>0</v>
      </c>
      <c r="Q276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61" s="33"/>
      <c r="S2761" s="37"/>
    </row>
    <row r="2762" spans="8:19" ht="17.399999999999999" x14ac:dyDescent="0.3">
      <c r="H2762" s="32"/>
      <c r="I2762" s="33"/>
      <c r="J2762" s="34"/>
      <c r="K2762" s="59"/>
      <c r="L2762" s="33"/>
      <c r="M2762" s="33"/>
      <c r="N2762" s="36"/>
      <c r="O2762" s="33"/>
      <c r="P2762" s="33">
        <f>IF(Tabela1[[#This Row],[Status]]="✔️",Tabela1[[#This Row],[Peso]]*1*1,0)</f>
        <v>0</v>
      </c>
      <c r="Q276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62" s="33"/>
      <c r="S2762" s="37"/>
    </row>
    <row r="2763" spans="8:19" ht="17.399999999999999" x14ac:dyDescent="0.3">
      <c r="H2763" s="32"/>
      <c r="I2763" s="33"/>
      <c r="J2763" s="34"/>
      <c r="K2763" s="59"/>
      <c r="L2763" s="33"/>
      <c r="M2763" s="33"/>
      <c r="N2763" s="36"/>
      <c r="O2763" s="33"/>
      <c r="P2763" s="33">
        <f>IF(Tabela1[[#This Row],[Status]]="✔️",Tabela1[[#This Row],[Peso]]*1*1,0)</f>
        <v>0</v>
      </c>
      <c r="Q276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63" s="33"/>
      <c r="S2763" s="37"/>
    </row>
    <row r="2764" spans="8:19" ht="17.399999999999999" x14ac:dyDescent="0.3">
      <c r="H2764" s="32"/>
      <c r="I2764" s="33"/>
      <c r="J2764" s="34"/>
      <c r="K2764" s="59"/>
      <c r="L2764" s="33"/>
      <c r="M2764" s="33"/>
      <c r="N2764" s="36"/>
      <c r="O2764" s="33"/>
      <c r="P2764" s="33">
        <f>IF(Tabela1[[#This Row],[Status]]="✔️",Tabela1[[#This Row],[Peso]]*1*1,0)</f>
        <v>0</v>
      </c>
      <c r="Q276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64" s="33"/>
      <c r="S2764" s="37"/>
    </row>
    <row r="2765" spans="8:19" ht="17.399999999999999" x14ac:dyDescent="0.3">
      <c r="H2765" s="32"/>
      <c r="I2765" s="33"/>
      <c r="J2765" s="34"/>
      <c r="K2765" s="59"/>
      <c r="L2765" s="33"/>
      <c r="M2765" s="33"/>
      <c r="N2765" s="36"/>
      <c r="O2765" s="33"/>
      <c r="P2765" s="33">
        <f>IF(Tabela1[[#This Row],[Status]]="✔️",Tabela1[[#This Row],[Peso]]*1*1,0)</f>
        <v>0</v>
      </c>
      <c r="Q276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65" s="33"/>
      <c r="S2765" s="37"/>
    </row>
    <row r="2766" spans="8:19" ht="17.399999999999999" x14ac:dyDescent="0.3">
      <c r="H2766" s="32"/>
      <c r="I2766" s="33"/>
      <c r="J2766" s="34"/>
      <c r="K2766" s="59"/>
      <c r="L2766" s="33"/>
      <c r="M2766" s="33"/>
      <c r="N2766" s="36"/>
      <c r="O2766" s="33"/>
      <c r="P2766" s="33">
        <f>IF(Tabela1[[#This Row],[Status]]="✔️",Tabela1[[#This Row],[Peso]]*1*1,0)</f>
        <v>0</v>
      </c>
      <c r="Q276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66" s="33"/>
      <c r="S2766" s="37"/>
    </row>
    <row r="2767" spans="8:19" ht="17.399999999999999" x14ac:dyDescent="0.3">
      <c r="H2767" s="32"/>
      <c r="I2767" s="33"/>
      <c r="J2767" s="34"/>
      <c r="K2767" s="59"/>
      <c r="L2767" s="33"/>
      <c r="M2767" s="33"/>
      <c r="N2767" s="36"/>
      <c r="O2767" s="33"/>
      <c r="P2767" s="33">
        <f>IF(Tabela1[[#This Row],[Status]]="✔️",Tabela1[[#This Row],[Peso]]*1*1,0)</f>
        <v>0</v>
      </c>
      <c r="Q276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67" s="33"/>
      <c r="S2767" s="37"/>
    </row>
    <row r="2768" spans="8:19" ht="17.399999999999999" x14ac:dyDescent="0.3">
      <c r="H2768" s="32"/>
      <c r="I2768" s="33"/>
      <c r="J2768" s="34"/>
      <c r="K2768" s="59"/>
      <c r="L2768" s="33"/>
      <c r="M2768" s="33"/>
      <c r="N2768" s="36"/>
      <c r="O2768" s="33"/>
      <c r="P2768" s="33">
        <f>IF(Tabela1[[#This Row],[Status]]="✔️",Tabela1[[#This Row],[Peso]]*1*1,0)</f>
        <v>0</v>
      </c>
      <c r="Q276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68" s="33"/>
      <c r="S2768" s="37"/>
    </row>
    <row r="2769" spans="8:19" ht="17.399999999999999" x14ac:dyDescent="0.3">
      <c r="H2769" s="32"/>
      <c r="I2769" s="33"/>
      <c r="J2769" s="34"/>
      <c r="K2769" s="59"/>
      <c r="L2769" s="33"/>
      <c r="M2769" s="33"/>
      <c r="N2769" s="36"/>
      <c r="O2769" s="33"/>
      <c r="P2769" s="33">
        <f>IF(Tabela1[[#This Row],[Status]]="✔️",Tabela1[[#This Row],[Peso]]*1*1,0)</f>
        <v>0</v>
      </c>
      <c r="Q276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69" s="33"/>
      <c r="S2769" s="37"/>
    </row>
    <row r="2770" spans="8:19" ht="17.399999999999999" x14ac:dyDescent="0.3">
      <c r="H2770" s="32"/>
      <c r="I2770" s="33"/>
      <c r="J2770" s="34"/>
      <c r="K2770" s="59"/>
      <c r="L2770" s="33"/>
      <c r="M2770" s="33"/>
      <c r="N2770" s="36"/>
      <c r="O2770" s="33"/>
      <c r="P2770" s="33">
        <f>IF(Tabela1[[#This Row],[Status]]="✔️",Tabela1[[#This Row],[Peso]]*1*1,0)</f>
        <v>0</v>
      </c>
      <c r="Q277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70" s="33"/>
      <c r="S2770" s="37"/>
    </row>
    <row r="2771" spans="8:19" ht="17.399999999999999" x14ac:dyDescent="0.3">
      <c r="H2771" s="32"/>
      <c r="I2771" s="33"/>
      <c r="J2771" s="34"/>
      <c r="K2771" s="59"/>
      <c r="L2771" s="33"/>
      <c r="M2771" s="33"/>
      <c r="N2771" s="36"/>
      <c r="O2771" s="33"/>
      <c r="P2771" s="33">
        <f>IF(Tabela1[[#This Row],[Status]]="✔️",Tabela1[[#This Row],[Peso]]*1*1,0)</f>
        <v>0</v>
      </c>
      <c r="Q277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71" s="33"/>
      <c r="S2771" s="37"/>
    </row>
    <row r="2772" spans="8:19" ht="17.399999999999999" x14ac:dyDescent="0.3">
      <c r="H2772" s="32"/>
      <c r="I2772" s="33"/>
      <c r="J2772" s="34"/>
      <c r="K2772" s="59"/>
      <c r="L2772" s="33"/>
      <c r="M2772" s="33"/>
      <c r="N2772" s="36"/>
      <c r="O2772" s="33"/>
      <c r="P2772" s="33">
        <f>IF(Tabela1[[#This Row],[Status]]="✔️",Tabela1[[#This Row],[Peso]]*1*1,0)</f>
        <v>0</v>
      </c>
      <c r="Q277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72" s="33"/>
      <c r="S2772" s="37"/>
    </row>
    <row r="2773" spans="8:19" ht="17.399999999999999" x14ac:dyDescent="0.3">
      <c r="H2773" s="32"/>
      <c r="I2773" s="33"/>
      <c r="J2773" s="34"/>
      <c r="K2773" s="59"/>
      <c r="L2773" s="33"/>
      <c r="M2773" s="33"/>
      <c r="N2773" s="36"/>
      <c r="O2773" s="33"/>
      <c r="P2773" s="33">
        <f>IF(Tabela1[[#This Row],[Status]]="✔️",Tabela1[[#This Row],[Peso]]*1*1,0)</f>
        <v>0</v>
      </c>
      <c r="Q277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73" s="33"/>
      <c r="S2773" s="37"/>
    </row>
    <row r="2774" spans="8:19" ht="17.399999999999999" x14ac:dyDescent="0.3">
      <c r="H2774" s="32"/>
      <c r="I2774" s="33"/>
      <c r="J2774" s="34"/>
      <c r="K2774" s="59"/>
      <c r="L2774" s="33"/>
      <c r="M2774" s="33"/>
      <c r="N2774" s="36"/>
      <c r="O2774" s="33"/>
      <c r="P2774" s="33">
        <f>IF(Tabela1[[#This Row],[Status]]="✔️",Tabela1[[#This Row],[Peso]]*1*1,0)</f>
        <v>0</v>
      </c>
      <c r="Q277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74" s="33"/>
      <c r="S2774" s="37"/>
    </row>
    <row r="2775" spans="8:19" ht="17.399999999999999" x14ac:dyDescent="0.3">
      <c r="H2775" s="32"/>
      <c r="I2775" s="33"/>
      <c r="J2775" s="34"/>
      <c r="K2775" s="59"/>
      <c r="L2775" s="33"/>
      <c r="M2775" s="33"/>
      <c r="N2775" s="36"/>
      <c r="O2775" s="33"/>
      <c r="P2775" s="33">
        <f>IF(Tabela1[[#This Row],[Status]]="✔️",Tabela1[[#This Row],[Peso]]*1*1,0)</f>
        <v>0</v>
      </c>
      <c r="Q277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75" s="33"/>
      <c r="S2775" s="37"/>
    </row>
    <row r="2776" spans="8:19" ht="17.399999999999999" x14ac:dyDescent="0.3">
      <c r="H2776" s="32"/>
      <c r="I2776" s="33"/>
      <c r="J2776" s="34"/>
      <c r="K2776" s="59"/>
      <c r="L2776" s="33"/>
      <c r="M2776" s="33"/>
      <c r="N2776" s="36"/>
      <c r="O2776" s="33"/>
      <c r="P2776" s="33">
        <f>IF(Tabela1[[#This Row],[Status]]="✔️",Tabela1[[#This Row],[Peso]]*1*1,0)</f>
        <v>0</v>
      </c>
      <c r="Q277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76" s="33"/>
      <c r="S2776" s="37"/>
    </row>
    <row r="2777" spans="8:19" ht="17.399999999999999" x14ac:dyDescent="0.3">
      <c r="H2777" s="32"/>
      <c r="I2777" s="33"/>
      <c r="J2777" s="34"/>
      <c r="K2777" s="59"/>
      <c r="L2777" s="33"/>
      <c r="M2777" s="33"/>
      <c r="N2777" s="36"/>
      <c r="O2777" s="33"/>
      <c r="P2777" s="33">
        <f>IF(Tabela1[[#This Row],[Status]]="✔️",Tabela1[[#This Row],[Peso]]*1*1,0)</f>
        <v>0</v>
      </c>
      <c r="Q277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77" s="33"/>
      <c r="S2777" s="37"/>
    </row>
    <row r="2778" spans="8:19" ht="17.399999999999999" x14ac:dyDescent="0.3">
      <c r="H2778" s="32"/>
      <c r="I2778" s="33"/>
      <c r="J2778" s="34"/>
      <c r="K2778" s="59"/>
      <c r="L2778" s="33"/>
      <c r="M2778" s="33"/>
      <c r="N2778" s="36"/>
      <c r="O2778" s="33"/>
      <c r="P2778" s="33">
        <f>IF(Tabela1[[#This Row],[Status]]="✔️",Tabela1[[#This Row],[Peso]]*1*1,0)</f>
        <v>0</v>
      </c>
      <c r="Q277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78" s="33"/>
      <c r="S2778" s="37"/>
    </row>
    <row r="2779" spans="8:19" ht="17.399999999999999" x14ac:dyDescent="0.3">
      <c r="H2779" s="32"/>
      <c r="I2779" s="33"/>
      <c r="J2779" s="34"/>
      <c r="K2779" s="59"/>
      <c r="L2779" s="33"/>
      <c r="M2779" s="33"/>
      <c r="N2779" s="36"/>
      <c r="O2779" s="33"/>
      <c r="P2779" s="33">
        <f>IF(Tabela1[[#This Row],[Status]]="✔️",Tabela1[[#This Row],[Peso]]*1*1,0)</f>
        <v>0</v>
      </c>
      <c r="Q277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79" s="33"/>
      <c r="S2779" s="37"/>
    </row>
    <row r="2780" spans="8:19" ht="17.399999999999999" x14ac:dyDescent="0.3">
      <c r="H2780" s="32"/>
      <c r="I2780" s="33"/>
      <c r="J2780" s="34"/>
      <c r="K2780" s="59"/>
      <c r="L2780" s="33"/>
      <c r="M2780" s="33"/>
      <c r="N2780" s="36"/>
      <c r="O2780" s="33"/>
      <c r="P2780" s="33">
        <f>IF(Tabela1[[#This Row],[Status]]="✔️",Tabela1[[#This Row],[Peso]]*1*1,0)</f>
        <v>0</v>
      </c>
      <c r="Q278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80" s="33"/>
      <c r="S2780" s="37"/>
    </row>
    <row r="2781" spans="8:19" ht="17.399999999999999" x14ac:dyDescent="0.3">
      <c r="H2781" s="32"/>
      <c r="I2781" s="33"/>
      <c r="J2781" s="34"/>
      <c r="K2781" s="59"/>
      <c r="L2781" s="33"/>
      <c r="M2781" s="33"/>
      <c r="N2781" s="36"/>
      <c r="O2781" s="33"/>
      <c r="P2781" s="33">
        <f>IF(Tabela1[[#This Row],[Status]]="✔️",Tabela1[[#This Row],[Peso]]*1*1,0)</f>
        <v>0</v>
      </c>
      <c r="Q278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81" s="33"/>
      <c r="S2781" s="37"/>
    </row>
    <row r="2782" spans="8:19" ht="17.399999999999999" x14ac:dyDescent="0.3">
      <c r="H2782" s="32"/>
      <c r="I2782" s="33"/>
      <c r="J2782" s="34"/>
      <c r="K2782" s="59"/>
      <c r="L2782" s="33"/>
      <c r="M2782" s="33"/>
      <c r="N2782" s="36"/>
      <c r="O2782" s="33"/>
      <c r="P2782" s="33">
        <f>IF(Tabela1[[#This Row],[Status]]="✔️",Tabela1[[#This Row],[Peso]]*1*1,0)</f>
        <v>0</v>
      </c>
      <c r="Q278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82" s="33"/>
      <c r="S2782" s="37"/>
    </row>
    <row r="2783" spans="8:19" ht="17.399999999999999" x14ac:dyDescent="0.3">
      <c r="H2783" s="32"/>
      <c r="I2783" s="33"/>
      <c r="J2783" s="34"/>
      <c r="K2783" s="59"/>
      <c r="L2783" s="33"/>
      <c r="M2783" s="33"/>
      <c r="N2783" s="36"/>
      <c r="O2783" s="33"/>
      <c r="P2783" s="33">
        <f>IF(Tabela1[[#This Row],[Status]]="✔️",Tabela1[[#This Row],[Peso]]*1*1,0)</f>
        <v>0</v>
      </c>
      <c r="Q278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83" s="33"/>
      <c r="S2783" s="37"/>
    </row>
    <row r="2784" spans="8:19" ht="17.399999999999999" x14ac:dyDescent="0.3">
      <c r="H2784" s="32"/>
      <c r="I2784" s="33"/>
      <c r="J2784" s="34"/>
      <c r="K2784" s="59"/>
      <c r="L2784" s="33"/>
      <c r="M2784" s="33"/>
      <c r="N2784" s="36"/>
      <c r="O2784" s="33"/>
      <c r="P2784" s="33">
        <f>IF(Tabela1[[#This Row],[Status]]="✔️",Tabela1[[#This Row],[Peso]]*1*1,0)</f>
        <v>0</v>
      </c>
      <c r="Q278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84" s="33"/>
      <c r="S2784" s="37"/>
    </row>
    <row r="2785" spans="8:19" ht="17.399999999999999" x14ac:dyDescent="0.3">
      <c r="H2785" s="32"/>
      <c r="I2785" s="33"/>
      <c r="J2785" s="34"/>
      <c r="K2785" s="59"/>
      <c r="L2785" s="33"/>
      <c r="M2785" s="33"/>
      <c r="N2785" s="36"/>
      <c r="O2785" s="33"/>
      <c r="P2785" s="33">
        <f>IF(Tabela1[[#This Row],[Status]]="✔️",Tabela1[[#This Row],[Peso]]*1*1,0)</f>
        <v>0</v>
      </c>
      <c r="Q278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85" s="33"/>
      <c r="S2785" s="37"/>
    </row>
    <row r="2786" spans="8:19" ht="17.399999999999999" x14ac:dyDescent="0.3">
      <c r="H2786" s="32"/>
      <c r="I2786" s="33"/>
      <c r="J2786" s="34"/>
      <c r="K2786" s="59"/>
      <c r="L2786" s="33"/>
      <c r="M2786" s="33"/>
      <c r="N2786" s="36"/>
      <c r="O2786" s="33"/>
      <c r="P2786" s="33">
        <f>IF(Tabela1[[#This Row],[Status]]="✔️",Tabela1[[#This Row],[Peso]]*1*1,0)</f>
        <v>0</v>
      </c>
      <c r="Q278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86" s="33"/>
      <c r="S2786" s="37"/>
    </row>
    <row r="2787" spans="8:19" ht="17.399999999999999" x14ac:dyDescent="0.3">
      <c r="H2787" s="32"/>
      <c r="I2787" s="33"/>
      <c r="J2787" s="34"/>
      <c r="K2787" s="59"/>
      <c r="L2787" s="33"/>
      <c r="M2787" s="33"/>
      <c r="N2787" s="36"/>
      <c r="O2787" s="33"/>
      <c r="P2787" s="33">
        <f>IF(Tabela1[[#This Row],[Status]]="✔️",Tabela1[[#This Row],[Peso]]*1*1,0)</f>
        <v>0</v>
      </c>
      <c r="Q278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87" s="33"/>
      <c r="S2787" s="37"/>
    </row>
    <row r="2788" spans="8:19" ht="17.399999999999999" x14ac:dyDescent="0.3">
      <c r="H2788" s="32"/>
      <c r="I2788" s="33"/>
      <c r="J2788" s="34"/>
      <c r="K2788" s="59"/>
      <c r="L2788" s="33"/>
      <c r="M2788" s="33"/>
      <c r="N2788" s="36"/>
      <c r="O2788" s="33"/>
      <c r="P2788" s="33">
        <f>IF(Tabela1[[#This Row],[Status]]="✔️",Tabela1[[#This Row],[Peso]]*1*1,0)</f>
        <v>0</v>
      </c>
      <c r="Q278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88" s="33"/>
      <c r="S2788" s="37"/>
    </row>
    <row r="2789" spans="8:19" ht="17.399999999999999" x14ac:dyDescent="0.3">
      <c r="H2789" s="32"/>
      <c r="I2789" s="33"/>
      <c r="J2789" s="34"/>
      <c r="K2789" s="59"/>
      <c r="L2789" s="33"/>
      <c r="M2789" s="33"/>
      <c r="N2789" s="36"/>
      <c r="O2789" s="33"/>
      <c r="P2789" s="33">
        <f>IF(Tabela1[[#This Row],[Status]]="✔️",Tabela1[[#This Row],[Peso]]*1*1,0)</f>
        <v>0</v>
      </c>
      <c r="Q278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89" s="33"/>
      <c r="S2789" s="37"/>
    </row>
    <row r="2790" spans="8:19" ht="17.399999999999999" x14ac:dyDescent="0.3">
      <c r="H2790" s="32"/>
      <c r="I2790" s="33"/>
      <c r="J2790" s="34"/>
      <c r="K2790" s="59"/>
      <c r="L2790" s="33"/>
      <c r="M2790" s="33"/>
      <c r="N2790" s="36"/>
      <c r="O2790" s="33"/>
      <c r="P2790" s="33">
        <f>IF(Tabela1[[#This Row],[Status]]="✔️",Tabela1[[#This Row],[Peso]]*1*1,0)</f>
        <v>0</v>
      </c>
      <c r="Q279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90" s="33"/>
      <c r="S2790" s="37"/>
    </row>
    <row r="2791" spans="8:19" ht="17.399999999999999" x14ac:dyDescent="0.3">
      <c r="H2791" s="32"/>
      <c r="I2791" s="33"/>
      <c r="J2791" s="34"/>
      <c r="K2791" s="59"/>
      <c r="L2791" s="33"/>
      <c r="M2791" s="33"/>
      <c r="N2791" s="36"/>
      <c r="O2791" s="33"/>
      <c r="P2791" s="33">
        <f>IF(Tabela1[[#This Row],[Status]]="✔️",Tabela1[[#This Row],[Peso]]*1*1,0)</f>
        <v>0</v>
      </c>
      <c r="Q279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91" s="33"/>
      <c r="S2791" s="37"/>
    </row>
    <row r="2792" spans="8:19" ht="17.399999999999999" x14ac:dyDescent="0.3">
      <c r="H2792" s="32"/>
      <c r="I2792" s="33"/>
      <c r="J2792" s="34"/>
      <c r="K2792" s="59"/>
      <c r="L2792" s="33"/>
      <c r="M2792" s="33"/>
      <c r="N2792" s="36"/>
      <c r="O2792" s="33"/>
      <c r="P2792" s="33">
        <f>IF(Tabela1[[#This Row],[Status]]="✔️",Tabela1[[#This Row],[Peso]]*1*1,0)</f>
        <v>0</v>
      </c>
      <c r="Q279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92" s="33"/>
      <c r="S2792" s="37"/>
    </row>
    <row r="2793" spans="8:19" ht="17.399999999999999" x14ac:dyDescent="0.3">
      <c r="H2793" s="32"/>
      <c r="I2793" s="33"/>
      <c r="J2793" s="34"/>
      <c r="K2793" s="59"/>
      <c r="L2793" s="33"/>
      <c r="M2793" s="33"/>
      <c r="N2793" s="36"/>
      <c r="O2793" s="33"/>
      <c r="P2793" s="33">
        <f>IF(Tabela1[[#This Row],[Status]]="✔️",Tabela1[[#This Row],[Peso]]*1*1,0)</f>
        <v>0</v>
      </c>
      <c r="Q279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93" s="33"/>
      <c r="S2793" s="37"/>
    </row>
    <row r="2794" spans="8:19" ht="40.799999999999997" customHeight="1" x14ac:dyDescent="0.3">
      <c r="H2794" s="32"/>
      <c r="I2794" s="33"/>
      <c r="J2794" s="34"/>
      <c r="K2794" s="59"/>
      <c r="L2794" s="33"/>
      <c r="M2794" s="33"/>
      <c r="N2794" s="36"/>
      <c r="O2794" s="33"/>
      <c r="P2794" s="33">
        <f>IF(Tabela1[[#This Row],[Status]]="✔️",Tabela1[[#This Row],[Peso]]*1*1,0)</f>
        <v>0</v>
      </c>
      <c r="Q279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94" s="33"/>
      <c r="S2794" s="37"/>
    </row>
    <row r="2795" spans="8:19" ht="55.8" customHeight="1" x14ac:dyDescent="0.3">
      <c r="H2795" s="52"/>
      <c r="I2795" s="53"/>
      <c r="J2795" s="57"/>
      <c r="K2795" s="71"/>
      <c r="L2795" s="53"/>
      <c r="M2795" s="53"/>
      <c r="N2795" s="55"/>
      <c r="O2795" s="53"/>
      <c r="P2795" s="53">
        <f>IF(Tabela1[[#This Row],[Status]]="✔️",Tabela1[[#This Row],[Peso]]*1*1,0)</f>
        <v>0</v>
      </c>
      <c r="Q2795" s="5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95" s="53"/>
      <c r="S2795" s="56"/>
    </row>
    <row r="2796" spans="8:19" ht="30.6" customHeight="1" x14ac:dyDescent="0.3">
      <c r="H2796" s="52" t="s">
        <v>475</v>
      </c>
      <c r="I2796" s="53"/>
      <c r="J2796" s="57"/>
      <c r="K2796" s="71"/>
      <c r="L2796" s="53"/>
      <c r="M2796" s="53"/>
      <c r="N2796" s="53"/>
      <c r="O2796" s="53"/>
      <c r="P2796" s="53"/>
      <c r="Q2796" s="53"/>
      <c r="R2796" s="53"/>
      <c r="S2796" s="56">
        <f>SUBTOTAL(103,Tabela1[Fase])</f>
        <v>2525</v>
      </c>
    </row>
  </sheetData>
  <phoneticPr fontId="8" type="noConversion"/>
  <conditionalFormatting sqref="H1450:H1457 I1453:K1453 N1453:O1453 N1457:O1458 Q465:Q1522 P1715:Q1935 H2:O464 Q2:S464 P2:P1522">
    <cfRule type="expression" dxfId="917" priority="899">
      <formula>$K2="❌️"</formula>
    </cfRule>
  </conditionalFormatting>
  <conditionalFormatting sqref="H1936:H1939">
    <cfRule type="expression" dxfId="916" priority="457">
      <formula>$K1936="✔️✔️"</formula>
    </cfRule>
    <cfRule type="expression" dxfId="915" priority="458">
      <formula>$K1936="❌️"</formula>
    </cfRule>
    <cfRule type="expression" dxfId="914" priority="459">
      <formula>$K1936="✔️"</formula>
    </cfRule>
  </conditionalFormatting>
  <conditionalFormatting sqref="H2047:H2062">
    <cfRule type="expression" dxfId="913" priority="253">
      <formula>$K2047="✔️✔️"</formula>
    </cfRule>
    <cfRule type="expression" dxfId="912" priority="254">
      <formula>$K2047="❌️"</formula>
    </cfRule>
    <cfRule type="expression" dxfId="911" priority="255">
      <formula>$K2047="✔️"</formula>
    </cfRule>
  </conditionalFormatting>
  <conditionalFormatting sqref="H2187:H2224 H2205:Q2206 I2207:Q2209">
    <cfRule type="expression" dxfId="910" priority="164">
      <formula>$K2187="❌️"</formula>
    </cfRule>
    <cfRule type="expression" dxfId="909" priority="165">
      <formula>$K2187="✔️"</formula>
    </cfRule>
  </conditionalFormatting>
  <conditionalFormatting sqref="H2320:H2338 I2324:Q2338 H2339:Q2339">
    <cfRule type="expression" dxfId="908" priority="91">
      <formula>$K2320="✔️✔️"</formula>
    </cfRule>
    <cfRule type="expression" dxfId="907" priority="92">
      <formula>$K2320="❌️"</formula>
    </cfRule>
    <cfRule type="expression" dxfId="906" priority="93">
      <formula>$K2320="✔️"</formula>
    </cfRule>
  </conditionalFormatting>
  <conditionalFormatting sqref="H2340:H2358 I2344:Q2358 H2359:Q2359">
    <cfRule type="expression" dxfId="905" priority="82">
      <formula>$K2340="✔️✔️"</formula>
    </cfRule>
    <cfRule type="expression" dxfId="904" priority="83">
      <formula>$K2340="❌️"</formula>
    </cfRule>
    <cfRule type="expression" dxfId="903" priority="84">
      <formula>$K2340="✔️"</formula>
    </cfRule>
  </conditionalFormatting>
  <conditionalFormatting sqref="H2360:H2378 I2364:Q2378 H2379:Q2379">
    <cfRule type="expression" dxfId="902" priority="73">
      <formula>$K2360="✔️✔️"</formula>
    </cfRule>
    <cfRule type="expression" dxfId="901" priority="74">
      <formula>$K2360="❌️"</formula>
    </cfRule>
    <cfRule type="expression" dxfId="900" priority="75">
      <formula>$K2360="✔️"</formula>
    </cfRule>
  </conditionalFormatting>
  <conditionalFormatting sqref="H2380:H2398 I2384:Q2398 H2399:Q2399">
    <cfRule type="expression" dxfId="899" priority="64">
      <formula>$K2380="✔️✔️"</formula>
    </cfRule>
    <cfRule type="expression" dxfId="898" priority="65">
      <formula>$K2380="❌️"</formula>
    </cfRule>
    <cfRule type="expression" dxfId="897" priority="66">
      <formula>$K2380="✔️"</formula>
    </cfRule>
  </conditionalFormatting>
  <conditionalFormatting sqref="H2400:H2418 I2404:Q2418 H2419:Q2419">
    <cfRule type="expression" dxfId="896" priority="55">
      <formula>$K2400="✔️✔️"</formula>
    </cfRule>
    <cfRule type="expression" dxfId="895" priority="56">
      <formula>$K2400="❌️"</formula>
    </cfRule>
    <cfRule type="expression" dxfId="894" priority="57">
      <formula>$K2400="✔️"</formula>
    </cfRule>
  </conditionalFormatting>
  <conditionalFormatting sqref="H2420:H2438 I2424:Q2438 H2439:Q2439">
    <cfRule type="expression" dxfId="893" priority="46">
      <formula>$K2420="✔️✔️"</formula>
    </cfRule>
    <cfRule type="expression" dxfId="892" priority="47">
      <formula>$K2420="❌️"</formula>
    </cfRule>
    <cfRule type="expression" dxfId="891" priority="48">
      <formula>$K2420="✔️"</formula>
    </cfRule>
  </conditionalFormatting>
  <conditionalFormatting sqref="H2440:H2458 I2444:Q2458 H2459:Q2459">
    <cfRule type="expression" dxfId="890" priority="37">
      <formula>$K2440="✔️✔️"</formula>
    </cfRule>
    <cfRule type="expression" dxfId="889" priority="38">
      <formula>$K2440="❌️"</formula>
    </cfRule>
    <cfRule type="expression" dxfId="888" priority="39">
      <formula>$K2440="✔️"</formula>
    </cfRule>
  </conditionalFormatting>
  <conditionalFormatting sqref="H2460:H2478 I2464:Q2478 H2479:Q2479">
    <cfRule type="expression" dxfId="887" priority="28">
      <formula>$K2460="✔️✔️"</formula>
    </cfRule>
    <cfRule type="expression" dxfId="886" priority="29">
      <formula>$K2460="❌️"</formula>
    </cfRule>
    <cfRule type="expression" dxfId="885" priority="30">
      <formula>$K2460="✔️"</formula>
    </cfRule>
  </conditionalFormatting>
  <conditionalFormatting sqref="H2480:H2498 I2484:Q2498 H2499:Q2499">
    <cfRule type="expression" dxfId="884" priority="19">
      <formula>$K2480="✔️✔️"</formula>
    </cfRule>
    <cfRule type="expression" dxfId="883" priority="20">
      <formula>$K2480="❌️"</formula>
    </cfRule>
    <cfRule type="expression" dxfId="882" priority="21">
      <formula>$K2480="✔️"</formula>
    </cfRule>
  </conditionalFormatting>
  <conditionalFormatting sqref="H2500:H2518 I2504:Q2518">
    <cfRule type="expression" dxfId="881" priority="10">
      <formula>$K2500="✔️✔️"</formula>
    </cfRule>
    <cfRule type="expression" dxfId="880" priority="11">
      <formula>$K2500="❌️"</formula>
    </cfRule>
    <cfRule type="expression" dxfId="879" priority="12">
      <formula>$K2500="✔️"</formula>
    </cfRule>
  </conditionalFormatting>
  <conditionalFormatting sqref="H1124:I1125 K1124:O1125 R1124:S1125 R1449:S1467 S1678:S1694 N1709:Q1709">
    <cfRule type="expression" dxfId="878" priority="1171">
      <formula>$K1124="✔️✔️"</formula>
    </cfRule>
    <cfRule type="expression" dxfId="877" priority="1172">
      <formula>$K1124="❌️"</formula>
    </cfRule>
    <cfRule type="expression" dxfId="876" priority="1173">
      <formula>$K1124="✔️"</formula>
    </cfRule>
  </conditionalFormatting>
  <conditionalFormatting sqref="H1144:I1145 K1144:O1145 R1144:S1145">
    <cfRule type="expression" dxfId="875" priority="1159">
      <formula>$K1144="✔️✔️"</formula>
    </cfRule>
    <cfRule type="expression" dxfId="874" priority="1160">
      <formula>$K1144="❌️"</formula>
    </cfRule>
    <cfRule type="expression" dxfId="873" priority="1161">
      <formula>$K1144="✔️"</formula>
    </cfRule>
  </conditionalFormatting>
  <conditionalFormatting sqref="H1188:I1189 K1188:O1189 R1188:S1189">
    <cfRule type="expression" dxfId="872" priority="1105">
      <formula>$K1188="✔️✔️"</formula>
    </cfRule>
    <cfRule type="expression" dxfId="871" priority="1106">
      <formula>$K1188="❌️"</formula>
    </cfRule>
    <cfRule type="expression" dxfId="870" priority="1107">
      <formula>$K1188="✔️"</formula>
    </cfRule>
  </conditionalFormatting>
  <conditionalFormatting sqref="H1792:J1792 L1792:O1796 I1793:J1796 H1793:H1811">
    <cfRule type="expression" dxfId="869" priority="545">
      <formula>$K1792="❌️"</formula>
    </cfRule>
    <cfRule type="expression" dxfId="868" priority="546">
      <formula>$K1792="✔️"</formula>
    </cfRule>
  </conditionalFormatting>
  <conditionalFormatting sqref="H2252:J2252 N2252:S2252 I2253:J2256 N2253:Q2256 H2253:H2271 R2253:S2271">
    <cfRule type="expression" dxfId="867" priority="131">
      <formula>$K2252="❌️"</formula>
    </cfRule>
    <cfRule type="expression" dxfId="866" priority="132">
      <formula>$K2252="✔️"</formula>
    </cfRule>
  </conditionalFormatting>
  <conditionalFormatting sqref="H1458:M1458">
    <cfRule type="expression" dxfId="865" priority="853">
      <formula>$K1458="✔️✔️"</formula>
    </cfRule>
    <cfRule type="expression" dxfId="864" priority="854">
      <formula>$K1458="❌️"</formula>
    </cfRule>
    <cfRule type="expression" dxfId="863" priority="855">
      <formula>$K1458="✔️"</formula>
    </cfRule>
  </conditionalFormatting>
  <conditionalFormatting sqref="R465:S1467 H1678:R1694 H2:O1467 Q2:S464 P2:P1522">
    <cfRule type="expression" dxfId="862" priority="1015">
      <formula>$K2="✔️✔️"</formula>
    </cfRule>
  </conditionalFormatting>
  <conditionalFormatting sqref="H465:O1467 R465:S1467 H1678:O1694 R1678:R1694">
    <cfRule type="expression" dxfId="861" priority="1016">
      <formula>$K465="❌️"</formula>
    </cfRule>
    <cfRule type="expression" dxfId="860" priority="1017">
      <formula>$K465="✔️"</formula>
    </cfRule>
  </conditionalFormatting>
  <conditionalFormatting sqref="H1058:O1074 R1148:R1168 R1058:S1074 Q465:Q1522 P1715:Q1935">
    <cfRule type="expression" dxfId="859" priority="1204">
      <formula>$K465="✔️✔️"</formula>
    </cfRule>
  </conditionalFormatting>
  <conditionalFormatting sqref="H1058:O1074 R1058:S1074 R1148:R1168">
    <cfRule type="expression" dxfId="858" priority="1205">
      <formula>$K1058="❌️"</formula>
    </cfRule>
    <cfRule type="expression" dxfId="857" priority="1206">
      <formula>$K1058="✔️"</formula>
    </cfRule>
    <cfRule type="expression" dxfId="856" priority="1207">
      <formula>$K1058="✔️✔️"</formula>
    </cfRule>
    <cfRule type="expression" dxfId="855" priority="1208">
      <formula>$K1058="❌️"</formula>
    </cfRule>
    <cfRule type="expression" dxfId="854" priority="1209">
      <formula>$K1058="✔️"</formula>
    </cfRule>
  </conditionalFormatting>
  <conditionalFormatting sqref="H1144:O1147 R1144:S1147">
    <cfRule type="expression" dxfId="853" priority="1162">
      <formula>$K1144="✔️✔️"</formula>
    </cfRule>
    <cfRule type="expression" dxfId="852" priority="1163">
      <formula>$K1144="❌️"</formula>
    </cfRule>
    <cfRule type="expression" dxfId="851" priority="1164">
      <formula>$K1144="✔️"</formula>
    </cfRule>
  </conditionalFormatting>
  <conditionalFormatting sqref="H1148:O1159 R1148:S1159">
    <cfRule type="expression" dxfId="850" priority="1153">
      <formula>$K1148="✔️✔️"</formula>
    </cfRule>
    <cfRule type="expression" dxfId="849" priority="1154">
      <formula>$K1148="❌️"</formula>
    </cfRule>
    <cfRule type="expression" dxfId="848" priority="1155">
      <formula>$K1148="✔️"</formula>
    </cfRule>
  </conditionalFormatting>
  <conditionalFormatting sqref="H1152:O1152 R1152:S1152">
    <cfRule type="expression" dxfId="847" priority="1148">
      <formula>$K1152="❌️"</formula>
    </cfRule>
    <cfRule type="expression" dxfId="846" priority="1149">
      <formula>$K1152="✔️"</formula>
    </cfRule>
    <cfRule type="expression" dxfId="845" priority="1150">
      <formula>$K1152="✔️✔️"</formula>
    </cfRule>
    <cfRule type="expression" dxfId="844" priority="1151">
      <formula>$K1152="❌️"</formula>
    </cfRule>
    <cfRule type="expression" dxfId="843" priority="1152">
      <formula>$K1152="✔️"</formula>
    </cfRule>
  </conditionalFormatting>
  <conditionalFormatting sqref="H1162:O1187 R1162:S1187">
    <cfRule type="expression" dxfId="842" priority="1126">
      <formula>$K1162="✔️✔️"</formula>
    </cfRule>
    <cfRule type="expression" dxfId="841" priority="1127">
      <formula>$K1162="❌️"</formula>
    </cfRule>
    <cfRule type="expression" dxfId="840" priority="1128">
      <formula>$K1162="✔️"</formula>
    </cfRule>
  </conditionalFormatting>
  <conditionalFormatting sqref="H1169:O1180 R1169:S1180 H1170:H1187 R1170:R1187">
    <cfRule type="expression" dxfId="839" priority="1120">
      <formula>$K1169="✔️✔️"</formula>
    </cfRule>
    <cfRule type="expression" dxfId="838" priority="1121">
      <formula>$K1169="❌️"</formula>
    </cfRule>
    <cfRule type="expression" dxfId="837" priority="1122">
      <formula>$K1169="✔️"</formula>
    </cfRule>
  </conditionalFormatting>
  <conditionalFormatting sqref="H1169:O1187 R1169:S1187">
    <cfRule type="expression" dxfId="836" priority="1123">
      <formula>$K1169="✔️✔️"</formula>
    </cfRule>
    <cfRule type="expression" dxfId="835" priority="1124">
      <formula>$K1169="❌️"</formula>
    </cfRule>
    <cfRule type="expression" dxfId="834" priority="1125">
      <formula>$K1169="✔️"</formula>
    </cfRule>
  </conditionalFormatting>
  <conditionalFormatting sqref="H1173:O1173 R1173:S1173">
    <cfRule type="expression" dxfId="833" priority="1114">
      <formula>$K1173="✔️✔️"</formula>
    </cfRule>
    <cfRule type="expression" dxfId="832" priority="1115">
      <formula>$K1173="❌️"</formula>
    </cfRule>
    <cfRule type="expression" dxfId="831" priority="1116">
      <formula>$K1173="✔️"</formula>
    </cfRule>
    <cfRule type="expression" dxfId="830" priority="1117">
      <formula>$K1173="✔️✔️"</formula>
    </cfRule>
    <cfRule type="expression" dxfId="829" priority="1118">
      <formula>$K1173="❌️"</formula>
    </cfRule>
    <cfRule type="expression" dxfId="828" priority="1119">
      <formula>$K1173="✔️"</formula>
    </cfRule>
  </conditionalFormatting>
  <conditionalFormatting sqref="H1181:O1191 R1181:S1191">
    <cfRule type="expression" dxfId="827" priority="1108">
      <formula>$K1181="✔️✔️"</formula>
    </cfRule>
    <cfRule type="expression" dxfId="826" priority="1109">
      <formula>$K1181="❌️"</formula>
    </cfRule>
    <cfRule type="expression" dxfId="825" priority="1110">
      <formula>$K1181="✔️"</formula>
    </cfRule>
  </conditionalFormatting>
  <conditionalFormatting sqref="H1196:O1196 R1196:S1196">
    <cfRule type="expression" dxfId="824" priority="1081">
      <formula>$K1196="✔️✔️"</formula>
    </cfRule>
    <cfRule type="expression" dxfId="823" priority="1082">
      <formula>$K1196="❌️"</formula>
    </cfRule>
    <cfRule type="expression" dxfId="822" priority="1083">
      <formula>$K1196="✔️"</formula>
    </cfRule>
    <cfRule type="expression" dxfId="821" priority="1084">
      <formula>$K1196="✔️✔️"</formula>
    </cfRule>
    <cfRule type="expression" dxfId="820" priority="1085">
      <formula>$K1196="❌️"</formula>
    </cfRule>
    <cfRule type="expression" dxfId="819" priority="1086">
      <formula>$K1196="✔️"</formula>
    </cfRule>
  </conditionalFormatting>
  <conditionalFormatting sqref="H1204:O1229 R1204:S1229">
    <cfRule type="expression" dxfId="818" priority="1075">
      <formula>$K1204="✔️✔️"</formula>
    </cfRule>
    <cfRule type="expression" dxfId="817" priority="1076">
      <formula>$K1204="❌️"</formula>
    </cfRule>
    <cfRule type="expression" dxfId="816" priority="1077">
      <formula>$K1204="✔️"</formula>
    </cfRule>
  </conditionalFormatting>
  <conditionalFormatting sqref="H1215:O1215 R1215:S1215">
    <cfRule type="expression" dxfId="815" priority="1066">
      <formula>$K1215="✔️✔️"</formula>
    </cfRule>
    <cfRule type="expression" dxfId="814" priority="1067">
      <formula>$K1215="❌️"</formula>
    </cfRule>
    <cfRule type="expression" dxfId="813" priority="1068">
      <formula>$K1215="✔️"</formula>
    </cfRule>
    <cfRule type="expression" dxfId="812" priority="1069">
      <formula>$K1215="✔️✔️"</formula>
    </cfRule>
    <cfRule type="expression" dxfId="811" priority="1070">
      <formula>$K1215="❌️"</formula>
    </cfRule>
    <cfRule type="expression" dxfId="810" priority="1071">
      <formula>$K1215="✔️"</formula>
    </cfRule>
  </conditionalFormatting>
  <conditionalFormatting sqref="H1234:O1234 R1234:S1234">
    <cfRule type="expression" dxfId="809" priority="1048">
      <formula>$K1234="✔️✔️"</formula>
    </cfRule>
    <cfRule type="expression" dxfId="808" priority="1049">
      <formula>$K1234="❌️"</formula>
    </cfRule>
    <cfRule type="expression" dxfId="807" priority="1050">
      <formula>$K1234="✔️"</formula>
    </cfRule>
    <cfRule type="expression" dxfId="806" priority="1051">
      <formula>$K1234="✔️✔️"</formula>
    </cfRule>
    <cfRule type="expression" dxfId="805" priority="1052">
      <formula>$K1234="❌️"</formula>
    </cfRule>
    <cfRule type="expression" dxfId="804" priority="1053">
      <formula>$K1234="✔️"</formula>
    </cfRule>
  </conditionalFormatting>
  <conditionalFormatting sqref="H1248:O1287 R1248:S1287 H1280:H1295">
    <cfRule type="expression" dxfId="803" priority="1039">
      <formula>$K1248="✔️✔️"</formula>
    </cfRule>
    <cfRule type="expression" dxfId="802" priority="1040">
      <formula>$K1248="❌️"</formula>
    </cfRule>
    <cfRule type="expression" dxfId="801" priority="1041">
      <formula>$K1248="✔️"</formula>
    </cfRule>
  </conditionalFormatting>
  <conditionalFormatting sqref="H1279:O1279 R1279:S1279">
    <cfRule type="expression" dxfId="800" priority="847">
      <formula>$K1279="✔️✔️"</formula>
    </cfRule>
    <cfRule type="expression" dxfId="799" priority="848">
      <formula>$K1279="❌️"</formula>
    </cfRule>
    <cfRule type="expression" dxfId="798" priority="849">
      <formula>$K1279="✔️"</formula>
    </cfRule>
    <cfRule type="expression" dxfId="797" priority="850">
      <formula>$K1279="✔️✔️"</formula>
    </cfRule>
    <cfRule type="expression" dxfId="796" priority="851">
      <formula>$K1279="❌️"</formula>
    </cfRule>
    <cfRule type="expression" dxfId="795" priority="852">
      <formula>$K1279="✔️"</formula>
    </cfRule>
  </conditionalFormatting>
  <conditionalFormatting sqref="H1280:O1280 R1280:S1280">
    <cfRule type="expression" dxfId="794" priority="1033">
      <formula>$K1280="✔️✔️"</formula>
    </cfRule>
    <cfRule type="expression" dxfId="793" priority="1034">
      <formula>$K1280="❌️"</formula>
    </cfRule>
    <cfRule type="expression" dxfId="792" priority="1035">
      <formula>$K1280="✔️"</formula>
    </cfRule>
    <cfRule type="expression" dxfId="791" priority="1036">
      <formula>$K1280="✔️✔️"</formula>
    </cfRule>
    <cfRule type="expression" dxfId="790" priority="1037">
      <formula>$K1280="❌️"</formula>
    </cfRule>
    <cfRule type="expression" dxfId="789" priority="1038">
      <formula>$K1280="✔️"</formula>
    </cfRule>
  </conditionalFormatting>
  <conditionalFormatting sqref="H1288:O1295 R1288:S1315">
    <cfRule type="expression" dxfId="788" priority="1031">
      <formula>$K1288="❌️"</formula>
    </cfRule>
    <cfRule type="expression" dxfId="787" priority="1032">
      <formula>$K1288="✔️"</formula>
    </cfRule>
  </conditionalFormatting>
  <conditionalFormatting sqref="H1300:O1300 R1300:S1300">
    <cfRule type="expression" dxfId="786" priority="1021">
      <formula>$K1300="✔️✔️"</formula>
    </cfRule>
    <cfRule type="expression" dxfId="785" priority="1022">
      <formula>$K1300="❌️"</formula>
    </cfRule>
    <cfRule type="expression" dxfId="784" priority="1023">
      <formula>$K1300="✔️"</formula>
    </cfRule>
    <cfRule type="expression" dxfId="783" priority="1024">
      <formula>$K1300="✔️✔️"</formula>
    </cfRule>
    <cfRule type="expression" dxfId="782" priority="1025">
      <formula>$K1300="❌️"</formula>
    </cfRule>
    <cfRule type="expression" dxfId="781" priority="1026">
      <formula>$K1300="✔️"</formula>
    </cfRule>
  </conditionalFormatting>
  <conditionalFormatting sqref="H1320:O1320 R1320:S1320">
    <cfRule type="expression" dxfId="780" priority="1009">
      <formula>$K1320="✔️✔️"</formula>
    </cfRule>
    <cfRule type="expression" dxfId="779" priority="1010">
      <formula>$K1320="❌️"</formula>
    </cfRule>
    <cfRule type="expression" dxfId="778" priority="1011">
      <formula>$K1320="✔️"</formula>
    </cfRule>
    <cfRule type="expression" dxfId="777" priority="1012">
      <formula>$K1320="✔️✔️"</formula>
    </cfRule>
    <cfRule type="expression" dxfId="776" priority="1013">
      <formula>$K1320="❌️"</formula>
    </cfRule>
    <cfRule type="expression" dxfId="775" priority="1014">
      <formula>$K1320="✔️"</formula>
    </cfRule>
  </conditionalFormatting>
  <conditionalFormatting sqref="H1330:O1345 R1330:S1345">
    <cfRule type="expression" dxfId="774" priority="985">
      <formula>$K1330="✔️✔️"</formula>
    </cfRule>
    <cfRule type="expression" dxfId="773" priority="986">
      <formula>$K1330="❌️"</formula>
    </cfRule>
    <cfRule type="expression" dxfId="772" priority="987">
      <formula>$K1330="✔️"</formula>
    </cfRule>
  </conditionalFormatting>
  <conditionalFormatting sqref="H1347:O1358 R1347:S1358 H1348:H1365 K1348:K1365 R1348:R1388">
    <cfRule type="expression" dxfId="771" priority="979">
      <formula>$K1347="✔️✔️"</formula>
    </cfRule>
    <cfRule type="expression" dxfId="770" priority="980">
      <formula>$K1347="❌️"</formula>
    </cfRule>
    <cfRule type="expression" dxfId="769" priority="981">
      <formula>$K1347="✔️"</formula>
    </cfRule>
  </conditionalFormatting>
  <conditionalFormatting sqref="H1351:O1351 R1351:S1351">
    <cfRule type="expression" dxfId="768" priority="973">
      <formula>$K1351="✔️✔️"</formula>
    </cfRule>
    <cfRule type="expression" dxfId="767" priority="974">
      <formula>$K1351="❌️"</formula>
    </cfRule>
    <cfRule type="expression" dxfId="766" priority="975">
      <formula>$K1351="✔️"</formula>
    </cfRule>
    <cfRule type="expression" dxfId="765" priority="976">
      <formula>$K1351="✔️✔️"</formula>
    </cfRule>
    <cfRule type="expression" dxfId="764" priority="977">
      <formula>$K1351="❌️"</formula>
    </cfRule>
    <cfRule type="expression" dxfId="763" priority="978">
      <formula>$K1351="✔️"</formula>
    </cfRule>
  </conditionalFormatting>
  <conditionalFormatting sqref="H1359:O1377 R1359:S1377 H1367:H1384">
    <cfRule type="expression" dxfId="762" priority="967">
      <formula>$K1359="✔️✔️"</formula>
    </cfRule>
    <cfRule type="expression" dxfId="761" priority="968">
      <formula>$K1359="❌️"</formula>
    </cfRule>
    <cfRule type="expression" dxfId="760" priority="969">
      <formula>$K1359="✔️"</formula>
    </cfRule>
  </conditionalFormatting>
  <conditionalFormatting sqref="H1370:O1370 R1370:S1370">
    <cfRule type="expression" dxfId="759" priority="961">
      <formula>$K1370="✔️✔️"</formula>
    </cfRule>
    <cfRule type="expression" dxfId="758" priority="962">
      <formula>$K1370="❌️"</formula>
    </cfRule>
    <cfRule type="expression" dxfId="757" priority="963">
      <formula>$K1370="✔️"</formula>
    </cfRule>
    <cfRule type="expression" dxfId="756" priority="964">
      <formula>$K1370="✔️✔️"</formula>
    </cfRule>
    <cfRule type="expression" dxfId="755" priority="965">
      <formula>$K1370="❌️"</formula>
    </cfRule>
    <cfRule type="expression" dxfId="754" priority="966">
      <formula>$K1370="✔️"</formula>
    </cfRule>
  </conditionalFormatting>
  <conditionalFormatting sqref="H1378:O1403 R1378:S1403 H1400:H1410">
    <cfRule type="expression" dxfId="753" priority="946">
      <formula>$K1378="✔️✔️"</formula>
    </cfRule>
    <cfRule type="expression" dxfId="752" priority="947">
      <formula>$K1378="❌️"</formula>
    </cfRule>
    <cfRule type="expression" dxfId="751" priority="948">
      <formula>$K1378="✔️"</formula>
    </cfRule>
  </conditionalFormatting>
  <conditionalFormatting sqref="H1395:O1395 R1395:S1395">
    <cfRule type="expression" dxfId="750" priority="940">
      <formula>$K1395="✔️✔️"</formula>
    </cfRule>
    <cfRule type="expression" dxfId="749" priority="941">
      <formula>$K1395="❌️"</formula>
    </cfRule>
    <cfRule type="expression" dxfId="748" priority="942">
      <formula>$K1395="✔️"</formula>
    </cfRule>
    <cfRule type="expression" dxfId="747" priority="943">
      <formula>$K1395="✔️✔️"</formula>
    </cfRule>
    <cfRule type="expression" dxfId="746" priority="944">
      <formula>$K1395="❌️"</formula>
    </cfRule>
    <cfRule type="expression" dxfId="745" priority="945">
      <formula>$K1395="✔️"</formula>
    </cfRule>
  </conditionalFormatting>
  <conditionalFormatting sqref="H1404:O1410 R1404:S1448">
    <cfRule type="expression" dxfId="744" priority="937">
      <formula>$K1404="✔️✔️"</formula>
    </cfRule>
    <cfRule type="expression" dxfId="743" priority="938">
      <formula>$K1404="❌️"</formula>
    </cfRule>
    <cfRule type="expression" dxfId="742" priority="939">
      <formula>$K1404="✔️"</formula>
    </cfRule>
  </conditionalFormatting>
  <conditionalFormatting sqref="H1411:O1422 R1411:S1422 H1412:H1429">
    <cfRule type="expression" dxfId="741" priority="931">
      <formula>$K1411="✔️✔️"</formula>
    </cfRule>
    <cfRule type="expression" dxfId="740" priority="932">
      <formula>$K1411="❌️"</formula>
    </cfRule>
    <cfRule type="expression" dxfId="739" priority="933">
      <formula>$K1411="✔️"</formula>
    </cfRule>
  </conditionalFormatting>
  <conditionalFormatting sqref="H1415:O1415 R1415:S1415">
    <cfRule type="expression" dxfId="738" priority="925">
      <formula>$K1415="✔️✔️"</formula>
    </cfRule>
    <cfRule type="expression" dxfId="737" priority="926">
      <formula>$K1415="❌️"</formula>
    </cfRule>
    <cfRule type="expression" dxfId="736" priority="927">
      <formula>$K1415="✔️"</formula>
    </cfRule>
    <cfRule type="expression" dxfId="735" priority="928">
      <formula>$K1415="✔️✔️"</formula>
    </cfRule>
    <cfRule type="expression" dxfId="734" priority="929">
      <formula>$K1415="❌️"</formula>
    </cfRule>
    <cfRule type="expression" dxfId="733" priority="930">
      <formula>$K1415="✔️"</formula>
    </cfRule>
  </conditionalFormatting>
  <conditionalFormatting sqref="H1423:O1429 R1423:S1448">
    <cfRule type="expression" dxfId="732" priority="922">
      <formula>$K1423="✔️✔️"</formula>
    </cfRule>
    <cfRule type="expression" dxfId="731" priority="923">
      <formula>$K1423="❌️"</formula>
    </cfRule>
    <cfRule type="expression" dxfId="730" priority="924">
      <formula>$K1423="✔️"</formula>
    </cfRule>
  </conditionalFormatting>
  <conditionalFormatting sqref="H1430:O1441 R1430:S1441 H1431:H1448">
    <cfRule type="expression" dxfId="729" priority="910">
      <formula>$K1430="✔️✔️"</formula>
    </cfRule>
    <cfRule type="expression" dxfId="728" priority="911">
      <formula>$K1430="❌️"</formula>
    </cfRule>
    <cfRule type="expression" dxfId="727" priority="912">
      <formula>$K1430="✔️"</formula>
    </cfRule>
  </conditionalFormatting>
  <conditionalFormatting sqref="H1434:O1434 R1434:S1434">
    <cfRule type="expression" dxfId="726" priority="904">
      <formula>$K1434="✔️✔️"</formula>
    </cfRule>
    <cfRule type="expression" dxfId="725" priority="905">
      <formula>$K1434="❌️"</formula>
    </cfRule>
    <cfRule type="expression" dxfId="724" priority="906">
      <formula>$K1434="✔️"</formula>
    </cfRule>
    <cfRule type="expression" dxfId="723" priority="907">
      <formula>$K1434="✔️✔️"</formula>
    </cfRule>
    <cfRule type="expression" dxfId="722" priority="908">
      <formula>$K1434="❌️"</formula>
    </cfRule>
    <cfRule type="expression" dxfId="721" priority="909">
      <formula>$K1434="✔️"</formula>
    </cfRule>
  </conditionalFormatting>
  <conditionalFormatting sqref="H1442:O1449">
    <cfRule type="expression" dxfId="720" priority="862">
      <formula>$K1442="✔️✔️"</formula>
    </cfRule>
    <cfRule type="expression" dxfId="719" priority="863">
      <formula>$K1442="❌️"</formula>
    </cfRule>
    <cfRule type="expression" dxfId="718" priority="864">
      <formula>$K1442="✔️"</formula>
    </cfRule>
  </conditionalFormatting>
  <conditionalFormatting sqref="H1695:O1697">
    <cfRule type="expression" dxfId="717" priority="633">
      <formula>$K1695="✔️✔️"</formula>
    </cfRule>
    <cfRule type="expression" dxfId="716" priority="634">
      <formula>$K1695="❌️"</formula>
    </cfRule>
    <cfRule type="expression" dxfId="715" priority="635">
      <formula>$K1695="✔️"</formula>
    </cfRule>
  </conditionalFormatting>
  <conditionalFormatting sqref="H1715:O1737 I1738:K1739 M1738:O1740 L1738:L1741 H1738:H1751 I1740:J1740">
    <cfRule type="expression" dxfId="714" priority="581">
      <formula>$K1715="❌️"</formula>
    </cfRule>
    <cfRule type="expression" dxfId="713" priority="582">
      <formula>$K1715="✔️"</formula>
    </cfRule>
  </conditionalFormatting>
  <conditionalFormatting sqref="H1752:O1752 I1753:O1756 H1753:H1771">
    <cfRule type="expression" dxfId="712" priority="563">
      <formula>$K1752="❌️"</formula>
    </cfRule>
    <cfRule type="expression" dxfId="711" priority="564">
      <formula>$K1752="✔️"</formula>
    </cfRule>
  </conditionalFormatting>
  <conditionalFormatting sqref="H1772:O1772 I1773:O1776 H1773:H1791">
    <cfRule type="expression" dxfId="710" priority="554">
      <formula>$K1772="❌️"</formula>
    </cfRule>
    <cfRule type="expression" dxfId="709" priority="555">
      <formula>$K1772="✔️"</formula>
    </cfRule>
  </conditionalFormatting>
  <conditionalFormatting sqref="H1812:O1812 I1813:O1816 H1813:H1831">
    <cfRule type="expression" dxfId="708" priority="536">
      <formula>$K1812="❌️"</formula>
    </cfRule>
    <cfRule type="expression" dxfId="707" priority="537">
      <formula>$K1812="✔️"</formula>
    </cfRule>
  </conditionalFormatting>
  <conditionalFormatting sqref="H1832:O1832 I1833:O1836 H1833:H1851">
    <cfRule type="expression" dxfId="706" priority="527">
      <formula>$K1832="❌️"</formula>
    </cfRule>
    <cfRule type="expression" dxfId="705" priority="528">
      <formula>$K1832="✔️"</formula>
    </cfRule>
  </conditionalFormatting>
  <conditionalFormatting sqref="H1852:O1854 I1855:O1856 H1855:H1871">
    <cfRule type="expression" dxfId="704" priority="509">
      <formula>$K1852="❌️"</formula>
    </cfRule>
    <cfRule type="expression" dxfId="703" priority="510">
      <formula>$K1852="✔️"</formula>
    </cfRule>
  </conditionalFormatting>
  <conditionalFormatting sqref="H1872:O1872 I1873:O1876 H1873:H1891">
    <cfRule type="expression" dxfId="702" priority="491">
      <formula>$K1872="❌️"</formula>
    </cfRule>
    <cfRule type="expression" dxfId="701" priority="492">
      <formula>$K1872="✔️"</formula>
    </cfRule>
  </conditionalFormatting>
  <conditionalFormatting sqref="H1892:O1892 I1893:O1896 H1893:H1911">
    <cfRule type="expression" dxfId="700" priority="482">
      <formula>$K1892="❌️"</formula>
    </cfRule>
    <cfRule type="expression" dxfId="699" priority="483">
      <formula>$K1892="✔️"</formula>
    </cfRule>
  </conditionalFormatting>
  <conditionalFormatting sqref="H1912:O1912 I1913:O1916 H1913:H1931">
    <cfRule type="expression" dxfId="698" priority="473">
      <formula>$K1912="❌️"</formula>
    </cfRule>
    <cfRule type="expression" dxfId="697" priority="474">
      <formula>$K1912="✔️"</formula>
    </cfRule>
  </conditionalFormatting>
  <conditionalFormatting sqref="H1932:O1935">
    <cfRule type="expression" dxfId="696" priority="463">
      <formula>$K1932="✔️✔️"</formula>
    </cfRule>
    <cfRule type="expression" dxfId="695" priority="464">
      <formula>$K1932="❌️"</formula>
    </cfRule>
    <cfRule type="expression" dxfId="694" priority="465">
      <formula>$K1932="✔️"</formula>
    </cfRule>
  </conditionalFormatting>
  <conditionalFormatting sqref="H2026:O2042 R2026:R2042">
    <cfRule type="expression" dxfId="693" priority="446">
      <formula>$K2026="❌️"</formula>
    </cfRule>
    <cfRule type="expression" dxfId="692" priority="447">
      <formula>$K2026="✔️"</formula>
    </cfRule>
  </conditionalFormatting>
  <conditionalFormatting sqref="H2043:O2045">
    <cfRule type="expression" dxfId="691" priority="294">
      <formula>$K2043="✔️✔️"</formula>
    </cfRule>
    <cfRule type="expression" dxfId="690" priority="295">
      <formula>$K2043="❌️"</formula>
    </cfRule>
    <cfRule type="expression" dxfId="689" priority="296">
      <formula>$K2043="✔️"</formula>
    </cfRule>
  </conditionalFormatting>
  <conditionalFormatting sqref="H1550:Q1551 I1552:Q1554 H1552:H1569">
    <cfRule type="expression" dxfId="688" priority="815">
      <formula>$K1550="❌️"</formula>
    </cfRule>
    <cfRule type="expression" dxfId="687" priority="816">
      <formula>$K1550="✔️"</formula>
    </cfRule>
  </conditionalFormatting>
  <conditionalFormatting sqref="H1570:Q1571 I1572:K1572 N1572:Q1572 H1572:H1589 I1573:Q1573 I1574:J1574 N1574:Q1574">
    <cfRule type="expression" dxfId="686" priority="803">
      <formula>$K1570="❌️"</formula>
    </cfRule>
    <cfRule type="expression" dxfId="685" priority="804">
      <formula>$K1570="✔️"</formula>
    </cfRule>
  </conditionalFormatting>
  <conditionalFormatting sqref="H1590:Q1590 I1591:Q1594 H1591:H1609">
    <cfRule type="expression" dxfId="684" priority="794">
      <formula>$K1590="❌️"</formula>
    </cfRule>
    <cfRule type="expression" dxfId="683" priority="795">
      <formula>$K1590="✔️"</formula>
    </cfRule>
  </conditionalFormatting>
  <conditionalFormatting sqref="H1610:Q1611 I1612:Q1614 H1612:H1629">
    <cfRule type="expression" dxfId="682" priority="785">
      <formula>$K1610="❌️"</formula>
    </cfRule>
    <cfRule type="expression" dxfId="681" priority="786">
      <formula>$K1610="✔️"</formula>
    </cfRule>
  </conditionalFormatting>
  <conditionalFormatting sqref="H1630:Q1631 I1632:K1632 N1632:Q1632 H1632:H1645 I1633:Q1633 I1634:J1634 N1634:Q1634">
    <cfRule type="expression" dxfId="680" priority="737">
      <formula>$K1630="❌️"</formula>
    </cfRule>
    <cfRule type="expression" dxfId="679" priority="738">
      <formula>$K1630="✔️"</formula>
    </cfRule>
  </conditionalFormatting>
  <conditionalFormatting sqref="H1646:Q1647 I1648:K1648 N1648:Q1648 H1648:H1661 I1649:Q1649 I1650:J1650 N1650:Q1650">
    <cfRule type="expression" dxfId="678" priority="695">
      <formula>$K1646="❌️"</formula>
    </cfRule>
    <cfRule type="expression" dxfId="677" priority="696">
      <formula>$K1646="✔️"</formula>
    </cfRule>
  </conditionalFormatting>
  <conditionalFormatting sqref="H1662:Q1663 I1664:K1664 N1664:Q1664 H1664:H1677 I1665:Q1665 I1666:J1666 N1666:Q1666">
    <cfRule type="expression" dxfId="676" priority="659">
      <formula>$K1662="❌️"</formula>
    </cfRule>
    <cfRule type="expression" dxfId="675" priority="660">
      <formula>$K1662="✔️"</formula>
    </cfRule>
  </conditionalFormatting>
  <conditionalFormatting sqref="H1698:Q1698 I1699:Q1699 I1700:K1700 N1700:Q1700 I1701:Q1701 I1702:J1702 N1702:Q1702">
    <cfRule type="expression" dxfId="674" priority="629">
      <formula>$K1698="❌️"</formula>
    </cfRule>
    <cfRule type="expression" dxfId="673" priority="630">
      <formula>$K1698="✔️"</formula>
    </cfRule>
  </conditionalFormatting>
  <conditionalFormatting sqref="H1974:Q1975 I1976:Q1978 H1976:H1993">
    <cfRule type="expression" dxfId="672" priority="413">
      <formula>$K1974="❌️"</formula>
    </cfRule>
    <cfRule type="expression" dxfId="671" priority="414">
      <formula>$K1974="✔️"</formula>
    </cfRule>
  </conditionalFormatting>
  <conditionalFormatting sqref="H1994:Q1995 I1996:K1996 N1996:Q1996 H1996:H2009 I1997:Q1997 I1998:J1998 N1998:Q1998">
    <cfRule type="expression" dxfId="670" priority="368">
      <formula>$K1994="❌️"</formula>
    </cfRule>
    <cfRule type="expression" dxfId="669" priority="369">
      <formula>$K1994="✔️"</formula>
    </cfRule>
  </conditionalFormatting>
  <conditionalFormatting sqref="H2010:Q2011 I2012:K2012 N2012:Q2012 H2012:H2025 I2013:Q2013 I2014:J2014 N2014:Q2014">
    <cfRule type="expression" dxfId="668" priority="314">
      <formula>$K2010="❌️"</formula>
    </cfRule>
    <cfRule type="expression" dxfId="667" priority="315">
      <formula>$K2010="✔️"</formula>
    </cfRule>
  </conditionalFormatting>
  <conditionalFormatting sqref="H2046:Q2046 I2047:Q2047 I2048:K2048 N2048:Q2048 I2049:Q2049 I2050:J2050 N2050:Q2050">
    <cfRule type="expression" dxfId="666" priority="290">
      <formula>$K2046="❌️"</formula>
    </cfRule>
    <cfRule type="expression" dxfId="665" priority="291">
      <formula>$K2046="✔️"</formula>
    </cfRule>
  </conditionalFormatting>
  <conditionalFormatting sqref="H2083:Q2084 I2085:Q2087">
    <cfRule type="expression" dxfId="664" priority="239">
      <formula>$K2083="❌️"</formula>
    </cfRule>
    <cfRule type="expression" dxfId="663" priority="240">
      <formula>$K2083="✔️"</formula>
    </cfRule>
  </conditionalFormatting>
  <conditionalFormatting sqref="H2103:Q2107 I2108:Q2108 H2108:H2123">
    <cfRule type="expression" dxfId="662" priority="230">
      <formula>$K2103="❌️"</formula>
    </cfRule>
    <cfRule type="expression" dxfId="661" priority="231">
      <formula>$K2103="✔️"</formula>
    </cfRule>
  </conditionalFormatting>
  <conditionalFormatting sqref="H2124:Q2125 I2126:Q2128 H2126:H2143">
    <cfRule type="expression" dxfId="660" priority="215">
      <formula>$K2124="❌️"</formula>
    </cfRule>
    <cfRule type="expression" dxfId="659" priority="216">
      <formula>$K2124="✔️"</formula>
    </cfRule>
  </conditionalFormatting>
  <conditionalFormatting sqref="H2144:Q2153 H2154:K2154 N2154:Q2154">
    <cfRule type="expression" dxfId="658" priority="205">
      <formula>$K2144="✔️✔️"</formula>
    </cfRule>
    <cfRule type="expression" dxfId="657" priority="206">
      <formula>$K2144="❌️"</formula>
    </cfRule>
    <cfRule type="expression" dxfId="656" priority="207">
      <formula>$K2144="✔️"</formula>
    </cfRule>
  </conditionalFormatting>
  <conditionalFormatting sqref="H2155:Q2166 I2167:Q2169 H2167:H2184">
    <cfRule type="expression" dxfId="655" priority="200">
      <formula>$K2155="❌️"</formula>
    </cfRule>
    <cfRule type="expression" dxfId="654" priority="201">
      <formula>$K2155="✔️"</formula>
    </cfRule>
  </conditionalFormatting>
  <conditionalFormatting sqref="H2185:Q2186 I2187:Q2189">
    <cfRule type="expression" dxfId="653" priority="188">
      <formula>$K2185="❌️"</formula>
    </cfRule>
    <cfRule type="expression" dxfId="652" priority="189">
      <formula>$K2185="✔️"</formula>
    </cfRule>
  </conditionalFormatting>
  <conditionalFormatting sqref="H2225:Q2251">
    <cfRule type="expression" dxfId="651" priority="139">
      <formula>$K2225="✔️✔️"</formula>
    </cfRule>
    <cfRule type="expression" dxfId="650" priority="140">
      <formula>$K2225="❌️"</formula>
    </cfRule>
    <cfRule type="expression" dxfId="649" priority="141">
      <formula>$K2225="✔️"</formula>
    </cfRule>
  </conditionalFormatting>
  <conditionalFormatting sqref="H2299:Q2319">
    <cfRule type="expression" dxfId="648" priority="100">
      <formula>$K2299="✔️✔️"</formula>
    </cfRule>
    <cfRule type="expression" dxfId="647" priority="101">
      <formula>$K2299="❌️"</formula>
    </cfRule>
    <cfRule type="expression" dxfId="646" priority="102">
      <formula>$K2299="✔️"</formula>
    </cfRule>
  </conditionalFormatting>
  <conditionalFormatting sqref="H2519:Q2527">
    <cfRule type="expression" dxfId="645" priority="4">
      <formula>$K2519="✔️✔️"</formula>
    </cfRule>
    <cfRule type="expression" dxfId="644" priority="5">
      <formula>$K2519="❌️"</formula>
    </cfRule>
    <cfRule type="expression" dxfId="643" priority="6">
      <formula>$K2519="✔️"</formula>
    </cfRule>
  </conditionalFormatting>
  <conditionalFormatting sqref="H2026:R2042">
    <cfRule type="expression" dxfId="642" priority="445">
      <formula>$K2026="✔️✔️"</formula>
    </cfRule>
  </conditionalFormatting>
  <conditionalFormatting sqref="H2063:R2064 I2065:R2066 H2065:H2082 I2067:Q2067">
    <cfRule type="expression" dxfId="641" priority="248">
      <formula>$K2063="❌️"</formula>
    </cfRule>
    <cfRule type="expression" dxfId="640" priority="249">
      <formula>$K2063="✔️"</formula>
    </cfRule>
  </conditionalFormatting>
  <conditionalFormatting sqref="Q465:Q1522 H1450:H1457 I1453:K1453 N1453:O1453 N1457:O1458 P1715:Q1935 H2:O464 Q2:S464 P2:P1522">
    <cfRule type="expression" dxfId="639" priority="900">
      <formula>$K2="✔️"</formula>
    </cfRule>
  </conditionalFormatting>
  <conditionalFormatting sqref="H1523:S1549">
    <cfRule type="expression" dxfId="638" priority="817">
      <formula>$K1523="✔️✔️"</formula>
    </cfRule>
    <cfRule type="expression" dxfId="637" priority="818">
      <formula>$K1523="❌️"</formula>
    </cfRule>
    <cfRule type="expression" dxfId="636" priority="819">
      <formula>$K1523="✔️"</formula>
    </cfRule>
  </conditionalFormatting>
  <conditionalFormatting sqref="H1947:S1973">
    <cfRule type="expression" dxfId="635" priority="442">
      <formula>$K1947="✔️✔️"</formula>
    </cfRule>
    <cfRule type="expression" dxfId="634" priority="443">
      <formula>$K1947="❌️"</formula>
    </cfRule>
    <cfRule type="expression" dxfId="633" priority="444">
      <formula>$K1947="✔️"</formula>
    </cfRule>
  </conditionalFormatting>
  <conditionalFormatting sqref="H2272:S2298">
    <cfRule type="expression" dxfId="632" priority="103">
      <formula>$K2272="✔️✔️"</formula>
    </cfRule>
    <cfRule type="expression" dxfId="631" priority="104">
      <formula>$K2272="❌️"</formula>
    </cfRule>
    <cfRule type="expression" dxfId="630" priority="105">
      <formula>$K2272="✔️"</formula>
    </cfRule>
  </conditionalFormatting>
  <conditionalFormatting sqref="H2528:S2795">
    <cfRule type="expression" dxfId="629" priority="7">
      <formula>$K2528="✔️✔️"</formula>
    </cfRule>
    <cfRule type="expression" dxfId="628" priority="8">
      <formula>$K2528="❌️"</formula>
    </cfRule>
    <cfRule type="expression" dxfId="627" priority="9">
      <formula>$K2528="✔️"</formula>
    </cfRule>
  </conditionalFormatting>
  <conditionalFormatting sqref="I1574:J1574 N1574:Q1574 H1570:Q1571 I1572:K1572 N1572:Q1572 H1572:H1589 I1573:Q1573">
    <cfRule type="expression" dxfId="626" priority="802">
      <formula>$K1570="✔️✔️"</formula>
    </cfRule>
  </conditionalFormatting>
  <conditionalFormatting sqref="I1574:J1574 N1574:Q1574 I1575:Q1578 I1579:J1579 N1579:Q1579 I1580:Q1582 I1583:J1583 N1583:Q1584 I1584:K1584 I1585:Q1589">
    <cfRule type="expression" dxfId="625" priority="796">
      <formula>$K1574="✔️✔️"</formula>
    </cfRule>
    <cfRule type="expression" dxfId="624" priority="797">
      <formula>$K1574="❌️"</formula>
    </cfRule>
    <cfRule type="expression" dxfId="623" priority="798">
      <formula>$K1574="✔️"</formula>
    </cfRule>
  </conditionalFormatting>
  <conditionalFormatting sqref="I1574:J1574 N1574:Q1574">
    <cfRule type="expression" dxfId="622" priority="799">
      <formula>$K1574="✔️✔️"</formula>
    </cfRule>
    <cfRule type="expression" dxfId="621" priority="800">
      <formula>$K1574="❌️"</formula>
    </cfRule>
    <cfRule type="expression" dxfId="620" priority="801">
      <formula>$K1574="✔️"</formula>
    </cfRule>
  </conditionalFormatting>
  <conditionalFormatting sqref="I1634:J1634 N1634:Q1634 H1630:Q1631 I1632:K1632 N1632:Q1632 H1632:H1645 I1633:Q1633">
    <cfRule type="expression" dxfId="619" priority="736">
      <formula>$K1630="✔️✔️"</formula>
    </cfRule>
  </conditionalFormatting>
  <conditionalFormatting sqref="I1634:J1634 N1634:Q1634 I1635:Q1638 I1639:J1639 N1639:Q1640 I1640:K1640 I1641:Q1645">
    <cfRule type="expression" dxfId="618" priority="730">
      <formula>$K1634="✔️✔️"</formula>
    </cfRule>
    <cfRule type="expression" dxfId="617" priority="731">
      <formula>$K1634="❌️"</formula>
    </cfRule>
    <cfRule type="expression" dxfId="616" priority="732">
      <formula>$K1634="✔️"</formula>
    </cfRule>
  </conditionalFormatting>
  <conditionalFormatting sqref="I1634:J1634 N1634:Q1634">
    <cfRule type="expression" dxfId="615" priority="733">
      <formula>$K1634="✔️✔️"</formula>
    </cfRule>
    <cfRule type="expression" dxfId="614" priority="734">
      <formula>$K1634="❌️"</formula>
    </cfRule>
    <cfRule type="expression" dxfId="613" priority="735">
      <formula>$K1634="✔️"</formula>
    </cfRule>
  </conditionalFormatting>
  <conditionalFormatting sqref="I1650:J1650 N1650:Q1650 H1646:Q1647 I1648:K1648 N1648:Q1648 H1648:H1661 I1649:Q1649">
    <cfRule type="expression" dxfId="612" priority="694">
      <formula>$K1646="✔️✔️"</formula>
    </cfRule>
  </conditionalFormatting>
  <conditionalFormatting sqref="I1650:J1650 N1650:Q1650 I1651:Q1654 I1655:J1655 N1655:Q1656 I1656:K1656 I1657:Q1661">
    <cfRule type="expression" dxfId="611" priority="688">
      <formula>$K1650="✔️✔️"</formula>
    </cfRule>
    <cfRule type="expression" dxfId="610" priority="689">
      <formula>$K1650="❌️"</formula>
    </cfRule>
    <cfRule type="expression" dxfId="609" priority="690">
      <formula>$K1650="✔️"</formula>
    </cfRule>
  </conditionalFormatting>
  <conditionalFormatting sqref="I1650:J1650 N1650:Q1650">
    <cfRule type="expression" dxfId="608" priority="691">
      <formula>$K1650="✔️✔️"</formula>
    </cfRule>
    <cfRule type="expression" dxfId="607" priority="692">
      <formula>$K1650="❌️"</formula>
    </cfRule>
    <cfRule type="expression" dxfId="606" priority="693">
      <formula>$K1650="✔️"</formula>
    </cfRule>
  </conditionalFormatting>
  <conditionalFormatting sqref="I1666:J1666 N1666:Q1666 H1662:Q1663 I1664:K1664 N1664:Q1664 H1664:H1677 I1665:Q1665">
    <cfRule type="expression" dxfId="605" priority="658">
      <formula>$K1662="✔️✔️"</formula>
    </cfRule>
  </conditionalFormatting>
  <conditionalFormatting sqref="I1666:J1666 N1666:Q1666 I1667:Q1670 I1671:J1671 N1671:Q1672 I1672:K1672 I1673:Q1677">
    <cfRule type="expression" dxfId="604" priority="652">
      <formula>$K1666="✔️✔️"</formula>
    </cfRule>
    <cfRule type="expression" dxfId="603" priority="653">
      <formula>$K1666="❌️"</formula>
    </cfRule>
    <cfRule type="expression" dxfId="602" priority="654">
      <formula>$K1666="✔️"</formula>
    </cfRule>
  </conditionalFormatting>
  <conditionalFormatting sqref="I1666:J1666 N1666:Q1666">
    <cfRule type="expression" dxfId="601" priority="655">
      <formula>$K1666="✔️✔️"</formula>
    </cfRule>
    <cfRule type="expression" dxfId="600" priority="656">
      <formula>$K1666="❌️"</formula>
    </cfRule>
    <cfRule type="expression" dxfId="599" priority="657">
      <formula>$K1666="✔️"</formula>
    </cfRule>
  </conditionalFormatting>
  <conditionalFormatting sqref="I1702:J1702 N1702:Q1702 H1698:Q1698 I1699:Q1699 I1700:K1700 N1700:Q1700 I1701:Q1701">
    <cfRule type="expression" dxfId="598" priority="628">
      <formula>$K1698="✔️✔️"</formula>
    </cfRule>
  </conditionalFormatting>
  <conditionalFormatting sqref="I1702:J1702 N1702:Q1702 I1703:Q1706 I1707:J1707 N1707:Q1707 I1709:K1709 I1710:Q1714">
    <cfRule type="expression" dxfId="597" priority="622">
      <formula>$K1702="✔️✔️"</formula>
    </cfRule>
    <cfRule type="expression" dxfId="596" priority="623">
      <formula>$K1702="❌️"</formula>
    </cfRule>
    <cfRule type="expression" dxfId="595" priority="624">
      <formula>$K1702="✔️"</formula>
    </cfRule>
  </conditionalFormatting>
  <conditionalFormatting sqref="I1702:J1702 N1702:Q1702">
    <cfRule type="expression" dxfId="594" priority="625">
      <formula>$K1702="✔️✔️"</formula>
    </cfRule>
    <cfRule type="expression" dxfId="593" priority="626">
      <formula>$K1702="❌️"</formula>
    </cfRule>
    <cfRule type="expression" dxfId="592" priority="627">
      <formula>$K1702="✔️"</formula>
    </cfRule>
  </conditionalFormatting>
  <conditionalFormatting sqref="I1740:J1740 N1740:O1740 I1741:K1741 M1741:O1741 I1742:O1744 I1745:J1745 N1745:O1746 I1746:K1746 I1747:O1751">
    <cfRule type="expression" dxfId="591" priority="574">
      <formula>$K1740="✔️✔️"</formula>
    </cfRule>
    <cfRule type="expression" dxfId="590" priority="575">
      <formula>$K1740="❌️"</formula>
    </cfRule>
    <cfRule type="expression" dxfId="589" priority="576">
      <formula>$K1740="✔️"</formula>
    </cfRule>
  </conditionalFormatting>
  <conditionalFormatting sqref="I1740:J1740 N1740:O1740">
    <cfRule type="expression" dxfId="588" priority="577">
      <formula>$K1740="✔️✔️"</formula>
    </cfRule>
    <cfRule type="expression" dxfId="587" priority="578">
      <formula>$K1740="❌️"</formula>
    </cfRule>
    <cfRule type="expression" dxfId="586" priority="579">
      <formula>$K1740="✔️"</formula>
    </cfRule>
  </conditionalFormatting>
  <conditionalFormatting sqref="I1796:J1796 L1796:O1796">
    <cfRule type="expression" dxfId="585" priority="541">
      <formula>$K1796="✔️✔️"</formula>
    </cfRule>
    <cfRule type="expression" dxfId="584" priority="542">
      <formula>$K1796="❌️"</formula>
    </cfRule>
    <cfRule type="expression" dxfId="583" priority="543">
      <formula>$K1796="✔️"</formula>
    </cfRule>
  </conditionalFormatting>
  <conditionalFormatting sqref="I1796:J1811 L1796:O1811">
    <cfRule type="expression" dxfId="582" priority="538">
      <formula>$K1796="✔️✔️"</formula>
    </cfRule>
    <cfRule type="expression" dxfId="581" priority="539">
      <formula>$K1796="❌️"</formula>
    </cfRule>
    <cfRule type="expression" dxfId="580" priority="540">
      <formula>$K1796="✔️"</formula>
    </cfRule>
  </conditionalFormatting>
  <conditionalFormatting sqref="I1998:J1998 N1998:Q1998 H1994:Q1995 I1996:K1996 N1996:Q1996 H1996:H2009 I1997:Q1997">
    <cfRule type="expression" dxfId="579" priority="367">
      <formula>$K1994="✔️✔️"</formula>
    </cfRule>
  </conditionalFormatting>
  <conditionalFormatting sqref="I1998:J1998 N1998:Q1998 I1999:Q2002 I2003:J2003 N2003:Q2004 I2004:K2004 I2005:Q2009">
    <cfRule type="expression" dxfId="578" priority="361">
      <formula>$K1998="✔️✔️"</formula>
    </cfRule>
    <cfRule type="expression" dxfId="577" priority="362">
      <formula>$K1998="❌️"</formula>
    </cfRule>
    <cfRule type="expression" dxfId="576" priority="363">
      <formula>$K1998="✔️"</formula>
    </cfRule>
  </conditionalFormatting>
  <conditionalFormatting sqref="I1998:J1998 N1998:Q1998">
    <cfRule type="expression" dxfId="575" priority="364">
      <formula>$K1998="✔️✔️"</formula>
    </cfRule>
    <cfRule type="expression" dxfId="574" priority="365">
      <formula>$K1998="❌️"</formula>
    </cfRule>
    <cfRule type="expression" dxfId="573" priority="366">
      <formula>$K1998="✔️"</formula>
    </cfRule>
  </conditionalFormatting>
  <conditionalFormatting sqref="I2014:J2014 N2014:Q2014 H2010:Q2011 I2012:K2012 N2012:Q2012 H2012:H2025 I2013:Q2013">
    <cfRule type="expression" dxfId="572" priority="313">
      <formula>$K2010="✔️✔️"</formula>
    </cfRule>
  </conditionalFormatting>
  <conditionalFormatting sqref="I2014:J2014 N2014:Q2014 I2015:Q2018 I2019:J2019 N2019:Q2020 I2020:K2020 I2021:Q2025">
    <cfRule type="expression" dxfId="571" priority="307">
      <formula>$K2014="✔️✔️"</formula>
    </cfRule>
    <cfRule type="expression" dxfId="570" priority="308">
      <formula>$K2014="❌️"</formula>
    </cfRule>
    <cfRule type="expression" dxfId="569" priority="309">
      <formula>$K2014="✔️"</formula>
    </cfRule>
  </conditionalFormatting>
  <conditionalFormatting sqref="I2014:J2014 N2014:Q2014">
    <cfRule type="expression" dxfId="568" priority="310">
      <formula>$K2014="✔️✔️"</formula>
    </cfRule>
    <cfRule type="expression" dxfId="567" priority="311">
      <formula>$K2014="❌️"</formula>
    </cfRule>
    <cfRule type="expression" dxfId="566" priority="312">
      <formula>$K2014="✔️"</formula>
    </cfRule>
  </conditionalFormatting>
  <conditionalFormatting sqref="I2050:J2050 N2050:Q2050 H2046:Q2046 I2047:Q2047 I2048:K2048 N2048:Q2048 I2049:Q2049">
    <cfRule type="expression" dxfId="565" priority="289">
      <formula>$K2046="✔️✔️"</formula>
    </cfRule>
  </conditionalFormatting>
  <conditionalFormatting sqref="I2050:J2050 N2050:Q2050 I2051:Q2054 I2055:J2055 N2055:Q2055 I2057:K2057 I2058:Q2062">
    <cfRule type="expression" dxfId="564" priority="283">
      <formula>$K2050="✔️✔️"</formula>
    </cfRule>
    <cfRule type="expression" dxfId="563" priority="284">
      <formula>$K2050="❌️"</formula>
    </cfRule>
    <cfRule type="expression" dxfId="562" priority="285">
      <formula>$K2050="✔️"</formula>
    </cfRule>
  </conditionalFormatting>
  <conditionalFormatting sqref="I2050:J2050 N2050:Q2050">
    <cfRule type="expression" dxfId="561" priority="286">
      <formula>$K2050="✔️✔️"</formula>
    </cfRule>
    <cfRule type="expression" dxfId="560" priority="287">
      <formula>$K2050="❌️"</formula>
    </cfRule>
    <cfRule type="expression" dxfId="559" priority="288">
      <formula>$K2050="✔️"</formula>
    </cfRule>
  </conditionalFormatting>
  <conditionalFormatting sqref="I2253:J2256 N2253:Q2256 H2252:J2252 N2252:S2252 H2253:H2271 R2253:S2271">
    <cfRule type="expression" dxfId="558" priority="130">
      <formula>$K2252="✔️✔️"</formula>
    </cfRule>
  </conditionalFormatting>
  <conditionalFormatting sqref="I2256:J2256 N2256:Q2256">
    <cfRule type="expression" dxfId="557" priority="127">
      <formula>$K2256="✔️✔️"</formula>
    </cfRule>
    <cfRule type="expression" dxfId="556" priority="128">
      <formula>$K2256="❌️"</formula>
    </cfRule>
    <cfRule type="expression" dxfId="555" priority="129">
      <formula>$K2256="✔️"</formula>
    </cfRule>
  </conditionalFormatting>
  <conditionalFormatting sqref="I2256:J2267 N2256:Q2267 I2268:Q2271">
    <cfRule type="expression" dxfId="554" priority="124">
      <formula>$K2256="✔️✔️"</formula>
    </cfRule>
    <cfRule type="expression" dxfId="553" priority="125">
      <formula>$K2256="❌️"</formula>
    </cfRule>
    <cfRule type="expression" dxfId="552" priority="126">
      <formula>$K2256="✔️"</formula>
    </cfRule>
  </conditionalFormatting>
  <conditionalFormatting sqref="I1453:K1453 N1453:O1453 H1450:H1457 N1457:O1458">
    <cfRule type="expression" dxfId="551" priority="898">
      <formula>$K1450="✔️✔️"</formula>
    </cfRule>
  </conditionalFormatting>
  <conditionalFormatting sqref="I1453:K1453 N1453:O1453">
    <cfRule type="expression" dxfId="550" priority="895">
      <formula>$K1453="✔️✔️"</formula>
    </cfRule>
    <cfRule type="expression" dxfId="549" priority="896">
      <formula>$K1453="❌️"</formula>
    </cfRule>
    <cfRule type="expression" dxfId="548" priority="897">
      <formula>$K1453="✔️"</formula>
    </cfRule>
  </conditionalFormatting>
  <conditionalFormatting sqref="I1457:M1457">
    <cfRule type="expression" dxfId="547" priority="856">
      <formula>$K1457="✔️✔️"</formula>
    </cfRule>
    <cfRule type="expression" dxfId="546" priority="857">
      <formula>$K1457="❌️"</formula>
    </cfRule>
    <cfRule type="expression" dxfId="545" priority="858">
      <formula>$K1457="✔️"</formula>
    </cfRule>
  </conditionalFormatting>
  <conditionalFormatting sqref="I1450:O1456">
    <cfRule type="expression" dxfId="544" priority="859">
      <formula>$K1450="✔️✔️"</formula>
    </cfRule>
    <cfRule type="expression" dxfId="543" priority="860">
      <formula>$K1450="❌️"</formula>
    </cfRule>
    <cfRule type="expression" dxfId="542" priority="861">
      <formula>$K1450="✔️"</formula>
    </cfRule>
  </conditionalFormatting>
  <conditionalFormatting sqref="I1468:O1522 R1496:S1522">
    <cfRule type="expression" dxfId="541" priority="829">
      <formula>$K1468="✔️✔️"</formula>
    </cfRule>
    <cfRule type="expression" dxfId="540" priority="830">
      <formula>$K1468="❌️"</formula>
    </cfRule>
    <cfRule type="expression" dxfId="539" priority="831">
      <formula>$K1468="✔️"</formula>
    </cfRule>
  </conditionalFormatting>
  <conditionalFormatting sqref="I1753:O1756 H1752:O1752 H1753:H1771">
    <cfRule type="expression" dxfId="538" priority="562">
      <formula>$K1752="✔️✔️"</formula>
    </cfRule>
  </conditionalFormatting>
  <conditionalFormatting sqref="I1756:O1756">
    <cfRule type="expression" dxfId="537" priority="559">
      <formula>$K1756="✔️✔️"</formula>
    </cfRule>
    <cfRule type="expression" dxfId="536" priority="560">
      <formula>$K1756="❌️"</formula>
    </cfRule>
    <cfRule type="expression" dxfId="535" priority="561">
      <formula>$K1756="✔️"</formula>
    </cfRule>
  </conditionalFormatting>
  <conditionalFormatting sqref="I1756:O1771">
    <cfRule type="expression" dxfId="534" priority="556">
      <formula>$K1756="✔️✔️"</formula>
    </cfRule>
    <cfRule type="expression" dxfId="533" priority="557">
      <formula>$K1756="❌️"</formula>
    </cfRule>
    <cfRule type="expression" dxfId="532" priority="558">
      <formula>$K1756="✔️"</formula>
    </cfRule>
  </conditionalFormatting>
  <conditionalFormatting sqref="I1773:O1776 H1772:O1772 H1773:H1791">
    <cfRule type="expression" dxfId="531" priority="553">
      <formula>$K1772="✔️✔️"</formula>
    </cfRule>
  </conditionalFormatting>
  <conditionalFormatting sqref="I1776:O1776">
    <cfRule type="expression" dxfId="530" priority="550">
      <formula>$K1776="✔️✔️"</formula>
    </cfRule>
    <cfRule type="expression" dxfId="529" priority="551">
      <formula>$K1776="❌️"</formula>
    </cfRule>
    <cfRule type="expression" dxfId="528" priority="552">
      <formula>$K1776="✔️"</formula>
    </cfRule>
  </conditionalFormatting>
  <conditionalFormatting sqref="I1776:O1791">
    <cfRule type="expression" dxfId="527" priority="547">
      <formula>$K1776="✔️✔️"</formula>
    </cfRule>
    <cfRule type="expression" dxfId="526" priority="548">
      <formula>$K1776="❌️"</formula>
    </cfRule>
    <cfRule type="expression" dxfId="525" priority="549">
      <formula>$K1776="✔️"</formula>
    </cfRule>
  </conditionalFormatting>
  <conditionalFormatting sqref="I1813:O1816 H1812:O1812 H1813:H1831">
    <cfRule type="expression" dxfId="524" priority="535">
      <formula>$K1812="✔️✔️"</formula>
    </cfRule>
  </conditionalFormatting>
  <conditionalFormatting sqref="I1816:O1816">
    <cfRule type="expression" dxfId="523" priority="532">
      <formula>$K1816="✔️✔️"</formula>
    </cfRule>
    <cfRule type="expression" dxfId="522" priority="533">
      <formula>$K1816="❌️"</formula>
    </cfRule>
    <cfRule type="expression" dxfId="521" priority="534">
      <formula>$K1816="✔️"</formula>
    </cfRule>
  </conditionalFormatting>
  <conditionalFormatting sqref="I1816:O1831">
    <cfRule type="expression" dxfId="520" priority="529">
      <formula>$K1816="✔️✔️"</formula>
    </cfRule>
    <cfRule type="expression" dxfId="519" priority="530">
      <formula>$K1816="❌️"</formula>
    </cfRule>
    <cfRule type="expression" dxfId="518" priority="531">
      <formula>$K1816="✔️"</formula>
    </cfRule>
  </conditionalFormatting>
  <conditionalFormatting sqref="I1833:O1836 H1832:O1832 H1833:H1851">
    <cfRule type="expression" dxfId="517" priority="526">
      <formula>$K1832="✔️✔️"</formula>
    </cfRule>
  </conditionalFormatting>
  <conditionalFormatting sqref="I1836:O1836">
    <cfRule type="expression" dxfId="516" priority="523">
      <formula>$K1836="✔️✔️"</formula>
    </cfRule>
    <cfRule type="expression" dxfId="515" priority="524">
      <formula>$K1836="❌️"</formula>
    </cfRule>
    <cfRule type="expression" dxfId="514" priority="525">
      <formula>$K1836="✔️"</formula>
    </cfRule>
  </conditionalFormatting>
  <conditionalFormatting sqref="I1836:O1851">
    <cfRule type="expression" dxfId="513" priority="520">
      <formula>$K1836="✔️✔️"</formula>
    </cfRule>
    <cfRule type="expression" dxfId="512" priority="521">
      <formula>$K1836="❌️"</formula>
    </cfRule>
    <cfRule type="expression" dxfId="511" priority="522">
      <formula>$K1836="✔️"</formula>
    </cfRule>
  </conditionalFormatting>
  <conditionalFormatting sqref="I1855:O1856 H1852:O1854 H1855:H1871">
    <cfRule type="expression" dxfId="510" priority="508">
      <formula>$K1852="✔️✔️"</formula>
    </cfRule>
  </conditionalFormatting>
  <conditionalFormatting sqref="I1856:O1856">
    <cfRule type="expression" dxfId="509" priority="505">
      <formula>$K1856="✔️✔️"</formula>
    </cfRule>
    <cfRule type="expression" dxfId="508" priority="506">
      <formula>$K1856="❌️"</formula>
    </cfRule>
    <cfRule type="expression" dxfId="507" priority="507">
      <formula>$K1856="✔️"</formula>
    </cfRule>
  </conditionalFormatting>
  <conditionalFormatting sqref="I1856:O1871">
    <cfRule type="expression" dxfId="506" priority="502">
      <formula>$K1856="✔️✔️"</formula>
    </cfRule>
    <cfRule type="expression" dxfId="505" priority="503">
      <formula>$K1856="❌️"</formula>
    </cfRule>
    <cfRule type="expression" dxfId="504" priority="504">
      <formula>$K1856="✔️"</formula>
    </cfRule>
  </conditionalFormatting>
  <conditionalFormatting sqref="I1873:O1876 H1872:O1872 H1873:H1891">
    <cfRule type="expression" dxfId="503" priority="490">
      <formula>$K1872="✔️✔️"</formula>
    </cfRule>
  </conditionalFormatting>
  <conditionalFormatting sqref="I1876:O1876">
    <cfRule type="expression" dxfId="502" priority="487">
      <formula>$K1876="✔️✔️"</formula>
    </cfRule>
    <cfRule type="expression" dxfId="501" priority="488">
      <formula>$K1876="❌️"</formula>
    </cfRule>
    <cfRule type="expression" dxfId="500" priority="489">
      <formula>$K1876="✔️"</formula>
    </cfRule>
  </conditionalFormatting>
  <conditionalFormatting sqref="I1876:O1891">
    <cfRule type="expression" dxfId="499" priority="484">
      <formula>$K1876="✔️✔️"</formula>
    </cfRule>
    <cfRule type="expression" dxfId="498" priority="485">
      <formula>$K1876="❌️"</formula>
    </cfRule>
    <cfRule type="expression" dxfId="497" priority="486">
      <formula>$K1876="✔️"</formula>
    </cfRule>
  </conditionalFormatting>
  <conditionalFormatting sqref="I1893:O1896 H1892:O1892 H1893:H1911">
    <cfRule type="expression" dxfId="496" priority="481">
      <formula>$K1892="✔️✔️"</formula>
    </cfRule>
  </conditionalFormatting>
  <conditionalFormatting sqref="I1896:O1896">
    <cfRule type="expression" dxfId="495" priority="478">
      <formula>$K1896="✔️✔️"</formula>
    </cfRule>
    <cfRule type="expression" dxfId="494" priority="479">
      <formula>$K1896="❌️"</formula>
    </cfRule>
    <cfRule type="expression" dxfId="493" priority="480">
      <formula>$K1896="✔️"</formula>
    </cfRule>
  </conditionalFormatting>
  <conditionalFormatting sqref="I1896:O1911">
    <cfRule type="expression" dxfId="492" priority="475">
      <formula>$K1896="✔️✔️"</formula>
    </cfRule>
    <cfRule type="expression" dxfId="491" priority="476">
      <formula>$K1896="❌️"</formula>
    </cfRule>
    <cfRule type="expression" dxfId="490" priority="477">
      <formula>$K1896="✔️"</formula>
    </cfRule>
  </conditionalFormatting>
  <conditionalFormatting sqref="I1913:O1916 H1912:O1912 H1913:H1931">
    <cfRule type="expression" dxfId="489" priority="472">
      <formula>$K1912="✔️✔️"</formula>
    </cfRule>
  </conditionalFormatting>
  <conditionalFormatting sqref="I1916:O1916">
    <cfRule type="expression" dxfId="488" priority="469">
      <formula>$K1916="✔️✔️"</formula>
    </cfRule>
    <cfRule type="expression" dxfId="487" priority="470">
      <formula>$K1916="❌️"</formula>
    </cfRule>
    <cfRule type="expression" dxfId="486" priority="471">
      <formula>$K1916="✔️"</formula>
    </cfRule>
  </conditionalFormatting>
  <conditionalFormatting sqref="I1916:O1931">
    <cfRule type="expression" dxfId="485" priority="466">
      <formula>$K1916="✔️✔️"</formula>
    </cfRule>
    <cfRule type="expression" dxfId="484" priority="467">
      <formula>$K1916="❌️"</formula>
    </cfRule>
    <cfRule type="expression" dxfId="483" priority="468">
      <formula>$K1916="✔️"</formula>
    </cfRule>
  </conditionalFormatting>
  <conditionalFormatting sqref="I1552:Q1554 H1550:Q1551 H1552:H1569">
    <cfRule type="expression" dxfId="482" priority="814">
      <formula>$K1550="✔️✔️"</formula>
    </cfRule>
  </conditionalFormatting>
  <conditionalFormatting sqref="I1554:Q1554">
    <cfRule type="expression" dxfId="481" priority="811">
      <formula>$K1554="✔️✔️"</formula>
    </cfRule>
    <cfRule type="expression" dxfId="480" priority="812">
      <formula>$K1554="❌️"</formula>
    </cfRule>
    <cfRule type="expression" dxfId="479" priority="813">
      <formula>$K1554="✔️"</formula>
    </cfRule>
  </conditionalFormatting>
  <conditionalFormatting sqref="I1554:Q1569">
    <cfRule type="expression" dxfId="478" priority="808">
      <formula>$K1554="✔️✔️"</formula>
    </cfRule>
    <cfRule type="expression" dxfId="477" priority="809">
      <formula>$K1554="❌️"</formula>
    </cfRule>
    <cfRule type="expression" dxfId="476" priority="810">
      <formula>$K1554="✔️"</formula>
    </cfRule>
  </conditionalFormatting>
  <conditionalFormatting sqref="I1591:Q1594 H1590:Q1590 H1591:H1609">
    <cfRule type="expression" dxfId="475" priority="793">
      <formula>$K1590="✔️✔️"</formula>
    </cfRule>
  </conditionalFormatting>
  <conditionalFormatting sqref="I1594:Q1594">
    <cfRule type="expression" dxfId="474" priority="790">
      <formula>$K1594="✔️✔️"</formula>
    </cfRule>
    <cfRule type="expression" dxfId="473" priority="791">
      <formula>$K1594="❌️"</formula>
    </cfRule>
    <cfRule type="expression" dxfId="472" priority="792">
      <formula>$K1594="✔️"</formula>
    </cfRule>
  </conditionalFormatting>
  <conditionalFormatting sqref="I1594:Q1609">
    <cfRule type="expression" dxfId="471" priority="787">
      <formula>$K1594="✔️✔️"</formula>
    </cfRule>
    <cfRule type="expression" dxfId="470" priority="788">
      <formula>$K1594="❌️"</formula>
    </cfRule>
    <cfRule type="expression" dxfId="469" priority="789">
      <formula>$K1594="✔️"</formula>
    </cfRule>
  </conditionalFormatting>
  <conditionalFormatting sqref="I1612:Q1614 H1610:Q1611 H1612:H1629">
    <cfRule type="expression" dxfId="468" priority="784">
      <formula>$K1610="✔️✔️"</formula>
    </cfRule>
  </conditionalFormatting>
  <conditionalFormatting sqref="I1614:Q1614">
    <cfRule type="expression" dxfId="467" priority="781">
      <formula>$K1614="✔️✔️"</formula>
    </cfRule>
    <cfRule type="expression" dxfId="466" priority="782">
      <formula>$K1614="❌️"</formula>
    </cfRule>
    <cfRule type="expression" dxfId="465" priority="783">
      <formula>$K1614="✔️"</formula>
    </cfRule>
  </conditionalFormatting>
  <conditionalFormatting sqref="I1614:Q1629">
    <cfRule type="expression" dxfId="464" priority="778">
      <formula>$K1614="✔️✔️"</formula>
    </cfRule>
    <cfRule type="expression" dxfId="463" priority="779">
      <formula>$K1614="❌️"</formula>
    </cfRule>
    <cfRule type="expression" dxfId="462" priority="780">
      <formula>$K1614="✔️"</formula>
    </cfRule>
  </conditionalFormatting>
  <conditionalFormatting sqref="I1708:Q1708">
    <cfRule type="expression" dxfId="461" priority="589">
      <formula>$K1708="✔️✔️"</formula>
    </cfRule>
    <cfRule type="expression" dxfId="460" priority="590">
      <formula>$K1708="❌️"</formula>
    </cfRule>
    <cfRule type="expression" dxfId="459" priority="591">
      <formula>$K1708="✔️"</formula>
    </cfRule>
  </conditionalFormatting>
  <conditionalFormatting sqref="I1936:Q1939">
    <cfRule type="expression" dxfId="458" priority="460">
      <formula>$K1936="✔️✔️"</formula>
    </cfRule>
    <cfRule type="expression" dxfId="457" priority="461">
      <formula>$K1936="❌️"</formula>
    </cfRule>
    <cfRule type="expression" dxfId="456" priority="462">
      <formula>$K1936="✔️"</formula>
    </cfRule>
  </conditionalFormatting>
  <conditionalFormatting sqref="I1976:Q1978 H1974:Q1975 H1976:H1993">
    <cfRule type="expression" dxfId="455" priority="412">
      <formula>$K1974="✔️✔️"</formula>
    </cfRule>
  </conditionalFormatting>
  <conditionalFormatting sqref="I1978:Q1978">
    <cfRule type="expression" dxfId="454" priority="409">
      <formula>$K1978="✔️✔️"</formula>
    </cfRule>
    <cfRule type="expression" dxfId="453" priority="410">
      <formula>$K1978="❌️"</formula>
    </cfRule>
    <cfRule type="expression" dxfId="452" priority="411">
      <formula>$K1978="✔️"</formula>
    </cfRule>
  </conditionalFormatting>
  <conditionalFormatting sqref="I1978:Q1993">
    <cfRule type="expression" dxfId="451" priority="406">
      <formula>$K1978="✔️✔️"</formula>
    </cfRule>
    <cfRule type="expression" dxfId="450" priority="407">
      <formula>$K1978="❌️"</formula>
    </cfRule>
    <cfRule type="expression" dxfId="449" priority="408">
      <formula>$K1978="✔️"</formula>
    </cfRule>
  </conditionalFormatting>
  <conditionalFormatting sqref="I2056:Q2056">
    <cfRule type="expression" dxfId="448" priority="250">
      <formula>$K2056="✔️✔️"</formula>
    </cfRule>
    <cfRule type="expression" dxfId="447" priority="251">
      <formula>$K2056="❌️"</formula>
    </cfRule>
    <cfRule type="expression" dxfId="446" priority="252">
      <formula>$K2056="✔️"</formula>
    </cfRule>
  </conditionalFormatting>
  <conditionalFormatting sqref="I2067:Q2067 H2063:R2064 I2065:R2066 H2065:H2082">
    <cfRule type="expression" dxfId="445" priority="247">
      <formula>$K2063="✔️✔️"</formula>
    </cfRule>
  </conditionalFormatting>
  <conditionalFormatting sqref="I2067:Q2067">
    <cfRule type="expression" dxfId="444" priority="244">
      <formula>$K2067="✔️✔️"</formula>
    </cfRule>
    <cfRule type="expression" dxfId="443" priority="245">
      <formula>$K2067="❌️"</formula>
    </cfRule>
    <cfRule type="expression" dxfId="442" priority="246">
      <formula>$K2067="✔️"</formula>
    </cfRule>
  </conditionalFormatting>
  <conditionalFormatting sqref="I2067:Q2082">
    <cfRule type="expression" dxfId="441" priority="241">
      <formula>$K2067="✔️✔️"</formula>
    </cfRule>
    <cfRule type="expression" dxfId="440" priority="242">
      <formula>$K2067="❌️"</formula>
    </cfRule>
    <cfRule type="expression" dxfId="439" priority="243">
      <formula>$K2067="✔️"</formula>
    </cfRule>
  </conditionalFormatting>
  <conditionalFormatting sqref="I2085:Q2087 H2083:Q2084">
    <cfRule type="expression" dxfId="438" priority="238">
      <formula>$K2083="✔️✔️"</formula>
    </cfRule>
  </conditionalFormatting>
  <conditionalFormatting sqref="I2087:Q2087">
    <cfRule type="expression" dxfId="437" priority="235">
      <formula>$K2087="✔️✔️"</formula>
    </cfRule>
    <cfRule type="expression" dxfId="436" priority="236">
      <formula>$K2087="❌️"</formula>
    </cfRule>
    <cfRule type="expression" dxfId="435" priority="237">
      <formula>$K2087="✔️"</formula>
    </cfRule>
  </conditionalFormatting>
  <conditionalFormatting sqref="I2087:Q2102">
    <cfRule type="expression" dxfId="434" priority="232">
      <formula>$K2087="✔️✔️"</formula>
    </cfRule>
    <cfRule type="expression" dxfId="433" priority="233">
      <formula>$K2087="❌️"</formula>
    </cfRule>
    <cfRule type="expression" dxfId="432" priority="234">
      <formula>$K2087="✔️"</formula>
    </cfRule>
  </conditionalFormatting>
  <conditionalFormatting sqref="I2107:Q2107">
    <cfRule type="expression" dxfId="431" priority="217">
      <formula>$K2107="✔️✔️"</formula>
    </cfRule>
    <cfRule type="expression" dxfId="430" priority="218">
      <formula>$K2107="❌️"</formula>
    </cfRule>
    <cfRule type="expression" dxfId="429" priority="219">
      <formula>$K2107="✔️"</formula>
    </cfRule>
  </conditionalFormatting>
  <conditionalFormatting sqref="I2107:Q2123">
    <cfRule type="expression" dxfId="428" priority="220">
      <formula>$K2107="✔️✔️"</formula>
    </cfRule>
    <cfRule type="expression" dxfId="427" priority="221">
      <formula>$K2107="❌️"</formula>
    </cfRule>
    <cfRule type="expression" dxfId="426" priority="222">
      <formula>$K2107="✔️"</formula>
    </cfRule>
  </conditionalFormatting>
  <conditionalFormatting sqref="I2108:Q2108 H2103:Q2107 H2108:H2123">
    <cfRule type="expression" dxfId="425" priority="229">
      <formula>$K2103="✔️✔️"</formula>
    </cfRule>
  </conditionalFormatting>
  <conditionalFormatting sqref="I2108:Q2108">
    <cfRule type="expression" dxfId="424" priority="226">
      <formula>$K2108="✔️✔️"</formula>
    </cfRule>
    <cfRule type="expression" dxfId="423" priority="227">
      <formula>$K2108="❌️"</formula>
    </cfRule>
    <cfRule type="expression" dxfId="422" priority="228">
      <formula>$K2108="✔️"</formula>
    </cfRule>
  </conditionalFormatting>
  <conditionalFormatting sqref="I2126:Q2128 H2124:Q2125 H2126:H2143">
    <cfRule type="expression" dxfId="421" priority="214">
      <formula>$K2124="✔️✔️"</formula>
    </cfRule>
  </conditionalFormatting>
  <conditionalFormatting sqref="I2128:Q2128">
    <cfRule type="expression" dxfId="420" priority="211">
      <formula>$K2128="✔️✔️"</formula>
    </cfRule>
    <cfRule type="expression" dxfId="419" priority="212">
      <formula>$K2128="❌️"</formula>
    </cfRule>
    <cfRule type="expression" dxfId="418" priority="213">
      <formula>$K2128="✔️"</formula>
    </cfRule>
  </conditionalFormatting>
  <conditionalFormatting sqref="I2128:Q2139 I2140:L2141 N2140:Q2141 I2142:Q2143">
    <cfRule type="expression" dxfId="417" priority="208">
      <formula>$K2128="✔️✔️"</formula>
    </cfRule>
    <cfRule type="expression" dxfId="416" priority="209">
      <formula>$K2128="❌️"</formula>
    </cfRule>
    <cfRule type="expression" dxfId="415" priority="210">
      <formula>$K2128="✔️"</formula>
    </cfRule>
  </conditionalFormatting>
  <conditionalFormatting sqref="I2167:Q2169 H2155:Q2166 H2167:H2184">
    <cfRule type="expression" dxfId="414" priority="199">
      <formula>$K2155="✔️✔️"</formula>
    </cfRule>
  </conditionalFormatting>
  <conditionalFormatting sqref="I2169:Q2169">
    <cfRule type="expression" dxfId="413" priority="196">
      <formula>$K2169="✔️✔️"</formula>
    </cfRule>
    <cfRule type="expression" dxfId="412" priority="197">
      <formula>$K2169="❌️"</formula>
    </cfRule>
    <cfRule type="expression" dxfId="411" priority="198">
      <formula>$K2169="✔️"</formula>
    </cfRule>
  </conditionalFormatting>
  <conditionalFormatting sqref="I2169:Q2184">
    <cfRule type="expression" dxfId="410" priority="193">
      <formula>$K2169="✔️✔️"</formula>
    </cfRule>
    <cfRule type="expression" dxfId="409" priority="194">
      <formula>$K2169="❌️"</formula>
    </cfRule>
    <cfRule type="expression" dxfId="408" priority="195">
      <formula>$K2169="✔️"</formula>
    </cfRule>
  </conditionalFormatting>
  <conditionalFormatting sqref="I2187:Q2189 H2185:Q2186">
    <cfRule type="expression" dxfId="407" priority="187">
      <formula>$K2185="✔️✔️"</formula>
    </cfRule>
  </conditionalFormatting>
  <conditionalFormatting sqref="I2189:Q2189 I2190:S2204">
    <cfRule type="expression" dxfId="406" priority="182">
      <formula>$K2189="❌️"</formula>
    </cfRule>
    <cfRule type="expression" dxfId="405" priority="183">
      <formula>$K2189="✔️"</formula>
    </cfRule>
  </conditionalFormatting>
  <conditionalFormatting sqref="I2189:Q2189">
    <cfRule type="expression" dxfId="404" priority="184">
      <formula>$K2189="✔️✔️"</formula>
    </cfRule>
    <cfRule type="expression" dxfId="403" priority="185">
      <formula>$K2189="❌️"</formula>
    </cfRule>
    <cfRule type="expression" dxfId="402" priority="186">
      <formula>$K2189="✔️"</formula>
    </cfRule>
  </conditionalFormatting>
  <conditionalFormatting sqref="I2207:Q2209 H2187:H2224 H2205:Q2206">
    <cfRule type="expression" dxfId="401" priority="163">
      <formula>$K2187="✔️✔️"</formula>
    </cfRule>
  </conditionalFormatting>
  <conditionalFormatting sqref="I2209:Q2209 I2210:S2224">
    <cfRule type="expression" dxfId="400" priority="158">
      <formula>$K2209="❌️"</formula>
    </cfRule>
    <cfRule type="expression" dxfId="399" priority="159">
      <formula>$K2209="✔️"</formula>
    </cfRule>
  </conditionalFormatting>
  <conditionalFormatting sqref="I2209:Q2209">
    <cfRule type="expression" dxfId="398" priority="160">
      <formula>$K2209="✔️✔️"</formula>
    </cfRule>
    <cfRule type="expression" dxfId="397" priority="161">
      <formula>$K2209="❌️"</formula>
    </cfRule>
    <cfRule type="expression" dxfId="396" priority="162">
      <formula>$K2209="✔️"</formula>
    </cfRule>
  </conditionalFormatting>
  <conditionalFormatting sqref="I2320:Q2324">
    <cfRule type="expression" dxfId="395" priority="97">
      <formula>$K2320="✔️✔️"</formula>
    </cfRule>
    <cfRule type="expression" dxfId="394" priority="98">
      <formula>$K2320="❌️"</formula>
    </cfRule>
    <cfRule type="expression" dxfId="393" priority="99">
      <formula>$K2320="✔️"</formula>
    </cfRule>
  </conditionalFormatting>
  <conditionalFormatting sqref="I2324:Q2324">
    <cfRule type="expression" dxfId="392" priority="94">
      <formula>$K2324="✔️✔️"</formula>
    </cfRule>
    <cfRule type="expression" dxfId="391" priority="95">
      <formula>$K2324="❌️"</formula>
    </cfRule>
    <cfRule type="expression" dxfId="390" priority="96">
      <formula>$K2324="✔️"</formula>
    </cfRule>
  </conditionalFormatting>
  <conditionalFormatting sqref="I2340:Q2344">
    <cfRule type="expression" dxfId="389" priority="88">
      <formula>$K2340="✔️✔️"</formula>
    </cfRule>
    <cfRule type="expression" dxfId="388" priority="89">
      <formula>$K2340="❌️"</formula>
    </cfRule>
    <cfRule type="expression" dxfId="387" priority="90">
      <formula>$K2340="✔️"</formula>
    </cfRule>
  </conditionalFormatting>
  <conditionalFormatting sqref="I2344:Q2344">
    <cfRule type="expression" dxfId="386" priority="85">
      <formula>$K2344="✔️✔️"</formula>
    </cfRule>
    <cfRule type="expression" dxfId="385" priority="86">
      <formula>$K2344="❌️"</formula>
    </cfRule>
    <cfRule type="expression" dxfId="384" priority="87">
      <formula>$K2344="✔️"</formula>
    </cfRule>
  </conditionalFormatting>
  <conditionalFormatting sqref="I2360:Q2364">
    <cfRule type="expression" dxfId="383" priority="79">
      <formula>$K2360="✔️✔️"</formula>
    </cfRule>
    <cfRule type="expression" dxfId="382" priority="80">
      <formula>$K2360="❌️"</formula>
    </cfRule>
    <cfRule type="expression" dxfId="381" priority="81">
      <formula>$K2360="✔️"</formula>
    </cfRule>
  </conditionalFormatting>
  <conditionalFormatting sqref="I2364:Q2364">
    <cfRule type="expression" dxfId="380" priority="76">
      <formula>$K2364="✔️✔️"</formula>
    </cfRule>
    <cfRule type="expression" dxfId="379" priority="77">
      <formula>$K2364="❌️"</formula>
    </cfRule>
    <cfRule type="expression" dxfId="378" priority="78">
      <formula>$K2364="✔️"</formula>
    </cfRule>
  </conditionalFormatting>
  <conditionalFormatting sqref="I2380:Q2384">
    <cfRule type="expression" dxfId="377" priority="70">
      <formula>$K2380="✔️✔️"</formula>
    </cfRule>
    <cfRule type="expression" dxfId="376" priority="71">
      <formula>$K2380="❌️"</formula>
    </cfRule>
    <cfRule type="expression" dxfId="375" priority="72">
      <formula>$K2380="✔️"</formula>
    </cfRule>
  </conditionalFormatting>
  <conditionalFormatting sqref="I2384:Q2384">
    <cfRule type="expression" dxfId="374" priority="67">
      <formula>$K2384="✔️✔️"</formula>
    </cfRule>
    <cfRule type="expression" dxfId="373" priority="68">
      <formula>$K2384="❌️"</formula>
    </cfRule>
    <cfRule type="expression" dxfId="372" priority="69">
      <formula>$K2384="✔️"</formula>
    </cfRule>
  </conditionalFormatting>
  <conditionalFormatting sqref="I2400:Q2404">
    <cfRule type="expression" dxfId="371" priority="61">
      <formula>$K2400="✔️✔️"</formula>
    </cfRule>
    <cfRule type="expression" dxfId="370" priority="62">
      <formula>$K2400="❌️"</formula>
    </cfRule>
    <cfRule type="expression" dxfId="369" priority="63">
      <formula>$K2400="✔️"</formula>
    </cfRule>
  </conditionalFormatting>
  <conditionalFormatting sqref="I2404:Q2404">
    <cfRule type="expression" dxfId="368" priority="58">
      <formula>$K2404="✔️✔️"</formula>
    </cfRule>
    <cfRule type="expression" dxfId="367" priority="59">
      <formula>$K2404="❌️"</formula>
    </cfRule>
    <cfRule type="expression" dxfId="366" priority="60">
      <formula>$K2404="✔️"</formula>
    </cfRule>
  </conditionalFormatting>
  <conditionalFormatting sqref="I2420:Q2424">
    <cfRule type="expression" dxfId="365" priority="52">
      <formula>$K2420="✔️✔️"</formula>
    </cfRule>
    <cfRule type="expression" dxfId="364" priority="53">
      <formula>$K2420="❌️"</formula>
    </cfRule>
    <cfRule type="expression" dxfId="363" priority="54">
      <formula>$K2420="✔️"</formula>
    </cfRule>
  </conditionalFormatting>
  <conditionalFormatting sqref="I2424:Q2424">
    <cfRule type="expression" dxfId="362" priority="49">
      <formula>$K2424="✔️✔️"</formula>
    </cfRule>
    <cfRule type="expression" dxfId="361" priority="50">
      <formula>$K2424="❌️"</formula>
    </cfRule>
    <cfRule type="expression" dxfId="360" priority="51">
      <formula>$K2424="✔️"</formula>
    </cfRule>
  </conditionalFormatting>
  <conditionalFormatting sqref="I2440:Q2444">
    <cfRule type="expression" dxfId="359" priority="43">
      <formula>$K2440="✔️✔️"</formula>
    </cfRule>
    <cfRule type="expression" dxfId="358" priority="44">
      <formula>$K2440="❌️"</formula>
    </cfRule>
    <cfRule type="expression" dxfId="357" priority="45">
      <formula>$K2440="✔️"</formula>
    </cfRule>
  </conditionalFormatting>
  <conditionalFormatting sqref="I2444:Q2444">
    <cfRule type="expression" dxfId="356" priority="40">
      <formula>$K2444="✔️✔️"</formula>
    </cfRule>
    <cfRule type="expression" dxfId="355" priority="41">
      <formula>$K2444="❌️"</formula>
    </cfRule>
    <cfRule type="expression" dxfId="354" priority="42">
      <formula>$K2444="✔️"</formula>
    </cfRule>
  </conditionalFormatting>
  <conditionalFormatting sqref="I2460:Q2464">
    <cfRule type="expression" dxfId="353" priority="34">
      <formula>$K2460="✔️✔️"</formula>
    </cfRule>
    <cfRule type="expression" dxfId="352" priority="35">
      <formula>$K2460="❌️"</formula>
    </cfRule>
    <cfRule type="expression" dxfId="351" priority="36">
      <formula>$K2460="✔️"</formula>
    </cfRule>
  </conditionalFormatting>
  <conditionalFormatting sqref="I2464:Q2464">
    <cfRule type="expression" dxfId="350" priority="31">
      <formula>$K2464="✔️✔️"</formula>
    </cfRule>
    <cfRule type="expression" dxfId="349" priority="32">
      <formula>$K2464="❌️"</formula>
    </cfRule>
    <cfRule type="expression" dxfId="348" priority="33">
      <formula>$K2464="✔️"</formula>
    </cfRule>
  </conditionalFormatting>
  <conditionalFormatting sqref="I2480:Q2484">
    <cfRule type="expression" dxfId="347" priority="25">
      <formula>$K2480="✔️✔️"</formula>
    </cfRule>
    <cfRule type="expression" dxfId="346" priority="26">
      <formula>$K2480="❌️"</formula>
    </cfRule>
    <cfRule type="expression" dxfId="345" priority="27">
      <formula>$K2480="✔️"</formula>
    </cfRule>
  </conditionalFormatting>
  <conditionalFormatting sqref="I2484:Q2484">
    <cfRule type="expression" dxfId="344" priority="22">
      <formula>$K2484="✔️✔️"</formula>
    </cfRule>
    <cfRule type="expression" dxfId="343" priority="23">
      <formula>$K2484="❌️"</formula>
    </cfRule>
    <cfRule type="expression" dxfId="342" priority="24">
      <formula>$K2484="✔️"</formula>
    </cfRule>
  </conditionalFormatting>
  <conditionalFormatting sqref="I2500:Q2504">
    <cfRule type="expression" dxfId="341" priority="16">
      <formula>$K2500="✔️✔️"</formula>
    </cfRule>
    <cfRule type="expression" dxfId="340" priority="17">
      <formula>$K2500="❌️"</formula>
    </cfRule>
    <cfRule type="expression" dxfId="339" priority="18">
      <formula>$K2500="✔️"</formula>
    </cfRule>
  </conditionalFormatting>
  <conditionalFormatting sqref="I2504:Q2504">
    <cfRule type="expression" dxfId="338" priority="13">
      <formula>$K2504="✔️✔️"</formula>
    </cfRule>
    <cfRule type="expression" dxfId="337" priority="14">
      <formula>$K2504="❌️"</formula>
    </cfRule>
    <cfRule type="expression" dxfId="336" priority="15">
      <formula>$K2504="✔️"</formula>
    </cfRule>
  </conditionalFormatting>
  <conditionalFormatting sqref="I2190:S2204 I2189:Q2189">
    <cfRule type="expression" dxfId="335" priority="181">
      <formula>$K2189="✔️✔️"</formula>
    </cfRule>
  </conditionalFormatting>
  <conditionalFormatting sqref="I2210:S2224 I2209:Q2209">
    <cfRule type="expression" dxfId="334" priority="157">
      <formula>$K2209="✔️✔️"</formula>
    </cfRule>
  </conditionalFormatting>
  <conditionalFormatting sqref="J1059">
    <cfRule type="expression" dxfId="333" priority="1186">
      <formula>$K1059="✔️✔️"</formula>
    </cfRule>
    <cfRule type="expression" dxfId="332" priority="1187">
      <formula>$K1059="❌️"</formula>
    </cfRule>
    <cfRule type="expression" dxfId="331" priority="1188">
      <formula>$K1059="✔️"</formula>
    </cfRule>
  </conditionalFormatting>
  <conditionalFormatting sqref="J1076">
    <cfRule type="expression" dxfId="330" priority="1183">
      <formula>$K1076="✔️✔️"</formula>
    </cfRule>
    <cfRule type="expression" dxfId="329" priority="1184">
      <formula>$K1076="❌️"</formula>
    </cfRule>
    <cfRule type="expression" dxfId="328" priority="1185">
      <formula>$K1076="✔️"</formula>
    </cfRule>
  </conditionalFormatting>
  <conditionalFormatting sqref="J1092">
    <cfRule type="expression" dxfId="327" priority="1180">
      <formula>$K1092="✔️✔️"</formula>
    </cfRule>
    <cfRule type="expression" dxfId="326" priority="1181">
      <formula>$K1092="❌️"</formula>
    </cfRule>
    <cfRule type="expression" dxfId="325" priority="1182">
      <formula>$K1092="✔️"</formula>
    </cfRule>
  </conditionalFormatting>
  <conditionalFormatting sqref="J1110">
    <cfRule type="expression" dxfId="324" priority="1177">
      <formula>$K1110="✔️✔️"</formula>
    </cfRule>
    <cfRule type="expression" dxfId="323" priority="1178">
      <formula>$K1110="❌️"</formula>
    </cfRule>
    <cfRule type="expression" dxfId="322" priority="1179">
      <formula>$K1110="✔️"</formula>
    </cfRule>
  </conditionalFormatting>
  <conditionalFormatting sqref="K1583 M1583">
    <cfRule type="expression" dxfId="321" priority="757">
      <formula>$K1583="✔️✔️"</formula>
    </cfRule>
    <cfRule type="expression" dxfId="320" priority="758">
      <formula>$K1583="❌️"</formula>
    </cfRule>
    <cfRule type="expression" dxfId="319" priority="759">
      <formula>$K1583="✔️"</formula>
    </cfRule>
  </conditionalFormatting>
  <conditionalFormatting sqref="K1650">
    <cfRule type="expression" dxfId="318" priority="685">
      <formula>$K1650="✔️✔️"</formula>
    </cfRule>
    <cfRule type="expression" dxfId="317" priority="686">
      <formula>$K1650="❌️"</formula>
    </cfRule>
    <cfRule type="expression" dxfId="316" priority="687">
      <formula>$K1650="✔️"</formula>
    </cfRule>
  </conditionalFormatting>
  <conditionalFormatting sqref="K1666">
    <cfRule type="expression" dxfId="315" priority="649">
      <formula>$K1666="✔️✔️"</formula>
    </cfRule>
    <cfRule type="expression" dxfId="314" priority="650">
      <formula>$K1666="❌️"</formula>
    </cfRule>
    <cfRule type="expression" dxfId="313" priority="651">
      <formula>$K1666="✔️"</formula>
    </cfRule>
  </conditionalFormatting>
  <conditionalFormatting sqref="K1740">
    <cfRule type="expression" dxfId="312" priority="571">
      <formula>$K1740="✔️✔️"</formula>
    </cfRule>
    <cfRule type="expression" dxfId="311" priority="572">
      <formula>$K1740="❌️"</formula>
    </cfRule>
    <cfRule type="expression" dxfId="310" priority="573">
      <formula>$K1740="✔️"</formula>
    </cfRule>
  </conditionalFormatting>
  <conditionalFormatting sqref="K1792:K1796">
    <cfRule type="expression" dxfId="309" priority="517">
      <formula>$K1792="✔️✔️"</formula>
    </cfRule>
    <cfRule type="expression" dxfId="308" priority="518">
      <formula>$K1792="❌️"</formula>
    </cfRule>
    <cfRule type="expression" dxfId="307" priority="519">
      <formula>$K1792="✔️"</formula>
    </cfRule>
  </conditionalFormatting>
  <conditionalFormatting sqref="K1796">
    <cfRule type="expression" dxfId="306" priority="514">
      <formula>$K1796="✔️✔️"</formula>
    </cfRule>
    <cfRule type="expression" dxfId="305" priority="515">
      <formula>$K1796="❌️"</formula>
    </cfRule>
    <cfRule type="expression" dxfId="304" priority="516">
      <formula>$K1796="✔️"</formula>
    </cfRule>
  </conditionalFormatting>
  <conditionalFormatting sqref="K1796:K1811">
    <cfRule type="expression" dxfId="303" priority="511">
      <formula>$K1796="✔️✔️"</formula>
    </cfRule>
    <cfRule type="expression" dxfId="302" priority="512">
      <formula>$K1796="❌️"</formula>
    </cfRule>
    <cfRule type="expression" dxfId="301" priority="513">
      <formula>$K1796="✔️"</formula>
    </cfRule>
  </conditionalFormatting>
  <conditionalFormatting sqref="K2014">
    <cfRule type="expression" dxfId="300" priority="304">
      <formula>$K2014="✔️✔️"</formula>
    </cfRule>
    <cfRule type="expression" dxfId="299" priority="305">
      <formula>$K2014="❌️"</formula>
    </cfRule>
    <cfRule type="expression" dxfId="298" priority="306">
      <formula>$K2014="✔️"</formula>
    </cfRule>
  </conditionalFormatting>
  <conditionalFormatting sqref="K2254:K2257">
    <cfRule type="expression" dxfId="297" priority="115">
      <formula>$K2254="✔️✔️"</formula>
    </cfRule>
    <cfRule type="expression" dxfId="296" priority="116">
      <formula>$K2254="❌️"</formula>
    </cfRule>
    <cfRule type="expression" dxfId="295" priority="117">
      <formula>$K2254="✔️"</formula>
    </cfRule>
  </conditionalFormatting>
  <conditionalFormatting sqref="K1404:L1404">
    <cfRule type="expression" dxfId="294" priority="934">
      <formula>$K1404="✔️✔️"</formula>
    </cfRule>
    <cfRule type="expression" dxfId="293" priority="935">
      <formula>$K1404="❌️"</formula>
    </cfRule>
    <cfRule type="expression" dxfId="292" priority="936">
      <formula>$K1404="✔️"</formula>
    </cfRule>
  </conditionalFormatting>
  <conditionalFormatting sqref="K1574:M1574">
    <cfRule type="expression" dxfId="291" priority="769">
      <formula>$K1574="✔️✔️"</formula>
    </cfRule>
    <cfRule type="expression" dxfId="290" priority="770">
      <formula>$K1574="❌️"</formula>
    </cfRule>
    <cfRule type="expression" dxfId="289" priority="771">
      <formula>$K1574="✔️"</formula>
    </cfRule>
  </conditionalFormatting>
  <conditionalFormatting sqref="K1579:M1579">
    <cfRule type="expression" dxfId="288" priority="760">
      <formula>$K1579="✔️✔️"</formula>
    </cfRule>
    <cfRule type="expression" dxfId="287" priority="761">
      <formula>$K1579="❌️"</formula>
    </cfRule>
    <cfRule type="expression" dxfId="286" priority="762">
      <formula>$K1579="✔️"</formula>
    </cfRule>
  </conditionalFormatting>
  <conditionalFormatting sqref="K1634:M1634">
    <cfRule type="expression" dxfId="285" priority="727">
      <formula>$K1634="✔️✔️"</formula>
    </cfRule>
    <cfRule type="expression" dxfId="284" priority="728">
      <formula>$K1634="❌️"</formula>
    </cfRule>
    <cfRule type="expression" dxfId="283" priority="729">
      <formula>$K1634="✔️"</formula>
    </cfRule>
  </conditionalFormatting>
  <conditionalFormatting sqref="K1639:M1639">
    <cfRule type="expression" dxfId="282" priority="718">
      <formula>$K1639="✔️✔️"</formula>
    </cfRule>
    <cfRule type="expression" dxfId="281" priority="719">
      <formula>$K1639="❌️"</formula>
    </cfRule>
    <cfRule type="expression" dxfId="280" priority="720">
      <formula>$K1639="✔️"</formula>
    </cfRule>
  </conditionalFormatting>
  <conditionalFormatting sqref="K1655:M1655">
    <cfRule type="expression" dxfId="279" priority="676">
      <formula>$K1655="✔️✔️"</formula>
    </cfRule>
    <cfRule type="expression" dxfId="278" priority="677">
      <formula>$K1655="❌️"</formula>
    </cfRule>
    <cfRule type="expression" dxfId="277" priority="678">
      <formula>$K1655="✔️"</formula>
    </cfRule>
  </conditionalFormatting>
  <conditionalFormatting sqref="K1671:M1671">
    <cfRule type="expression" dxfId="276" priority="646">
      <formula>$K1671="✔️✔️"</formula>
    </cfRule>
    <cfRule type="expression" dxfId="275" priority="647">
      <formula>$K1671="❌️"</formula>
    </cfRule>
    <cfRule type="expression" dxfId="274" priority="648">
      <formula>$K1671="✔️"</formula>
    </cfRule>
  </conditionalFormatting>
  <conditionalFormatting sqref="K1702:M1702">
    <cfRule type="expression" dxfId="273" priority="619">
      <formula>$K1702="✔️✔️"</formula>
    </cfRule>
    <cfRule type="expression" dxfId="272" priority="620">
      <formula>$K1702="❌️"</formula>
    </cfRule>
    <cfRule type="expression" dxfId="271" priority="621">
      <formula>$K1702="✔️"</formula>
    </cfRule>
  </conditionalFormatting>
  <conditionalFormatting sqref="K1707:M1707">
    <cfRule type="expression" dxfId="270" priority="610">
      <formula>$K1707="✔️✔️"</formula>
    </cfRule>
    <cfRule type="expression" dxfId="269" priority="611">
      <formula>$K1707="❌️"</formula>
    </cfRule>
    <cfRule type="expression" dxfId="268" priority="612">
      <formula>$K1707="✔️"</formula>
    </cfRule>
  </conditionalFormatting>
  <conditionalFormatting sqref="K1745:M1745">
    <cfRule type="expression" dxfId="267" priority="568">
      <formula>$K1745="✔️✔️"</formula>
    </cfRule>
    <cfRule type="expression" dxfId="266" priority="569">
      <formula>$K1745="❌️"</formula>
    </cfRule>
    <cfRule type="expression" dxfId="265" priority="570">
      <formula>$K1745="✔️"</formula>
    </cfRule>
  </conditionalFormatting>
  <conditionalFormatting sqref="K1998:M1998">
    <cfRule type="expression" dxfId="264" priority="358">
      <formula>$K1998="✔️✔️"</formula>
    </cfRule>
    <cfRule type="expression" dxfId="263" priority="359">
      <formula>$K1998="❌️"</formula>
    </cfRule>
    <cfRule type="expression" dxfId="262" priority="360">
      <formula>$K1998="✔️"</formula>
    </cfRule>
  </conditionalFormatting>
  <conditionalFormatting sqref="K2003:M2003">
    <cfRule type="expression" dxfId="261" priority="349">
      <formula>$K2003="✔️✔️"</formula>
    </cfRule>
    <cfRule type="expression" dxfId="260" priority="350">
      <formula>$K2003="❌️"</formula>
    </cfRule>
    <cfRule type="expression" dxfId="259" priority="351">
      <formula>$K2003="✔️"</formula>
    </cfRule>
  </conditionalFormatting>
  <conditionalFormatting sqref="K2019:M2019">
    <cfRule type="expression" dxfId="258" priority="301">
      <formula>$K2019="✔️✔️"</formula>
    </cfRule>
    <cfRule type="expression" dxfId="257" priority="302">
      <formula>$K2019="❌️"</formula>
    </cfRule>
    <cfRule type="expression" dxfId="256" priority="303">
      <formula>$K2019="✔️"</formula>
    </cfRule>
  </conditionalFormatting>
  <conditionalFormatting sqref="K2050:M2050">
    <cfRule type="expression" dxfId="255" priority="280">
      <formula>$K2050="✔️✔️"</formula>
    </cfRule>
    <cfRule type="expression" dxfId="254" priority="281">
      <formula>$K2050="❌️"</formula>
    </cfRule>
    <cfRule type="expression" dxfId="253" priority="282">
      <formula>$K2050="✔️"</formula>
    </cfRule>
  </conditionalFormatting>
  <conditionalFormatting sqref="K2055:M2055">
    <cfRule type="expression" dxfId="252" priority="271">
      <formula>$K2055="✔️✔️"</formula>
    </cfRule>
    <cfRule type="expression" dxfId="251" priority="272">
      <formula>$K2055="❌️"</formula>
    </cfRule>
    <cfRule type="expression" dxfId="250" priority="273">
      <formula>$K2055="✔️"</formula>
    </cfRule>
  </conditionalFormatting>
  <conditionalFormatting sqref="K2252:M2253 L2254:L2257">
    <cfRule type="expression" dxfId="249" priority="121">
      <formula>$K2252="✔️✔️"</formula>
    </cfRule>
    <cfRule type="expression" dxfId="248" priority="122">
      <formula>$K2252="❌️"</formula>
    </cfRule>
    <cfRule type="expression" dxfId="247" priority="123">
      <formula>$K2252="✔️"</formula>
    </cfRule>
  </conditionalFormatting>
  <conditionalFormatting sqref="K2258:M2261">
    <cfRule type="expression" dxfId="246" priority="112">
      <formula>$K2258="✔️✔️"</formula>
    </cfRule>
    <cfRule type="expression" dxfId="245" priority="113">
      <formula>$K2258="❌️"</formula>
    </cfRule>
    <cfRule type="expression" dxfId="244" priority="114">
      <formula>$K2258="✔️"</formula>
    </cfRule>
  </conditionalFormatting>
  <conditionalFormatting sqref="L1051:L1052">
    <cfRule type="expression" dxfId="243" priority="1210">
      <formula>$K1051="✔️✔️"</formula>
    </cfRule>
    <cfRule type="expression" dxfId="242" priority="1211">
      <formula>$K1051="❌️"</formula>
    </cfRule>
    <cfRule type="expression" dxfId="241" priority="1212">
      <formula>$K1051="✔️"</formula>
    </cfRule>
  </conditionalFormatting>
  <conditionalFormatting sqref="L1068:L1069">
    <cfRule type="expression" dxfId="240" priority="1201">
      <formula>$K1068="✔️✔️"</formula>
    </cfRule>
    <cfRule type="expression" dxfId="239" priority="1202">
      <formula>$K1068="❌️"</formula>
    </cfRule>
    <cfRule type="expression" dxfId="238" priority="1203">
      <formula>$K1068="✔️"</formula>
    </cfRule>
  </conditionalFormatting>
  <conditionalFormatting sqref="L1305">
    <cfRule type="expression" dxfId="237" priority="982">
      <formula>$K1305="✔️✔️"</formula>
    </cfRule>
    <cfRule type="expression" dxfId="236" priority="983">
      <formula>$K1305="❌️"</formula>
    </cfRule>
    <cfRule type="expression" dxfId="235" priority="984">
      <formula>$K1305="✔️"</formula>
    </cfRule>
  </conditionalFormatting>
  <conditionalFormatting sqref="L1552">
    <cfRule type="expression" dxfId="234" priority="772">
      <formula>$K1552="✔️✔️"</formula>
    </cfRule>
    <cfRule type="expression" dxfId="233" priority="773">
      <formula>$K1552="❌️"</formula>
    </cfRule>
    <cfRule type="expression" dxfId="232" priority="774">
      <formula>$K1552="✔️"</formula>
    </cfRule>
    <cfRule type="expression" dxfId="231" priority="775">
      <formula>$K1552="✔️✔️"</formula>
    </cfRule>
    <cfRule type="expression" dxfId="230" priority="776">
      <formula>$K1552="❌️"</formula>
    </cfRule>
    <cfRule type="expression" dxfId="229" priority="777">
      <formula>$K1552="✔️"</formula>
    </cfRule>
  </conditionalFormatting>
  <conditionalFormatting sqref="L1572">
    <cfRule type="expression" dxfId="228" priority="748">
      <formula>$K1572="✔️✔️"</formula>
    </cfRule>
    <cfRule type="expression" dxfId="227" priority="749">
      <formula>$K1572="❌️"</formula>
    </cfRule>
    <cfRule type="expression" dxfId="226" priority="750">
      <formula>$K1572="✔️"</formula>
    </cfRule>
    <cfRule type="expression" dxfId="225" priority="751">
      <formula>$K1572="✔️✔️"</formula>
    </cfRule>
    <cfRule type="expression" dxfId="224" priority="752">
      <formula>$K1572="❌️"</formula>
    </cfRule>
    <cfRule type="expression" dxfId="223" priority="753">
      <formula>$K1572="✔️"</formula>
    </cfRule>
  </conditionalFormatting>
  <conditionalFormatting sqref="L1574">
    <cfRule type="expression" dxfId="222" priority="763">
      <formula>$K1574="✔️✔️"</formula>
    </cfRule>
    <cfRule type="expression" dxfId="221" priority="764">
      <formula>$K1574="❌️"</formula>
    </cfRule>
    <cfRule type="expression" dxfId="220" priority="765">
      <formula>$K1574="✔️"</formula>
    </cfRule>
    <cfRule type="expression" dxfId="219" priority="766">
      <formula>$K1574="✔️✔️"</formula>
    </cfRule>
    <cfRule type="expression" dxfId="218" priority="767">
      <formula>$K1574="❌️"</formula>
    </cfRule>
    <cfRule type="expression" dxfId="217" priority="768">
      <formula>$K1574="✔️"</formula>
    </cfRule>
  </conditionalFormatting>
  <conditionalFormatting sqref="L1583">
    <cfRule type="expression" dxfId="216" priority="742">
      <formula>$K1583="✔️✔️"</formula>
    </cfRule>
    <cfRule type="expression" dxfId="215" priority="743">
      <formula>$K1583="❌️"</formula>
    </cfRule>
    <cfRule type="expression" dxfId="214" priority="744">
      <formula>$K1583="✔️"</formula>
    </cfRule>
  </conditionalFormatting>
  <conditionalFormatting sqref="L1632">
    <cfRule type="expression" dxfId="213" priority="706">
      <formula>$K1632="✔️✔️"</formula>
    </cfRule>
    <cfRule type="expression" dxfId="212" priority="707">
      <formula>$K1632="❌️"</formula>
    </cfRule>
    <cfRule type="expression" dxfId="211" priority="708">
      <formula>$K1632="✔️"</formula>
    </cfRule>
    <cfRule type="expression" dxfId="210" priority="709">
      <formula>$K1632="✔️✔️"</formula>
    </cfRule>
    <cfRule type="expression" dxfId="209" priority="710">
      <formula>$K1632="❌️"</formula>
    </cfRule>
    <cfRule type="expression" dxfId="208" priority="711">
      <formula>$K1632="✔️"</formula>
    </cfRule>
  </conditionalFormatting>
  <conditionalFormatting sqref="L1634">
    <cfRule type="expression" dxfId="207" priority="721">
      <formula>$K1634="✔️✔️"</formula>
    </cfRule>
    <cfRule type="expression" dxfId="206" priority="722">
      <formula>$K1634="❌️"</formula>
    </cfRule>
    <cfRule type="expression" dxfId="205" priority="723">
      <formula>$K1634="✔️"</formula>
    </cfRule>
    <cfRule type="expression" dxfId="204" priority="724">
      <formula>$K1634="✔️✔️"</formula>
    </cfRule>
    <cfRule type="expression" dxfId="203" priority="725">
      <formula>$K1634="❌️"</formula>
    </cfRule>
    <cfRule type="expression" dxfId="202" priority="726">
      <formula>$K1634="✔️"</formula>
    </cfRule>
  </conditionalFormatting>
  <conditionalFormatting sqref="L1700">
    <cfRule type="expression" dxfId="201" priority="601">
      <formula>$K1700="✔️✔️"</formula>
    </cfRule>
    <cfRule type="expression" dxfId="200" priority="602">
      <formula>$K1700="❌️"</formula>
    </cfRule>
    <cfRule type="expression" dxfId="199" priority="603">
      <formula>$K1700="✔️"</formula>
    </cfRule>
    <cfRule type="expression" dxfId="198" priority="604">
      <formula>$K1700="✔️✔️"</formula>
    </cfRule>
    <cfRule type="expression" dxfId="197" priority="605">
      <formula>$K1700="❌️"</formula>
    </cfRule>
    <cfRule type="expression" dxfId="196" priority="606">
      <formula>$K1700="✔️"</formula>
    </cfRule>
  </conditionalFormatting>
  <conditionalFormatting sqref="L1702">
    <cfRule type="expression" dxfId="195" priority="613">
      <formula>$K1702="✔️✔️"</formula>
    </cfRule>
    <cfRule type="expression" dxfId="194" priority="614">
      <formula>$K1702="❌️"</formula>
    </cfRule>
    <cfRule type="expression" dxfId="193" priority="615">
      <formula>$K1702="✔️"</formula>
    </cfRule>
    <cfRule type="expression" dxfId="192" priority="616">
      <formula>$K1702="✔️✔️"</formula>
    </cfRule>
    <cfRule type="expression" dxfId="191" priority="617">
      <formula>$K1702="❌️"</formula>
    </cfRule>
    <cfRule type="expression" dxfId="190" priority="618">
      <formula>$K1702="✔️"</formula>
    </cfRule>
  </conditionalFormatting>
  <conditionalFormatting sqref="L1996">
    <cfRule type="expression" dxfId="189" priority="340">
      <formula>$K1996="✔️✔️"</formula>
    </cfRule>
    <cfRule type="expression" dxfId="188" priority="341">
      <formula>$K1996="❌️"</formula>
    </cfRule>
    <cfRule type="expression" dxfId="187" priority="342">
      <formula>$K1996="✔️"</formula>
    </cfRule>
    <cfRule type="expression" dxfId="186" priority="343">
      <formula>$K1996="✔️✔️"</formula>
    </cfRule>
    <cfRule type="expression" dxfId="185" priority="344">
      <formula>$K1996="❌️"</formula>
    </cfRule>
    <cfRule type="expression" dxfId="184" priority="345">
      <formula>$K1996="✔️"</formula>
    </cfRule>
  </conditionalFormatting>
  <conditionalFormatting sqref="L1998">
    <cfRule type="expression" dxfId="183" priority="352">
      <formula>$K1998="✔️✔️"</formula>
    </cfRule>
    <cfRule type="expression" dxfId="182" priority="353">
      <formula>$K1998="❌️"</formula>
    </cfRule>
    <cfRule type="expression" dxfId="181" priority="354">
      <formula>$K1998="✔️"</formula>
    </cfRule>
    <cfRule type="expression" dxfId="180" priority="355">
      <formula>$K1998="✔️✔️"</formula>
    </cfRule>
    <cfRule type="expression" dxfId="179" priority="356">
      <formula>$K1998="❌️"</formula>
    </cfRule>
    <cfRule type="expression" dxfId="178" priority="357">
      <formula>$K1998="✔️"</formula>
    </cfRule>
  </conditionalFormatting>
  <conditionalFormatting sqref="L2048">
    <cfRule type="expression" dxfId="177" priority="262">
      <formula>$K2048="✔️✔️"</formula>
    </cfRule>
    <cfRule type="expression" dxfId="176" priority="263">
      <formula>$K2048="❌️"</formula>
    </cfRule>
    <cfRule type="expression" dxfId="175" priority="264">
      <formula>$K2048="✔️"</formula>
    </cfRule>
    <cfRule type="expression" dxfId="174" priority="265">
      <formula>$K2048="✔️✔️"</formula>
    </cfRule>
    <cfRule type="expression" dxfId="173" priority="266">
      <formula>$K2048="❌️"</formula>
    </cfRule>
    <cfRule type="expression" dxfId="172" priority="267">
      <formula>$K2048="✔️"</formula>
    </cfRule>
  </conditionalFormatting>
  <conditionalFormatting sqref="L2050">
    <cfRule type="expression" dxfId="171" priority="274">
      <formula>$K2050="✔️✔️"</formula>
    </cfRule>
    <cfRule type="expression" dxfId="170" priority="275">
      <formula>$K2050="❌️"</formula>
    </cfRule>
    <cfRule type="expression" dxfId="169" priority="276">
      <formula>$K2050="✔️"</formula>
    </cfRule>
    <cfRule type="expression" dxfId="168" priority="277">
      <formula>$K2050="✔️✔️"</formula>
    </cfRule>
    <cfRule type="expression" dxfId="167" priority="278">
      <formula>$K2050="❌️"</formula>
    </cfRule>
    <cfRule type="expression" dxfId="166" priority="279">
      <formula>$K2050="✔️"</formula>
    </cfRule>
  </conditionalFormatting>
  <conditionalFormatting sqref="L1415:M1415">
    <cfRule type="expression" dxfId="165" priority="913">
      <formula>$K1415="✔️✔️"</formula>
    </cfRule>
    <cfRule type="expression" dxfId="164" priority="914">
      <formula>$K1415="❌️"</formula>
    </cfRule>
    <cfRule type="expression" dxfId="163" priority="915">
      <formula>$K1415="✔️"</formula>
    </cfRule>
  </conditionalFormatting>
  <conditionalFormatting sqref="L1421:M1421">
    <cfRule type="expression" dxfId="162" priority="919">
      <formula>$K1421="✔️✔️"</formula>
    </cfRule>
    <cfRule type="expression" dxfId="161" priority="920">
      <formula>$K1421="❌️"</formula>
    </cfRule>
    <cfRule type="expression" dxfId="160" priority="921">
      <formula>$K1421="✔️"</formula>
    </cfRule>
  </conditionalFormatting>
  <conditionalFormatting sqref="L1428:M1429">
    <cfRule type="expression" dxfId="159" priority="916">
      <formula>$K1428="✔️✔️"</formula>
    </cfRule>
    <cfRule type="expression" dxfId="158" priority="917">
      <formula>$K1428="❌️"</formula>
    </cfRule>
    <cfRule type="expression" dxfId="157" priority="918">
      <formula>$K1428="✔️"</formula>
    </cfRule>
  </conditionalFormatting>
  <conditionalFormatting sqref="L1572:M1572">
    <cfRule type="expression" dxfId="156" priority="754">
      <formula>$K1572="✔️✔️"</formula>
    </cfRule>
    <cfRule type="expression" dxfId="155" priority="755">
      <formula>$K1572="❌️"</formula>
    </cfRule>
    <cfRule type="expression" dxfId="154" priority="756">
      <formula>$K1572="✔️"</formula>
    </cfRule>
  </conditionalFormatting>
  <conditionalFormatting sqref="L1584:M1584">
    <cfRule type="expression" dxfId="153" priority="745">
      <formula>$K1584="✔️✔️"</formula>
    </cfRule>
    <cfRule type="expression" dxfId="152" priority="746">
      <formula>$K1584="❌️"</formula>
    </cfRule>
    <cfRule type="expression" dxfId="151" priority="747">
      <formula>$K1584="✔️"</formula>
    </cfRule>
  </conditionalFormatting>
  <conditionalFormatting sqref="L1632:M1632">
    <cfRule type="expression" dxfId="150" priority="712">
      <formula>$K1632="✔️✔️"</formula>
    </cfRule>
    <cfRule type="expression" dxfId="149" priority="713">
      <formula>$K1632="❌️"</formula>
    </cfRule>
    <cfRule type="expression" dxfId="148" priority="714">
      <formula>$K1632="✔️"</formula>
    </cfRule>
  </conditionalFormatting>
  <conditionalFormatting sqref="L1640:M1640">
    <cfRule type="expression" dxfId="147" priority="703">
      <formula>$K1640="✔️✔️"</formula>
    </cfRule>
    <cfRule type="expression" dxfId="146" priority="704">
      <formula>$K1640="❌️"</formula>
    </cfRule>
    <cfRule type="expression" dxfId="145" priority="705">
      <formula>$K1640="✔️"</formula>
    </cfRule>
  </conditionalFormatting>
  <conditionalFormatting sqref="L1656:M1656">
    <cfRule type="expression" dxfId="144" priority="664">
      <formula>$K1656="✔️✔️"</formula>
    </cfRule>
    <cfRule type="expression" dxfId="143" priority="665">
      <formula>$K1656="❌️"</formula>
    </cfRule>
    <cfRule type="expression" dxfId="142" priority="666">
      <formula>$K1656="✔️"</formula>
    </cfRule>
  </conditionalFormatting>
  <conditionalFormatting sqref="L1672:M1672">
    <cfRule type="expression" dxfId="141" priority="643">
      <formula>$K1672="✔️✔️"</formula>
    </cfRule>
    <cfRule type="expression" dxfId="140" priority="644">
      <formula>$K1672="❌️"</formula>
    </cfRule>
    <cfRule type="expression" dxfId="139" priority="645">
      <formula>$K1672="✔️"</formula>
    </cfRule>
  </conditionalFormatting>
  <conditionalFormatting sqref="L1700:M1700">
    <cfRule type="expression" dxfId="138" priority="607">
      <formula>$K1700="✔️✔️"</formula>
    </cfRule>
    <cfRule type="expression" dxfId="137" priority="608">
      <formula>$K1700="❌️"</formula>
    </cfRule>
    <cfRule type="expression" dxfId="136" priority="609">
      <formula>$K1700="✔️"</formula>
    </cfRule>
  </conditionalFormatting>
  <conditionalFormatting sqref="L1709:M1709">
    <cfRule type="expression" dxfId="135" priority="598">
      <formula>$K1709="✔️✔️"</formula>
    </cfRule>
    <cfRule type="expression" dxfId="134" priority="599">
      <formula>$K1709="❌️"</formula>
    </cfRule>
    <cfRule type="expression" dxfId="133" priority="600">
      <formula>$K1709="✔️"</formula>
    </cfRule>
  </conditionalFormatting>
  <conditionalFormatting sqref="L1746:M1746">
    <cfRule type="expression" dxfId="132" priority="565">
      <formula>$K1746="✔️✔️"</formula>
    </cfRule>
    <cfRule type="expression" dxfId="131" priority="566">
      <formula>$K1746="❌️"</formula>
    </cfRule>
    <cfRule type="expression" dxfId="130" priority="567">
      <formula>$K1746="✔️"</formula>
    </cfRule>
  </conditionalFormatting>
  <conditionalFormatting sqref="L1996:M1996">
    <cfRule type="expression" dxfId="129" priority="346">
      <formula>$K1996="✔️✔️"</formula>
    </cfRule>
    <cfRule type="expression" dxfId="128" priority="347">
      <formula>$K1996="❌️"</formula>
    </cfRule>
    <cfRule type="expression" dxfId="127" priority="348">
      <formula>$K1996="✔️"</formula>
    </cfRule>
  </conditionalFormatting>
  <conditionalFormatting sqref="L2004:M2004">
    <cfRule type="expression" dxfId="126" priority="337">
      <formula>$K2004="✔️✔️"</formula>
    </cfRule>
    <cfRule type="expression" dxfId="125" priority="338">
      <formula>$K2004="❌️"</formula>
    </cfRule>
    <cfRule type="expression" dxfId="124" priority="339">
      <formula>$K2004="✔️"</formula>
    </cfRule>
  </conditionalFormatting>
  <conditionalFormatting sqref="L2020:M2020">
    <cfRule type="expression" dxfId="123" priority="298">
      <formula>$K2020="✔️✔️"</formula>
    </cfRule>
    <cfRule type="expression" dxfId="122" priority="299">
      <formula>$K2020="❌️"</formula>
    </cfRule>
    <cfRule type="expression" dxfId="121" priority="300">
      <formula>$K2020="✔️"</formula>
    </cfRule>
  </conditionalFormatting>
  <conditionalFormatting sqref="L2048:M2048">
    <cfRule type="expression" dxfId="120" priority="268">
      <formula>$K2048="✔️✔️"</formula>
    </cfRule>
    <cfRule type="expression" dxfId="119" priority="269">
      <formula>$K2048="❌️"</formula>
    </cfRule>
    <cfRule type="expression" dxfId="118" priority="270">
      <formula>$K2048="✔️"</formula>
    </cfRule>
  </conditionalFormatting>
  <conditionalFormatting sqref="L2057:M2057">
    <cfRule type="expression" dxfId="117" priority="259">
      <formula>$K2057="✔️✔️"</formula>
    </cfRule>
    <cfRule type="expression" dxfId="116" priority="260">
      <formula>$K2057="❌️"</formula>
    </cfRule>
    <cfRule type="expression" dxfId="115" priority="261">
      <formula>$K2057="✔️"</formula>
    </cfRule>
  </conditionalFormatting>
  <conditionalFormatting sqref="L2154:M2154">
    <cfRule type="expression" dxfId="114" priority="190">
      <formula>$K2154="❌️"</formula>
    </cfRule>
    <cfRule type="expression" dxfId="113" priority="191">
      <formula>$K2154="✔️"</formula>
    </cfRule>
    <cfRule type="expression" dxfId="112" priority="192">
      <formula>$K2154="✔️✔️"</formula>
    </cfRule>
  </conditionalFormatting>
  <conditionalFormatting sqref="L2262:M2262">
    <cfRule type="expression" dxfId="111" priority="109">
      <formula>$K2262="✔️✔️"</formula>
    </cfRule>
    <cfRule type="expression" dxfId="110" priority="110">
      <formula>$K2262="❌️"</formula>
    </cfRule>
    <cfRule type="expression" dxfId="109" priority="111">
      <formula>$K2262="✔️"</formula>
    </cfRule>
  </conditionalFormatting>
  <conditionalFormatting sqref="L2266:M2267">
    <cfRule type="expression" dxfId="108" priority="106">
      <formula>$K2266="✔️✔️"</formula>
    </cfRule>
    <cfRule type="expression" dxfId="107" priority="107">
      <formula>$K2266="❌️"</formula>
    </cfRule>
    <cfRule type="expression" dxfId="106" priority="108">
      <formula>$K2266="✔️"</formula>
    </cfRule>
  </conditionalFormatting>
  <conditionalFormatting sqref="L2270:M2271">
    <cfRule type="expression" dxfId="105" priority="1216">
      <formula>$K2266="✔️✔️"</formula>
    </cfRule>
    <cfRule type="expression" dxfId="104" priority="1217">
      <formula>$K2266="❌️"</formula>
    </cfRule>
    <cfRule type="expression" dxfId="103" priority="1218">
      <formula>$K2266="✔️"</formula>
    </cfRule>
  </conditionalFormatting>
  <conditionalFormatting sqref="L1792:O1796 I1793:J1796 H1792:J1792 H1793:H1811">
    <cfRule type="expression" dxfId="102" priority="544">
      <formula>$K1792="✔️✔️"</formula>
    </cfRule>
  </conditionalFormatting>
  <conditionalFormatting sqref="M2140:M2141">
    <cfRule type="expression" dxfId="101" priority="202">
      <formula>$K2140="✔️✔️"</formula>
    </cfRule>
    <cfRule type="expression" dxfId="100" priority="203">
      <formula>$K2140="❌️"</formula>
    </cfRule>
    <cfRule type="expression" dxfId="99" priority="204">
      <formula>$K2140="✔️"</formula>
    </cfRule>
  </conditionalFormatting>
  <conditionalFormatting sqref="M2254:M2257 K2262">
    <cfRule type="expression" dxfId="98" priority="118">
      <formula>$K2254="✔️✔️"</formula>
    </cfRule>
    <cfRule type="expression" dxfId="97" priority="119">
      <formula>$K2254="❌️"</formula>
    </cfRule>
    <cfRule type="expression" dxfId="96" priority="120">
      <formula>$K2254="✔️"</formula>
    </cfRule>
  </conditionalFormatting>
  <conditionalFormatting sqref="M1738:O1740 I1740:J1740 H1715:O1737 I1738:K1739 L1738:L1741 H1738:H1751">
    <cfRule type="expression" dxfId="95" priority="580">
      <formula>$K1715="✔️✔️"</formula>
    </cfRule>
  </conditionalFormatting>
  <conditionalFormatting sqref="N1294:N1295">
    <cfRule type="expression" dxfId="94" priority="841">
      <formula>$K1294="✔️✔️"</formula>
    </cfRule>
    <cfRule type="expression" dxfId="93" priority="842">
      <formula>$K1294="❌️"</formula>
    </cfRule>
    <cfRule type="expression" dxfId="92" priority="843">
      <formula>$K1294="✔️"</formula>
    </cfRule>
  </conditionalFormatting>
  <conditionalFormatting sqref="N2057:Q2057">
    <cfRule type="expression" dxfId="91" priority="448">
      <formula>$K2057="✔️✔️"</formula>
    </cfRule>
    <cfRule type="expression" dxfId="90" priority="449">
      <formula>$K2057="❌️"</formula>
    </cfRule>
    <cfRule type="expression" dxfId="89" priority="450">
      <formula>$K2057="✔️"</formula>
    </cfRule>
  </conditionalFormatting>
  <conditionalFormatting sqref="O1126">
    <cfRule type="expression" dxfId="88" priority="1168">
      <formula>$K1126="✔️✔️"</formula>
    </cfRule>
    <cfRule type="expression" dxfId="87" priority="1169">
      <formula>$K1126="❌️"</formula>
    </cfRule>
    <cfRule type="expression" dxfId="86" priority="1170">
      <formula>$K1126="✔️"</formula>
    </cfRule>
  </conditionalFormatting>
  <conditionalFormatting sqref="O1146">
    <cfRule type="expression" dxfId="85" priority="1156">
      <formula>$K1146="✔️✔️"</formula>
    </cfRule>
    <cfRule type="expression" dxfId="84" priority="1157">
      <formula>$K1146="❌️"</formula>
    </cfRule>
    <cfRule type="expression" dxfId="83" priority="1158">
      <formula>$K1146="✔️"</formula>
    </cfRule>
  </conditionalFormatting>
  <conditionalFormatting sqref="O1190">
    <cfRule type="expression" dxfId="82" priority="1102">
      <formula>$K1190="✔️✔️"</formula>
    </cfRule>
    <cfRule type="expression" dxfId="81" priority="1103">
      <formula>$K1190="❌️"</formula>
    </cfRule>
    <cfRule type="expression" dxfId="80" priority="1104">
      <formula>$K1190="✔️"</formula>
    </cfRule>
  </conditionalFormatting>
  <conditionalFormatting sqref="P1678:Q1697">
    <cfRule type="expression" dxfId="79" priority="631">
      <formula>$K1678="❌️"</formula>
    </cfRule>
    <cfRule type="expression" dxfId="78" priority="632">
      <formula>$K1678="✔️"</formula>
    </cfRule>
  </conditionalFormatting>
  <conditionalFormatting sqref="P1695:Q1697">
    <cfRule type="expression" dxfId="77" priority="636">
      <formula>$K1695="✔️✔️"</formula>
    </cfRule>
  </conditionalFormatting>
  <conditionalFormatting sqref="P2026:Q2045">
    <cfRule type="expression" dxfId="76" priority="292">
      <formula>$K2026="❌️"</formula>
    </cfRule>
    <cfRule type="expression" dxfId="75" priority="293">
      <formula>$K2026="✔️"</formula>
    </cfRule>
  </conditionalFormatting>
  <conditionalFormatting sqref="P2043:Q2045">
    <cfRule type="expression" dxfId="74" priority="297">
      <formula>$K2043="✔️✔️"</formula>
    </cfRule>
  </conditionalFormatting>
  <conditionalFormatting sqref="R1148:R1168 H1160:O1168 R1160:S1168">
    <cfRule type="expression" dxfId="73" priority="1141">
      <formula>$K1148="✔️✔️"</formula>
    </cfRule>
    <cfRule type="expression" dxfId="72" priority="1142">
      <formula>$K1148="❌️"</formula>
    </cfRule>
    <cfRule type="expression" dxfId="71" priority="1143">
      <formula>$K1148="✔️"</formula>
    </cfRule>
  </conditionalFormatting>
  <conditionalFormatting sqref="R1468:R1495">
    <cfRule type="expression" dxfId="70" priority="835">
      <formula>$K1468="✔️✔️"</formula>
    </cfRule>
    <cfRule type="expression" dxfId="69" priority="836">
      <formula>$K1468="❌️"</formula>
    </cfRule>
    <cfRule type="expression" dxfId="68" priority="837">
      <formula>$K1468="✔️"</formula>
    </cfRule>
  </conditionalFormatting>
  <conditionalFormatting sqref="R2043:R2062">
    <cfRule type="expression" dxfId="67" priority="256">
      <formula>$K2043="✔️✔️"</formula>
    </cfRule>
    <cfRule type="expression" dxfId="66" priority="257">
      <formula>$K2043="❌️"</formula>
    </cfRule>
    <cfRule type="expression" dxfId="65" priority="258">
      <formula>$K2043="✔️"</formula>
    </cfRule>
  </conditionalFormatting>
  <conditionalFormatting sqref="R1152:S1152 H1152:O1152">
    <cfRule type="expression" dxfId="64" priority="1147">
      <formula>$K1152="✔️✔️"</formula>
    </cfRule>
  </conditionalFormatting>
  <conditionalFormatting sqref="R1275:S1315">
    <cfRule type="expression" dxfId="63" priority="1042">
      <formula>$K1275="✔️✔️"</formula>
    </cfRule>
    <cfRule type="expression" dxfId="62" priority="1043">
      <formula>$K1275="❌️"</formula>
    </cfRule>
    <cfRule type="expression" dxfId="61" priority="1044">
      <formula>$K1275="✔️"</formula>
    </cfRule>
  </conditionalFormatting>
  <conditionalFormatting sqref="R1288:S1315 H1288:O1295">
    <cfRule type="expression" dxfId="60" priority="1030">
      <formula>$K1288="✔️✔️"</formula>
    </cfRule>
  </conditionalFormatting>
  <conditionalFormatting sqref="R1337:S1344">
    <cfRule type="expression" dxfId="59" priority="1006">
      <formula>$K1337="✔️✔️"</formula>
    </cfRule>
    <cfRule type="expression" dxfId="58" priority="1007">
      <formula>$K1337="❌️"</formula>
    </cfRule>
    <cfRule type="expression" dxfId="57" priority="1008">
      <formula>$K1337="✔️"</formula>
    </cfRule>
  </conditionalFormatting>
  <conditionalFormatting sqref="R1341:S1344">
    <cfRule type="expression" dxfId="56" priority="1000">
      <formula>$K1341="✔️✔️"</formula>
    </cfRule>
    <cfRule type="expression" dxfId="55" priority="1001">
      <formula>$K1341="❌️"</formula>
    </cfRule>
    <cfRule type="expression" dxfId="54" priority="1002">
      <formula>$K1341="✔️"</formula>
    </cfRule>
  </conditionalFormatting>
  <conditionalFormatting sqref="R1366:S1388">
    <cfRule type="expression" dxfId="53" priority="970">
      <formula>$K1366="✔️✔️"</formula>
    </cfRule>
    <cfRule type="expression" dxfId="52" priority="971">
      <formula>$K1366="❌️"</formula>
    </cfRule>
    <cfRule type="expression" dxfId="51" priority="972">
      <formula>$K1366="✔️"</formula>
    </cfRule>
  </conditionalFormatting>
  <conditionalFormatting sqref="R1385:S1388">
    <cfRule type="expression" dxfId="50" priority="958">
      <formula>$K1385="✔️✔️"</formula>
    </cfRule>
    <cfRule type="expression" dxfId="49" priority="959">
      <formula>$K1385="❌️"</formula>
    </cfRule>
    <cfRule type="expression" dxfId="48" priority="960">
      <formula>$K1385="✔️"</formula>
    </cfRule>
  </conditionalFormatting>
  <conditionalFormatting sqref="R1391:S1448">
    <cfRule type="expression" dxfId="47" priority="949">
      <formula>$K1391="✔️✔️"</formula>
    </cfRule>
    <cfRule type="expression" dxfId="46" priority="950">
      <formula>$K1391="❌️"</formula>
    </cfRule>
    <cfRule type="expression" dxfId="45" priority="951">
      <formula>$K1391="✔️"</formula>
    </cfRule>
  </conditionalFormatting>
  <conditionalFormatting sqref="R1442:S1467">
    <cfRule type="expression" dxfId="44" priority="886">
      <formula>$K1442="✔️✔️"</formula>
    </cfRule>
    <cfRule type="expression" dxfId="43" priority="887">
      <formula>$K1442="❌️"</formula>
    </cfRule>
    <cfRule type="expression" dxfId="42" priority="888">
      <formula>$K1442="✔️"</formula>
    </cfRule>
  </conditionalFormatting>
  <conditionalFormatting sqref="R1449:S1467">
    <cfRule type="expression" dxfId="41" priority="877">
      <formula>$K1449="✔️✔️"</formula>
    </cfRule>
    <cfRule type="expression" dxfId="40" priority="878">
      <formula>$K1449="❌️"</formula>
    </cfRule>
    <cfRule type="expression" dxfId="39" priority="879">
      <formula>$K1449="✔️"</formula>
    </cfRule>
    <cfRule type="expression" dxfId="38" priority="880">
      <formula>$K1449="✔️✔️"</formula>
    </cfRule>
    <cfRule type="expression" dxfId="37" priority="881">
      <formula>$K1449="❌️"</formula>
    </cfRule>
    <cfRule type="expression" dxfId="36" priority="882">
      <formula>$K1449="✔️"</formula>
    </cfRule>
    <cfRule type="expression" dxfId="35" priority="883">
      <formula>$K1449="✔️✔️"</formula>
    </cfRule>
    <cfRule type="expression" dxfId="34" priority="884">
      <formula>$K1449="❌️"</formula>
    </cfRule>
    <cfRule type="expression" dxfId="33" priority="885">
      <formula>$K1449="✔️"</formula>
    </cfRule>
  </conditionalFormatting>
  <conditionalFormatting sqref="R1550:S1677">
    <cfRule type="expression" dxfId="32" priority="661">
      <formula>$K1550="✔️✔️"</formula>
    </cfRule>
    <cfRule type="expression" dxfId="31" priority="662">
      <formula>$K1550="❌️"</formula>
    </cfRule>
    <cfRule type="expression" dxfId="30" priority="663">
      <formula>$K1550="✔️"</formula>
    </cfRule>
  </conditionalFormatting>
  <conditionalFormatting sqref="R1695:S1945 H1699:H1714 H1940:Q1945 R1974:R2025 S1974:S2106 R2067:R2106 H2085:H2102 K2263:M2265 K2266:K2267">
    <cfRule type="expression" dxfId="29" priority="592">
      <formula>$K1695="✔️✔️"</formula>
    </cfRule>
    <cfRule type="expression" dxfId="28" priority="593">
      <formula>$K1695="❌️"</formula>
    </cfRule>
    <cfRule type="expression" dxfId="27" priority="594">
      <formula>$K1695="✔️"</formula>
    </cfRule>
  </conditionalFormatting>
  <conditionalFormatting sqref="R2107:S2251">
    <cfRule type="expression" dxfId="26" priority="136">
      <formula>$K2107="✔️✔️"</formula>
    </cfRule>
    <cfRule type="expression" dxfId="25" priority="137">
      <formula>$K2107="❌️"</formula>
    </cfRule>
    <cfRule type="expression" dxfId="24" priority="138">
      <formula>$K2107="✔️"</formula>
    </cfRule>
  </conditionalFormatting>
  <conditionalFormatting sqref="R2225:S2251">
    <cfRule type="expression" dxfId="23" priority="133">
      <formula>$K2225="✔️✔️"</formula>
    </cfRule>
    <cfRule type="expression" dxfId="22" priority="134">
      <formula>$K2225="❌️"</formula>
    </cfRule>
    <cfRule type="expression" dxfId="21" priority="135">
      <formula>$K2225="✔️"</formula>
    </cfRule>
  </conditionalFormatting>
  <conditionalFormatting sqref="R2299:S2527">
    <cfRule type="expression" dxfId="20" priority="1">
      <formula>$K2299="✔️✔️"</formula>
    </cfRule>
    <cfRule type="expression" dxfId="19" priority="2">
      <formula>$K2299="❌️"</formula>
    </cfRule>
    <cfRule type="expression" dxfId="18" priority="3">
      <formula>$K2299="✔️"</formula>
    </cfRule>
  </conditionalFormatting>
  <conditionalFormatting sqref="S1468:S1495 H1468:H1522">
    <cfRule type="expression" dxfId="17" priority="838">
      <formula>$K1468="✔️✔️"</formula>
    </cfRule>
    <cfRule type="expression" dxfId="16" priority="839">
      <formula>$K1468="❌️"</formula>
    </cfRule>
    <cfRule type="expression" dxfId="15" priority="840">
      <formula>$K1468="✔️"</formula>
    </cfRule>
  </conditionalFormatting>
  <dataValidations count="1">
    <dataValidation type="list" allowBlank="1" showInputMessage="1" showErrorMessage="1" sqref="K1947:K2527 K2:K1945" xr:uid="{9B2B271E-AD87-4EAA-8D6F-87CAFB79EB23}">
      <formula1>"✔️,✔️✔️,❌,NA"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FFCD5-B6A7-4590-9959-5AD11F538BC4}">
  <sheetPr codeName="Planilha2"/>
  <dimension ref="A1:L76"/>
  <sheetViews>
    <sheetView topLeftCell="A24" zoomScale="70" zoomScaleNormal="70" workbookViewId="0">
      <selection activeCell="A73" sqref="A73:L76"/>
    </sheetView>
  </sheetViews>
  <sheetFormatPr defaultRowHeight="14.4" x14ac:dyDescent="0.3"/>
  <cols>
    <col min="1" max="1" width="9.5546875" customWidth="1"/>
    <col min="2" max="2" width="23.6640625" customWidth="1"/>
    <col min="3" max="3" width="70.5546875" customWidth="1"/>
    <col min="12" max="12" width="8.88671875" customWidth="1"/>
  </cols>
  <sheetData>
    <row r="1" spans="1:12" ht="20.399999999999999" customHeight="1" x14ac:dyDescent="0.4">
      <c r="A1" s="77" t="s">
        <v>314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2" ht="46.2" customHeight="1" x14ac:dyDescent="0.3">
      <c r="A2" s="17"/>
      <c r="B2" s="17" t="s">
        <v>14</v>
      </c>
      <c r="C2" s="18" t="s">
        <v>15</v>
      </c>
      <c r="D2" s="27"/>
      <c r="E2" s="17"/>
      <c r="F2" s="17"/>
      <c r="G2" s="20"/>
      <c r="H2" s="17">
        <v>3</v>
      </c>
      <c r="I2" s="17">
        <v>3</v>
      </c>
      <c r="J2" s="17">
        <v>3</v>
      </c>
      <c r="K2" s="17"/>
      <c r="L2" s="17"/>
    </row>
    <row r="3" spans="1:12" ht="46.2" customHeight="1" x14ac:dyDescent="0.3">
      <c r="A3" s="17"/>
      <c r="B3" s="17" t="s">
        <v>14</v>
      </c>
      <c r="C3" s="18" t="s">
        <v>16</v>
      </c>
      <c r="D3" s="27"/>
      <c r="E3" s="17"/>
      <c r="F3" s="17"/>
      <c r="G3" s="20"/>
      <c r="H3" s="17">
        <v>1</v>
      </c>
      <c r="I3" s="17">
        <v>0</v>
      </c>
      <c r="J3" s="26">
        <v>0.5</v>
      </c>
      <c r="K3" s="17"/>
      <c r="L3" s="17"/>
    </row>
    <row r="4" spans="1:12" ht="46.2" customHeight="1" x14ac:dyDescent="0.3">
      <c r="A4" s="17"/>
      <c r="B4" s="17" t="s">
        <v>10</v>
      </c>
      <c r="C4" s="18" t="s">
        <v>11</v>
      </c>
      <c r="D4" s="27"/>
      <c r="E4" s="17"/>
      <c r="F4" s="17"/>
      <c r="G4" s="20"/>
      <c r="H4" s="17">
        <v>3</v>
      </c>
      <c r="I4" s="17">
        <v>3</v>
      </c>
      <c r="J4" s="17">
        <v>3</v>
      </c>
      <c r="K4" s="17"/>
      <c r="L4" s="17"/>
    </row>
    <row r="5" spans="1:12" ht="46.2" customHeight="1" x14ac:dyDescent="0.3">
      <c r="A5" s="17"/>
      <c r="B5" s="17" t="s">
        <v>10</v>
      </c>
      <c r="C5" s="18" t="s">
        <v>316</v>
      </c>
      <c r="D5" s="27"/>
      <c r="E5" s="17"/>
      <c r="F5" s="17"/>
      <c r="G5" s="20"/>
      <c r="H5" s="17">
        <v>3</v>
      </c>
      <c r="I5" s="17">
        <v>3</v>
      </c>
      <c r="J5" s="17">
        <v>3</v>
      </c>
      <c r="K5" s="17"/>
      <c r="L5" s="17"/>
    </row>
    <row r="6" spans="1:12" ht="46.2" customHeight="1" x14ac:dyDescent="0.3">
      <c r="A6" s="17"/>
      <c r="B6" s="17" t="s">
        <v>10</v>
      </c>
      <c r="C6" s="18" t="s">
        <v>319</v>
      </c>
      <c r="D6" s="27"/>
      <c r="E6" s="17"/>
      <c r="F6" s="17"/>
      <c r="G6" s="20"/>
      <c r="H6" s="17">
        <v>3</v>
      </c>
      <c r="I6" s="17">
        <v>3</v>
      </c>
      <c r="J6" s="17">
        <v>3</v>
      </c>
      <c r="K6" s="17"/>
      <c r="L6" s="17"/>
    </row>
    <row r="7" spans="1:12" ht="46.2" customHeight="1" x14ac:dyDescent="0.3">
      <c r="A7" s="17"/>
      <c r="B7" s="17" t="s">
        <v>10</v>
      </c>
      <c r="C7" s="18" t="s">
        <v>313</v>
      </c>
      <c r="D7" s="27"/>
      <c r="E7" s="17"/>
      <c r="F7" s="17"/>
      <c r="G7" s="20"/>
      <c r="H7" s="17">
        <v>3</v>
      </c>
      <c r="I7" s="17">
        <v>3</v>
      </c>
      <c r="J7" s="17">
        <v>3</v>
      </c>
      <c r="K7" s="17"/>
      <c r="L7" s="17"/>
    </row>
    <row r="8" spans="1:12" ht="46.2" customHeight="1" x14ac:dyDescent="0.3">
      <c r="A8" s="29"/>
      <c r="B8" s="72" t="s">
        <v>10</v>
      </c>
      <c r="C8" s="73" t="s">
        <v>393</v>
      </c>
      <c r="D8" s="30"/>
      <c r="E8" s="29"/>
      <c r="F8" s="29"/>
      <c r="G8" s="31"/>
      <c r="H8" s="29">
        <v>2</v>
      </c>
      <c r="I8" s="29">
        <v>2</v>
      </c>
      <c r="J8" s="29">
        <v>2</v>
      </c>
      <c r="K8" s="29"/>
      <c r="L8" s="29"/>
    </row>
    <row r="9" spans="1:12" ht="46.2" customHeight="1" x14ac:dyDescent="0.3">
      <c r="A9" s="17"/>
      <c r="B9" s="17" t="s">
        <v>12</v>
      </c>
      <c r="C9" s="18" t="s">
        <v>324</v>
      </c>
      <c r="D9" s="27"/>
      <c r="E9" s="17"/>
      <c r="F9" s="17"/>
      <c r="G9" s="20"/>
      <c r="H9" s="17">
        <v>2</v>
      </c>
      <c r="I9" s="17">
        <v>2</v>
      </c>
      <c r="J9" s="17">
        <v>2</v>
      </c>
      <c r="K9" s="17"/>
      <c r="L9" s="17"/>
    </row>
    <row r="10" spans="1:12" ht="46.2" customHeight="1" x14ac:dyDescent="0.3">
      <c r="A10" s="17"/>
      <c r="B10" s="17" t="s">
        <v>17</v>
      </c>
      <c r="C10" s="18" t="s">
        <v>325</v>
      </c>
      <c r="D10" s="27"/>
      <c r="E10" s="17"/>
      <c r="F10" s="17"/>
      <c r="G10" s="20"/>
      <c r="H10" s="17">
        <v>3</v>
      </c>
      <c r="I10" s="17">
        <v>3</v>
      </c>
      <c r="J10" s="17">
        <v>3</v>
      </c>
      <c r="K10" s="17"/>
      <c r="L10" s="17"/>
    </row>
    <row r="11" spans="1:12" ht="46.2" customHeight="1" x14ac:dyDescent="0.3">
      <c r="A11" s="17"/>
      <c r="B11" s="17" t="s">
        <v>17</v>
      </c>
      <c r="C11" s="18" t="s">
        <v>19</v>
      </c>
      <c r="D11" s="27"/>
      <c r="E11" s="17"/>
      <c r="F11" s="17"/>
      <c r="G11" s="20"/>
      <c r="H11" s="17">
        <v>3</v>
      </c>
      <c r="I11" s="17">
        <v>3</v>
      </c>
      <c r="J11" s="17">
        <v>3</v>
      </c>
      <c r="K11" s="17"/>
      <c r="L11" s="17"/>
    </row>
    <row r="12" spans="1:12" ht="46.2" customHeight="1" x14ac:dyDescent="0.3">
      <c r="A12" s="17"/>
      <c r="B12" s="17" t="s">
        <v>20</v>
      </c>
      <c r="C12" s="18" t="s">
        <v>21</v>
      </c>
      <c r="D12" s="27"/>
      <c r="E12" s="17"/>
      <c r="F12" s="17"/>
      <c r="G12" s="20"/>
      <c r="H12" s="17">
        <v>3</v>
      </c>
      <c r="I12" s="17">
        <v>0</v>
      </c>
      <c r="J12" s="17">
        <v>1.5</v>
      </c>
      <c r="K12" s="17"/>
      <c r="L12" s="17"/>
    </row>
    <row r="13" spans="1:12" ht="46.2" customHeight="1" x14ac:dyDescent="0.3">
      <c r="A13" s="17"/>
      <c r="B13" s="17" t="s">
        <v>20</v>
      </c>
      <c r="C13" s="18" t="s">
        <v>311</v>
      </c>
      <c r="D13" s="27"/>
      <c r="E13" s="17"/>
      <c r="F13" s="17"/>
      <c r="G13" s="20"/>
      <c r="H13" s="17">
        <v>1</v>
      </c>
      <c r="I13" s="17">
        <v>1</v>
      </c>
      <c r="J13" s="17">
        <v>1</v>
      </c>
      <c r="K13" s="17"/>
      <c r="L13" s="17"/>
    </row>
    <row r="14" spans="1:12" ht="40.799999999999997" customHeight="1" x14ac:dyDescent="0.3">
      <c r="A14" s="17"/>
      <c r="B14" s="17" t="s">
        <v>22</v>
      </c>
      <c r="C14" s="18" t="s">
        <v>23</v>
      </c>
      <c r="D14" s="27"/>
      <c r="E14" s="17"/>
      <c r="F14" s="17"/>
      <c r="G14" s="20"/>
      <c r="H14" s="17">
        <v>1</v>
      </c>
      <c r="I14" s="17">
        <v>1</v>
      </c>
      <c r="J14" s="17">
        <v>1</v>
      </c>
      <c r="K14" s="17"/>
      <c r="L14" s="17"/>
    </row>
    <row r="15" spans="1:12" ht="40.799999999999997" customHeight="1" x14ac:dyDescent="0.3">
      <c r="A15" s="17"/>
      <c r="B15" s="17" t="s">
        <v>22</v>
      </c>
      <c r="C15" s="18" t="s">
        <v>322</v>
      </c>
      <c r="D15" s="27"/>
      <c r="E15" s="17"/>
      <c r="F15" s="17"/>
      <c r="G15" s="20"/>
      <c r="H15" s="17">
        <v>1</v>
      </c>
      <c r="I15" s="17">
        <v>1</v>
      </c>
      <c r="J15" s="17">
        <v>1</v>
      </c>
      <c r="K15" s="17"/>
      <c r="L15" s="17"/>
    </row>
    <row r="16" spans="1:12" ht="46.2" customHeight="1" x14ac:dyDescent="0.3">
      <c r="A16" s="17"/>
      <c r="B16" s="17" t="s">
        <v>25</v>
      </c>
      <c r="C16" s="18" t="s">
        <v>323</v>
      </c>
      <c r="D16" s="27"/>
      <c r="E16" s="17"/>
      <c r="F16" s="17"/>
      <c r="G16" s="20"/>
      <c r="H16" s="17">
        <v>3</v>
      </c>
      <c r="I16" s="17">
        <v>3</v>
      </c>
      <c r="J16" s="17">
        <v>3</v>
      </c>
      <c r="K16" s="17"/>
      <c r="L16" s="17"/>
    </row>
    <row r="17" spans="1:12" ht="46.2" customHeight="1" x14ac:dyDescent="0.3">
      <c r="A17" s="17"/>
      <c r="B17" s="17" t="s">
        <v>25</v>
      </c>
      <c r="C17" s="18" t="s">
        <v>29</v>
      </c>
      <c r="D17" s="27"/>
      <c r="E17" s="17"/>
      <c r="F17" s="17"/>
      <c r="G17" s="20"/>
      <c r="H17" s="17">
        <v>3</v>
      </c>
      <c r="I17" s="17">
        <v>3</v>
      </c>
      <c r="J17" s="17">
        <v>3</v>
      </c>
      <c r="K17" s="17"/>
      <c r="L17" s="17"/>
    </row>
    <row r="18" spans="1:12" ht="46.2" customHeight="1" x14ac:dyDescent="0.3">
      <c r="A18" s="17"/>
      <c r="B18" s="17" t="s">
        <v>31</v>
      </c>
      <c r="C18" s="18" t="s">
        <v>32</v>
      </c>
      <c r="D18" s="27"/>
      <c r="E18" s="17"/>
      <c r="F18" s="17"/>
      <c r="G18" s="20"/>
      <c r="H18" s="17">
        <v>3</v>
      </c>
      <c r="I18" s="17">
        <v>0</v>
      </c>
      <c r="J18" s="17">
        <v>1.5</v>
      </c>
      <c r="K18" s="17"/>
      <c r="L18" s="17"/>
    </row>
    <row r="19" spans="1:12" ht="46.2" customHeight="1" x14ac:dyDescent="0.3">
      <c r="A19" s="17"/>
      <c r="B19" s="17" t="s">
        <v>30</v>
      </c>
      <c r="C19" s="18" t="s">
        <v>315</v>
      </c>
      <c r="D19" s="27"/>
      <c r="E19" s="17"/>
      <c r="F19" s="17"/>
      <c r="G19" s="20"/>
      <c r="H19" s="17">
        <v>3</v>
      </c>
      <c r="I19" s="17">
        <v>3</v>
      </c>
      <c r="J19" s="17">
        <v>3</v>
      </c>
      <c r="K19" s="17"/>
      <c r="L19" s="17"/>
    </row>
    <row r="20" spans="1:12" ht="46.2" customHeight="1" x14ac:dyDescent="0.3">
      <c r="A20" s="17"/>
      <c r="B20" s="17" t="s">
        <v>33</v>
      </c>
      <c r="C20" s="18" t="s">
        <v>131</v>
      </c>
      <c r="D20" s="27"/>
      <c r="E20" s="17"/>
      <c r="F20" s="17"/>
      <c r="G20" s="20"/>
      <c r="H20" s="17">
        <v>3</v>
      </c>
      <c r="I20" s="17">
        <v>3</v>
      </c>
      <c r="J20" s="17">
        <v>3</v>
      </c>
      <c r="K20" s="17"/>
      <c r="L20" s="17"/>
    </row>
    <row r="21" spans="1:12" ht="46.2" customHeight="1" x14ac:dyDescent="0.3">
      <c r="A21" s="17"/>
      <c r="B21" s="17" t="s">
        <v>33</v>
      </c>
      <c r="C21" s="18" t="s">
        <v>326</v>
      </c>
      <c r="D21" s="27"/>
      <c r="E21" s="17"/>
      <c r="F21" s="17"/>
      <c r="G21" s="20"/>
      <c r="H21" s="17">
        <v>3</v>
      </c>
      <c r="I21" s="17">
        <v>3</v>
      </c>
      <c r="J21" s="17">
        <v>3</v>
      </c>
      <c r="K21" s="17"/>
      <c r="L21" s="17"/>
    </row>
    <row r="22" spans="1:12" ht="46.2" customHeight="1" x14ac:dyDescent="0.3">
      <c r="A22" s="17"/>
      <c r="B22" s="17" t="s">
        <v>33</v>
      </c>
      <c r="C22" s="18" t="s">
        <v>310</v>
      </c>
      <c r="D22" s="27"/>
      <c r="E22" s="17"/>
      <c r="F22" s="17"/>
      <c r="G22" s="20"/>
      <c r="H22" s="17">
        <v>3</v>
      </c>
      <c r="I22" s="17">
        <v>0</v>
      </c>
      <c r="J22" s="17">
        <v>1.5</v>
      </c>
      <c r="K22" s="17"/>
      <c r="L22" s="17"/>
    </row>
    <row r="23" spans="1:12" ht="43.2" customHeight="1" x14ac:dyDescent="0.3">
      <c r="A23" s="17"/>
      <c r="B23" s="17" t="s">
        <v>33</v>
      </c>
      <c r="C23" s="28" t="s">
        <v>36</v>
      </c>
      <c r="D23" s="27"/>
      <c r="E23" s="17"/>
      <c r="F23" s="17"/>
      <c r="G23" s="20"/>
      <c r="H23" s="17">
        <v>3</v>
      </c>
      <c r="I23" s="17">
        <v>0</v>
      </c>
      <c r="J23" s="17">
        <v>3</v>
      </c>
      <c r="K23" s="17"/>
      <c r="L23" s="17"/>
    </row>
    <row r="24" spans="1:12" ht="46.2" customHeight="1" x14ac:dyDescent="0.3">
      <c r="A24" s="17"/>
      <c r="B24" s="17" t="s">
        <v>33</v>
      </c>
      <c r="C24" s="18" t="s">
        <v>37</v>
      </c>
      <c r="D24" s="27"/>
      <c r="E24" s="17"/>
      <c r="F24" s="17"/>
      <c r="G24" s="20"/>
      <c r="H24" s="17">
        <v>3</v>
      </c>
      <c r="I24" s="17">
        <v>0</v>
      </c>
      <c r="J24" s="17">
        <v>3</v>
      </c>
      <c r="K24" s="17"/>
      <c r="L24" s="17"/>
    </row>
    <row r="25" spans="1:12" ht="46.2" customHeight="1" x14ac:dyDescent="0.3">
      <c r="A25" s="17"/>
      <c r="B25" s="17" t="s">
        <v>38</v>
      </c>
      <c r="C25" s="18" t="s">
        <v>327</v>
      </c>
      <c r="D25" s="27"/>
      <c r="E25" s="17"/>
      <c r="F25" s="17"/>
      <c r="G25" s="20"/>
      <c r="H25" s="17">
        <v>3</v>
      </c>
      <c r="I25" s="17">
        <v>3</v>
      </c>
      <c r="J25" s="17">
        <v>3</v>
      </c>
      <c r="K25" s="17"/>
      <c r="L25" s="17"/>
    </row>
    <row r="26" spans="1:12" ht="46.2" customHeight="1" x14ac:dyDescent="0.3">
      <c r="A26" s="17"/>
      <c r="B26" s="17" t="s">
        <v>38</v>
      </c>
      <c r="C26" s="28" t="s">
        <v>40</v>
      </c>
      <c r="D26" s="27"/>
      <c r="E26" s="17"/>
      <c r="F26" s="17"/>
      <c r="G26" s="20"/>
      <c r="H26" s="17">
        <v>3</v>
      </c>
      <c r="I26" s="17">
        <v>3</v>
      </c>
      <c r="J26" s="17">
        <v>3</v>
      </c>
      <c r="K26" s="17"/>
      <c r="L26" s="17"/>
    </row>
    <row r="27" spans="1:12" ht="46.2" customHeight="1" x14ac:dyDescent="0.3">
      <c r="A27" s="17"/>
      <c r="B27" s="17" t="s">
        <v>41</v>
      </c>
      <c r="C27" s="18" t="s">
        <v>307</v>
      </c>
      <c r="D27" s="27"/>
      <c r="E27" s="17"/>
      <c r="F27" s="17"/>
      <c r="G27" s="20"/>
      <c r="H27" s="17">
        <v>3</v>
      </c>
      <c r="I27" s="17">
        <v>0</v>
      </c>
      <c r="J27" s="17">
        <v>1.5</v>
      </c>
      <c r="K27" s="17"/>
      <c r="L27" s="17"/>
    </row>
    <row r="28" spans="1:12" ht="46.2" customHeight="1" x14ac:dyDescent="0.3">
      <c r="A28" s="23"/>
      <c r="B28" s="23" t="s">
        <v>41</v>
      </c>
      <c r="C28" s="18" t="s">
        <v>308</v>
      </c>
      <c r="D28" s="27"/>
      <c r="E28" s="23"/>
      <c r="F28" s="23"/>
      <c r="G28" s="25"/>
      <c r="H28" s="23">
        <v>2</v>
      </c>
      <c r="I28" s="23">
        <v>0</v>
      </c>
      <c r="J28" s="17">
        <v>2</v>
      </c>
      <c r="K28" s="23"/>
      <c r="L28" s="17"/>
    </row>
    <row r="29" spans="1:12" ht="21" customHeight="1" x14ac:dyDescent="0.4">
      <c r="A29" s="77" t="s">
        <v>317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</row>
    <row r="30" spans="1:12" ht="46.2" customHeight="1" x14ac:dyDescent="0.3">
      <c r="A30" s="17"/>
      <c r="B30" s="17" t="s">
        <v>14</v>
      </c>
      <c r="C30" s="18" t="s">
        <v>15</v>
      </c>
      <c r="D30" s="19"/>
      <c r="E30" s="17"/>
      <c r="F30" s="17"/>
      <c r="G30" s="20"/>
      <c r="H30" s="17">
        <v>3</v>
      </c>
      <c r="I30" s="17">
        <v>3</v>
      </c>
      <c r="J30" s="17">
        <v>3</v>
      </c>
      <c r="K30" s="17"/>
      <c r="L30" s="17"/>
    </row>
    <row r="31" spans="1:12" ht="46.2" customHeight="1" x14ac:dyDescent="0.3">
      <c r="A31" s="17"/>
      <c r="B31" s="17" t="s">
        <v>14</v>
      </c>
      <c r="C31" s="18" t="s">
        <v>16</v>
      </c>
      <c r="D31" s="19"/>
      <c r="E31" s="17"/>
      <c r="F31" s="17"/>
      <c r="G31" s="20"/>
      <c r="H31" s="17">
        <v>1</v>
      </c>
      <c r="I31" s="17">
        <v>0</v>
      </c>
      <c r="J31" s="17">
        <v>1</v>
      </c>
      <c r="K31" s="17"/>
      <c r="L31" s="17"/>
    </row>
    <row r="32" spans="1:12" ht="46.2" customHeight="1" x14ac:dyDescent="0.3">
      <c r="A32" s="17"/>
      <c r="B32" s="17" t="s">
        <v>10</v>
      </c>
      <c r="C32" s="18" t="s">
        <v>11</v>
      </c>
      <c r="D32" s="19"/>
      <c r="E32" s="17"/>
      <c r="F32" s="17"/>
      <c r="G32" s="20"/>
      <c r="H32" s="17">
        <v>2</v>
      </c>
      <c r="I32" s="17">
        <v>2</v>
      </c>
      <c r="J32" s="17">
        <v>2</v>
      </c>
      <c r="K32" s="17"/>
      <c r="L32" s="17"/>
    </row>
    <row r="33" spans="1:12" ht="46.2" customHeight="1" x14ac:dyDescent="0.3">
      <c r="A33" s="17"/>
      <c r="B33" s="17" t="s">
        <v>10</v>
      </c>
      <c r="C33" s="18" t="s">
        <v>316</v>
      </c>
      <c r="D33" s="19"/>
      <c r="E33" s="17"/>
      <c r="F33" s="17"/>
      <c r="G33" s="20"/>
      <c r="H33" s="17">
        <v>3</v>
      </c>
      <c r="I33" s="17">
        <v>3</v>
      </c>
      <c r="J33" s="17">
        <v>3</v>
      </c>
      <c r="K33" s="17"/>
      <c r="L33" s="17"/>
    </row>
    <row r="34" spans="1:12" ht="46.2" customHeight="1" x14ac:dyDescent="0.3">
      <c r="A34" s="17"/>
      <c r="B34" s="17" t="s">
        <v>10</v>
      </c>
      <c r="C34" s="18" t="s">
        <v>319</v>
      </c>
      <c r="D34" s="19"/>
      <c r="E34" s="17"/>
      <c r="F34" s="17"/>
      <c r="G34" s="20"/>
      <c r="H34" s="17">
        <v>3</v>
      </c>
      <c r="I34" s="17">
        <v>0</v>
      </c>
      <c r="J34" s="17">
        <v>3</v>
      </c>
      <c r="K34" s="17"/>
      <c r="L34" s="17"/>
    </row>
    <row r="35" spans="1:12" ht="46.2" customHeight="1" x14ac:dyDescent="0.3">
      <c r="A35" s="17"/>
      <c r="B35" s="17" t="s">
        <v>10</v>
      </c>
      <c r="C35" s="18" t="s">
        <v>393</v>
      </c>
      <c r="D35" s="27"/>
      <c r="E35" s="17"/>
      <c r="F35" s="17"/>
      <c r="G35" s="31"/>
      <c r="H35" s="29">
        <v>2</v>
      </c>
      <c r="I35" s="29">
        <v>2</v>
      </c>
      <c r="J35" s="29">
        <v>2</v>
      </c>
      <c r="K35" s="29"/>
      <c r="L35" s="29"/>
    </row>
    <row r="36" spans="1:12" ht="46.2" customHeight="1" x14ac:dyDescent="0.3">
      <c r="A36" s="17"/>
      <c r="B36" s="17" t="s">
        <v>10</v>
      </c>
      <c r="C36" s="18" t="s">
        <v>313</v>
      </c>
      <c r="D36" s="19"/>
      <c r="E36" s="17"/>
      <c r="F36" s="17"/>
      <c r="G36" s="20"/>
      <c r="H36" s="17">
        <v>3</v>
      </c>
      <c r="I36" s="17">
        <v>3</v>
      </c>
      <c r="J36" s="17">
        <v>3</v>
      </c>
      <c r="K36" s="17"/>
      <c r="L36" s="17"/>
    </row>
    <row r="37" spans="1:12" ht="46.2" customHeight="1" x14ac:dyDescent="0.3">
      <c r="A37" s="17"/>
      <c r="B37" s="17" t="s">
        <v>12</v>
      </c>
      <c r="C37" s="18" t="s">
        <v>13</v>
      </c>
      <c r="D37" s="19"/>
      <c r="E37" s="17"/>
      <c r="F37" s="17"/>
      <c r="G37" s="20"/>
      <c r="H37" s="17">
        <v>2</v>
      </c>
      <c r="I37" s="17">
        <v>0</v>
      </c>
      <c r="J37" s="17">
        <v>1</v>
      </c>
      <c r="K37" s="17"/>
      <c r="L37" s="17"/>
    </row>
    <row r="38" spans="1:12" ht="46.2" customHeight="1" x14ac:dyDescent="0.3">
      <c r="A38" s="17"/>
      <c r="B38" s="17" t="s">
        <v>17</v>
      </c>
      <c r="C38" s="18" t="s">
        <v>18</v>
      </c>
      <c r="D38" s="19"/>
      <c r="E38" s="17"/>
      <c r="F38" s="17"/>
      <c r="G38" s="20"/>
      <c r="H38" s="17">
        <v>3</v>
      </c>
      <c r="I38" s="17">
        <v>3</v>
      </c>
      <c r="J38" s="17">
        <v>3</v>
      </c>
      <c r="K38" s="17"/>
      <c r="L38" s="17"/>
    </row>
    <row r="39" spans="1:12" ht="46.2" customHeight="1" x14ac:dyDescent="0.3">
      <c r="A39" s="17"/>
      <c r="B39" s="17" t="s">
        <v>17</v>
      </c>
      <c r="C39" s="18" t="s">
        <v>19</v>
      </c>
      <c r="D39" s="19"/>
      <c r="E39" s="17"/>
      <c r="F39" s="17"/>
      <c r="G39" s="20"/>
      <c r="H39" s="17">
        <v>3</v>
      </c>
      <c r="I39" s="17">
        <v>0</v>
      </c>
      <c r="J39" s="17">
        <v>3</v>
      </c>
      <c r="K39" s="17"/>
      <c r="L39" s="17"/>
    </row>
    <row r="40" spans="1:12" ht="46.2" customHeight="1" x14ac:dyDescent="0.3">
      <c r="A40" s="17"/>
      <c r="B40" s="17" t="s">
        <v>20</v>
      </c>
      <c r="C40" s="18" t="s">
        <v>21</v>
      </c>
      <c r="D40" s="19"/>
      <c r="E40" s="17"/>
      <c r="F40" s="17"/>
      <c r="G40" s="20"/>
      <c r="H40" s="17">
        <v>3</v>
      </c>
      <c r="I40" s="17">
        <v>0</v>
      </c>
      <c r="J40" s="17">
        <v>3</v>
      </c>
      <c r="K40" s="17"/>
      <c r="L40" s="17"/>
    </row>
    <row r="41" spans="1:12" ht="46.2" customHeight="1" x14ac:dyDescent="0.3">
      <c r="A41" s="17"/>
      <c r="B41" s="17" t="s">
        <v>20</v>
      </c>
      <c r="C41" s="18" t="s">
        <v>311</v>
      </c>
      <c r="D41" s="19"/>
      <c r="E41" s="17"/>
      <c r="F41" s="17"/>
      <c r="G41" s="20"/>
      <c r="H41" s="17">
        <v>1</v>
      </c>
      <c r="I41" s="17">
        <v>0</v>
      </c>
      <c r="J41" s="17">
        <v>1</v>
      </c>
      <c r="K41" s="17"/>
      <c r="L41" s="17"/>
    </row>
    <row r="42" spans="1:12" ht="46.2" customHeight="1" x14ac:dyDescent="0.3">
      <c r="A42" s="17"/>
      <c r="B42" s="17" t="s">
        <v>30</v>
      </c>
      <c r="C42" s="18" t="s">
        <v>315</v>
      </c>
      <c r="D42" s="19"/>
      <c r="E42" s="17"/>
      <c r="F42" s="17"/>
      <c r="G42" s="20"/>
      <c r="H42" s="17">
        <v>3</v>
      </c>
      <c r="I42" s="17">
        <v>3</v>
      </c>
      <c r="J42" s="17">
        <v>3</v>
      </c>
      <c r="K42" s="17"/>
      <c r="L42" s="17"/>
    </row>
    <row r="43" spans="1:12" ht="46.2" customHeight="1" x14ac:dyDescent="0.3">
      <c r="A43" s="17"/>
      <c r="B43" s="17" t="s">
        <v>43</v>
      </c>
      <c r="C43" s="18" t="s">
        <v>44</v>
      </c>
      <c r="D43" s="19"/>
      <c r="E43" s="17"/>
      <c r="F43" s="17"/>
      <c r="G43" s="20"/>
      <c r="H43" s="17">
        <v>3</v>
      </c>
      <c r="I43" s="17">
        <v>3</v>
      </c>
      <c r="J43" s="17">
        <v>3</v>
      </c>
      <c r="K43" s="17"/>
      <c r="L43" s="17"/>
    </row>
    <row r="44" spans="1:12" ht="40.799999999999997" customHeight="1" x14ac:dyDescent="0.3">
      <c r="A44" s="17"/>
      <c r="B44" s="17" t="s">
        <v>45</v>
      </c>
      <c r="C44" s="18" t="s">
        <v>46</v>
      </c>
      <c r="D44" s="19"/>
      <c r="E44" s="17"/>
      <c r="F44" s="17"/>
      <c r="G44" s="20"/>
      <c r="H44" s="17">
        <v>3</v>
      </c>
      <c r="I44" s="17">
        <v>3</v>
      </c>
      <c r="J44" s="17">
        <v>3</v>
      </c>
      <c r="K44" s="17"/>
      <c r="L44" s="17"/>
    </row>
    <row r="45" spans="1:12" ht="40.799999999999997" customHeight="1" x14ac:dyDescent="0.3">
      <c r="A45" s="17"/>
      <c r="B45" s="17" t="s">
        <v>22</v>
      </c>
      <c r="C45" s="18" t="s">
        <v>23</v>
      </c>
      <c r="D45" s="27"/>
      <c r="E45" s="17"/>
      <c r="F45" s="17"/>
      <c r="G45" s="20"/>
      <c r="H45" s="17">
        <v>1</v>
      </c>
      <c r="I45" s="17">
        <v>1</v>
      </c>
      <c r="J45" s="17">
        <v>1</v>
      </c>
      <c r="K45" s="17"/>
      <c r="L45" s="17"/>
    </row>
    <row r="46" spans="1:12" ht="46.2" customHeight="1" x14ac:dyDescent="0.3">
      <c r="A46" s="17"/>
      <c r="B46" s="17" t="s">
        <v>22</v>
      </c>
      <c r="C46" s="18" t="s">
        <v>322</v>
      </c>
      <c r="D46" s="27"/>
      <c r="E46" s="17"/>
      <c r="F46" s="17"/>
      <c r="G46" s="20"/>
      <c r="H46" s="17">
        <v>1</v>
      </c>
      <c r="I46" s="17">
        <v>1</v>
      </c>
      <c r="J46" s="17">
        <v>1</v>
      </c>
      <c r="K46" s="17"/>
      <c r="L46" s="17"/>
    </row>
    <row r="47" spans="1:12" ht="46.2" customHeight="1" x14ac:dyDescent="0.3">
      <c r="A47" s="17"/>
      <c r="B47" s="17" t="s">
        <v>25</v>
      </c>
      <c r="C47" s="18" t="s">
        <v>28</v>
      </c>
      <c r="D47" s="19"/>
      <c r="E47" s="17"/>
      <c r="F47" s="17"/>
      <c r="G47" s="20"/>
      <c r="H47" s="17">
        <v>3</v>
      </c>
      <c r="I47" s="17">
        <v>0</v>
      </c>
      <c r="J47" s="17">
        <v>3</v>
      </c>
      <c r="K47" s="17"/>
      <c r="L47" s="17"/>
    </row>
    <row r="48" spans="1:12" ht="46.2" customHeight="1" x14ac:dyDescent="0.3">
      <c r="A48" s="17"/>
      <c r="B48" s="17" t="s">
        <v>25</v>
      </c>
      <c r="C48" s="18" t="s">
        <v>29</v>
      </c>
      <c r="D48" s="19"/>
      <c r="E48" s="17"/>
      <c r="F48" s="17"/>
      <c r="G48" s="20"/>
      <c r="H48" s="17">
        <v>3</v>
      </c>
      <c r="I48" s="17">
        <v>3</v>
      </c>
      <c r="J48" s="17">
        <v>3</v>
      </c>
      <c r="K48" s="17"/>
      <c r="L48" s="17"/>
    </row>
    <row r="49" spans="1:12" ht="43.2" x14ac:dyDescent="0.3">
      <c r="A49" s="17"/>
      <c r="B49" s="17" t="s">
        <v>41</v>
      </c>
      <c r="C49" s="18" t="s">
        <v>307</v>
      </c>
      <c r="D49" s="19"/>
      <c r="E49" s="17"/>
      <c r="F49" s="17"/>
      <c r="G49" s="20"/>
      <c r="H49" s="17">
        <v>3</v>
      </c>
      <c r="I49" s="17">
        <v>0</v>
      </c>
      <c r="J49" s="17">
        <v>1.5</v>
      </c>
      <c r="K49" s="17"/>
      <c r="L49" s="17"/>
    </row>
    <row r="50" spans="1:12" ht="19.8" customHeight="1" x14ac:dyDescent="0.3">
      <c r="A50" s="23"/>
      <c r="B50" s="23" t="s">
        <v>41</v>
      </c>
      <c r="C50" s="18" t="s">
        <v>308</v>
      </c>
      <c r="D50" s="24"/>
      <c r="E50" s="23"/>
      <c r="F50" s="23"/>
      <c r="G50" s="25"/>
      <c r="H50" s="23">
        <v>2</v>
      </c>
      <c r="I50" s="23">
        <v>0</v>
      </c>
      <c r="J50" s="23">
        <v>2</v>
      </c>
      <c r="K50" s="23"/>
      <c r="L50" s="23"/>
    </row>
    <row r="51" spans="1:12" ht="46.2" customHeight="1" x14ac:dyDescent="0.4">
      <c r="A51" s="77" t="s">
        <v>318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</row>
    <row r="52" spans="1:12" ht="48.6" customHeight="1" x14ac:dyDescent="0.3">
      <c r="A52" s="16"/>
      <c r="B52" s="17" t="s">
        <v>14</v>
      </c>
      <c r="C52" s="18" t="s">
        <v>15</v>
      </c>
      <c r="D52" s="19"/>
      <c r="E52" s="17"/>
      <c r="F52" s="17"/>
      <c r="G52" s="20"/>
      <c r="H52" s="17">
        <v>3</v>
      </c>
      <c r="I52" s="17">
        <v>3</v>
      </c>
      <c r="J52" s="17">
        <v>3</v>
      </c>
      <c r="K52" s="17"/>
      <c r="L52" s="21"/>
    </row>
    <row r="53" spans="1:12" ht="46.2" customHeight="1" x14ac:dyDescent="0.3">
      <c r="A53" s="16"/>
      <c r="B53" s="17" t="s">
        <v>14</v>
      </c>
      <c r="C53" s="18" t="s">
        <v>16</v>
      </c>
      <c r="D53" s="19"/>
      <c r="E53" s="17"/>
      <c r="F53" s="17"/>
      <c r="G53" s="20"/>
      <c r="H53" s="17">
        <v>1</v>
      </c>
      <c r="I53" s="17">
        <v>1</v>
      </c>
      <c r="J53" s="17">
        <v>1</v>
      </c>
      <c r="K53" s="17"/>
      <c r="L53" s="21"/>
    </row>
    <row r="54" spans="1:12" ht="46.2" customHeight="1" x14ac:dyDescent="0.3">
      <c r="A54" s="16"/>
      <c r="B54" s="17" t="s">
        <v>10</v>
      </c>
      <c r="C54" s="18" t="s">
        <v>11</v>
      </c>
      <c r="D54" s="19"/>
      <c r="E54" s="17"/>
      <c r="F54" s="17"/>
      <c r="G54" s="20"/>
      <c r="H54" s="17">
        <v>3</v>
      </c>
      <c r="I54" s="17">
        <v>0</v>
      </c>
      <c r="J54" s="17">
        <v>3</v>
      </c>
      <c r="K54" s="17"/>
      <c r="L54" s="21"/>
    </row>
    <row r="55" spans="1:12" ht="46.2" customHeight="1" x14ac:dyDescent="0.3">
      <c r="A55" s="16"/>
      <c r="B55" s="17" t="s">
        <v>10</v>
      </c>
      <c r="C55" s="18" t="s">
        <v>316</v>
      </c>
      <c r="D55" s="19"/>
      <c r="E55" s="17"/>
      <c r="F55" s="17"/>
      <c r="G55" s="20"/>
      <c r="H55" s="17">
        <v>3</v>
      </c>
      <c r="I55" s="17">
        <v>3</v>
      </c>
      <c r="J55" s="17">
        <v>3</v>
      </c>
      <c r="K55" s="17"/>
      <c r="L55" s="21"/>
    </row>
    <row r="56" spans="1:12" ht="46.2" customHeight="1" x14ac:dyDescent="0.3">
      <c r="A56" s="16"/>
      <c r="B56" s="17" t="s">
        <v>10</v>
      </c>
      <c r="C56" s="18" t="s">
        <v>319</v>
      </c>
      <c r="D56" s="19"/>
      <c r="E56" s="17"/>
      <c r="F56" s="17"/>
      <c r="G56" s="20"/>
      <c r="H56" s="17">
        <v>3</v>
      </c>
      <c r="I56" s="17">
        <v>0</v>
      </c>
      <c r="J56" s="17">
        <v>3</v>
      </c>
      <c r="K56" s="17"/>
      <c r="L56" s="21"/>
    </row>
    <row r="57" spans="1:12" ht="46.2" customHeight="1" x14ac:dyDescent="0.3">
      <c r="A57" s="17"/>
      <c r="B57" s="17" t="s">
        <v>10</v>
      </c>
      <c r="C57" s="18" t="s">
        <v>393</v>
      </c>
      <c r="D57" s="27"/>
      <c r="E57" s="17"/>
      <c r="F57" s="17"/>
      <c r="G57" s="20"/>
      <c r="H57" s="17">
        <v>2</v>
      </c>
      <c r="I57" s="17">
        <v>2</v>
      </c>
      <c r="J57" s="17">
        <v>2</v>
      </c>
      <c r="K57" s="17"/>
      <c r="L57" s="17"/>
    </row>
    <row r="58" spans="1:12" ht="46.2" customHeight="1" x14ac:dyDescent="0.3">
      <c r="A58" s="16"/>
      <c r="B58" s="17" t="s">
        <v>10</v>
      </c>
      <c r="C58" s="18" t="s">
        <v>313</v>
      </c>
      <c r="D58" s="19"/>
      <c r="E58" s="17"/>
      <c r="F58" s="17"/>
      <c r="G58" s="20"/>
      <c r="H58" s="17">
        <v>3</v>
      </c>
      <c r="I58" s="17">
        <v>3</v>
      </c>
      <c r="J58" s="17">
        <v>3</v>
      </c>
      <c r="K58" s="17"/>
      <c r="L58" s="21"/>
    </row>
    <row r="59" spans="1:12" ht="46.2" customHeight="1" x14ac:dyDescent="0.3">
      <c r="A59" s="16"/>
      <c r="B59" s="17" t="s">
        <v>12</v>
      </c>
      <c r="C59" s="18" t="s">
        <v>13</v>
      </c>
      <c r="D59" s="19"/>
      <c r="E59" s="17"/>
      <c r="F59" s="17"/>
      <c r="G59" s="20"/>
      <c r="H59" s="17">
        <v>2</v>
      </c>
      <c r="I59" s="17">
        <v>0</v>
      </c>
      <c r="J59" s="17">
        <v>2</v>
      </c>
      <c r="K59" s="17"/>
      <c r="L59" s="21"/>
    </row>
    <row r="60" spans="1:12" ht="46.2" customHeight="1" x14ac:dyDescent="0.3">
      <c r="A60" s="16"/>
      <c r="B60" s="17" t="s">
        <v>17</v>
      </c>
      <c r="C60" s="18" t="s">
        <v>18</v>
      </c>
      <c r="D60" s="19"/>
      <c r="E60" s="17"/>
      <c r="F60" s="17"/>
      <c r="G60" s="20"/>
      <c r="H60" s="17">
        <v>3</v>
      </c>
      <c r="I60" s="17">
        <v>3</v>
      </c>
      <c r="J60" s="17">
        <v>3</v>
      </c>
      <c r="K60" s="17"/>
      <c r="L60" s="21"/>
    </row>
    <row r="61" spans="1:12" ht="46.2" customHeight="1" x14ac:dyDescent="0.3">
      <c r="A61" s="16"/>
      <c r="B61" s="17" t="s">
        <v>17</v>
      </c>
      <c r="C61" s="18" t="s">
        <v>19</v>
      </c>
      <c r="D61" s="19"/>
      <c r="E61" s="17"/>
      <c r="F61" s="17"/>
      <c r="G61" s="20"/>
      <c r="H61" s="17">
        <v>1</v>
      </c>
      <c r="I61" s="17">
        <v>1</v>
      </c>
      <c r="J61" s="17">
        <v>1</v>
      </c>
      <c r="K61" s="17"/>
      <c r="L61" s="21"/>
    </row>
    <row r="62" spans="1:12" ht="46.2" customHeight="1" x14ac:dyDescent="0.3">
      <c r="A62" s="16"/>
      <c r="B62" s="17" t="s">
        <v>20</v>
      </c>
      <c r="C62" s="18" t="s">
        <v>21</v>
      </c>
      <c r="D62" s="19"/>
      <c r="E62" s="17"/>
      <c r="F62" s="17"/>
      <c r="G62" s="20"/>
      <c r="H62" s="17">
        <v>3</v>
      </c>
      <c r="I62" s="17">
        <v>3</v>
      </c>
      <c r="J62" s="17">
        <v>3</v>
      </c>
      <c r="K62" s="17"/>
      <c r="L62" s="21"/>
    </row>
    <row r="63" spans="1:12" ht="40.799999999999997" customHeight="1" x14ac:dyDescent="0.3">
      <c r="A63" s="16"/>
      <c r="B63" s="17" t="s">
        <v>20</v>
      </c>
      <c r="C63" s="18" t="s">
        <v>311</v>
      </c>
      <c r="D63" s="19"/>
      <c r="E63" s="17"/>
      <c r="F63" s="17"/>
      <c r="G63" s="20"/>
      <c r="H63" s="17">
        <v>1</v>
      </c>
      <c r="I63" s="17">
        <v>1</v>
      </c>
      <c r="J63" s="17">
        <v>1</v>
      </c>
      <c r="K63" s="17"/>
      <c r="L63" s="21"/>
    </row>
    <row r="64" spans="1:12" ht="40.799999999999997" customHeight="1" x14ac:dyDescent="0.3">
      <c r="A64" s="17"/>
      <c r="B64" s="17" t="s">
        <v>22</v>
      </c>
      <c r="C64" s="18" t="s">
        <v>23</v>
      </c>
      <c r="D64" s="27"/>
      <c r="E64" s="17"/>
      <c r="F64" s="17"/>
      <c r="G64" s="20"/>
      <c r="H64" s="17">
        <v>1</v>
      </c>
      <c r="I64" s="17">
        <v>1</v>
      </c>
      <c r="J64" s="17">
        <v>1</v>
      </c>
      <c r="K64" s="17"/>
      <c r="L64" s="17"/>
    </row>
    <row r="65" spans="1:12" ht="46.2" customHeight="1" x14ac:dyDescent="0.3">
      <c r="A65" s="17"/>
      <c r="B65" s="17" t="s">
        <v>22</v>
      </c>
      <c r="C65" s="18" t="s">
        <v>322</v>
      </c>
      <c r="D65" s="27"/>
      <c r="E65" s="17"/>
      <c r="F65" s="17"/>
      <c r="G65" s="20"/>
      <c r="H65" s="17">
        <v>1</v>
      </c>
      <c r="I65" s="17">
        <v>1</v>
      </c>
      <c r="J65" s="17">
        <v>1</v>
      </c>
      <c r="K65" s="17"/>
      <c r="L65" s="17"/>
    </row>
    <row r="66" spans="1:12" ht="46.2" customHeight="1" x14ac:dyDescent="0.3">
      <c r="A66" s="16"/>
      <c r="B66" s="17" t="s">
        <v>25</v>
      </c>
      <c r="C66" s="18" t="s">
        <v>321</v>
      </c>
      <c r="D66" s="19"/>
      <c r="E66" s="17"/>
      <c r="F66" s="17"/>
      <c r="G66" s="20"/>
      <c r="H66" s="17">
        <v>3</v>
      </c>
      <c r="I66" s="17">
        <v>0</v>
      </c>
      <c r="J66" s="17">
        <v>3</v>
      </c>
      <c r="K66" s="17"/>
      <c r="L66" s="21"/>
    </row>
    <row r="67" spans="1:12" ht="46.2" customHeight="1" x14ac:dyDescent="0.3">
      <c r="A67" s="16"/>
      <c r="B67" s="17" t="s">
        <v>25</v>
      </c>
      <c r="C67" s="18" t="s">
        <v>320</v>
      </c>
      <c r="D67" s="19"/>
      <c r="E67" s="17"/>
      <c r="F67" s="17"/>
      <c r="G67" s="20"/>
      <c r="H67" s="17">
        <v>3</v>
      </c>
      <c r="I67" s="17">
        <v>3</v>
      </c>
      <c r="J67" s="17">
        <v>3</v>
      </c>
      <c r="K67" s="17"/>
      <c r="L67" s="21"/>
    </row>
    <row r="68" spans="1:12" ht="46.2" customHeight="1" x14ac:dyDescent="0.3">
      <c r="A68" s="16"/>
      <c r="B68" s="17" t="s">
        <v>30</v>
      </c>
      <c r="C68" s="18" t="s">
        <v>315</v>
      </c>
      <c r="D68" s="19"/>
      <c r="E68" s="17"/>
      <c r="F68" s="17"/>
      <c r="G68" s="20"/>
      <c r="H68" s="17">
        <v>3</v>
      </c>
      <c r="I68" s="17">
        <v>3</v>
      </c>
      <c r="J68" s="17">
        <v>3</v>
      </c>
      <c r="K68" s="17"/>
      <c r="L68" s="21"/>
    </row>
    <row r="69" spans="1:12" ht="46.2" customHeight="1" x14ac:dyDescent="0.3">
      <c r="A69" s="16"/>
      <c r="B69" s="17" t="s">
        <v>25</v>
      </c>
      <c r="C69" s="18" t="s">
        <v>312</v>
      </c>
      <c r="D69" s="19"/>
      <c r="E69" s="17"/>
      <c r="F69" s="17"/>
      <c r="G69" s="20"/>
      <c r="H69" s="17">
        <v>3</v>
      </c>
      <c r="I69" s="17">
        <v>3</v>
      </c>
      <c r="J69" s="17">
        <v>3</v>
      </c>
      <c r="K69" s="17"/>
      <c r="L69" s="21"/>
    </row>
    <row r="70" spans="1:12" ht="43.2" x14ac:dyDescent="0.3">
      <c r="A70" s="16"/>
      <c r="B70" s="17" t="s">
        <v>41</v>
      </c>
      <c r="C70" s="18" t="s">
        <v>307</v>
      </c>
      <c r="D70" s="19"/>
      <c r="E70" s="17"/>
      <c r="F70" s="17"/>
      <c r="G70" s="20"/>
      <c r="H70" s="17">
        <v>3</v>
      </c>
      <c r="I70" s="17">
        <v>0</v>
      </c>
      <c r="J70" s="17">
        <v>1.5</v>
      </c>
      <c r="K70" s="17"/>
      <c r="L70" s="21"/>
    </row>
    <row r="71" spans="1:12" ht="52.8" customHeight="1" x14ac:dyDescent="0.3">
      <c r="A71" s="22"/>
      <c r="B71" s="23" t="s">
        <v>41</v>
      </c>
      <c r="C71" s="18" t="s">
        <v>308</v>
      </c>
      <c r="D71" s="24"/>
      <c r="E71" s="23"/>
      <c r="F71" s="23"/>
      <c r="G71" s="25"/>
      <c r="H71" s="23">
        <v>2</v>
      </c>
      <c r="I71" s="23">
        <v>0</v>
      </c>
      <c r="J71" s="17">
        <v>2</v>
      </c>
      <c r="K71" s="17"/>
      <c r="L71" s="21"/>
    </row>
    <row r="72" spans="1:12" x14ac:dyDescent="0.3">
      <c r="A72" s="78" t="s">
        <v>474</v>
      </c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</row>
    <row r="73" spans="1:12" ht="28.8" x14ac:dyDescent="0.3">
      <c r="A73" s="16"/>
      <c r="B73" s="17" t="s">
        <v>14</v>
      </c>
      <c r="C73" s="18" t="s">
        <v>15</v>
      </c>
      <c r="D73" s="19"/>
      <c r="E73" s="17"/>
      <c r="F73" s="17"/>
      <c r="G73" s="20"/>
      <c r="H73" s="17">
        <v>3</v>
      </c>
      <c r="I73" s="17">
        <v>3</v>
      </c>
      <c r="J73" s="17">
        <v>3</v>
      </c>
      <c r="K73" s="17"/>
      <c r="L73" s="21"/>
    </row>
    <row r="74" spans="1:12" ht="28.8" x14ac:dyDescent="0.3">
      <c r="A74" s="16"/>
      <c r="B74" s="17" t="s">
        <v>14</v>
      </c>
      <c r="C74" s="18" t="s">
        <v>16</v>
      </c>
      <c r="D74" s="19"/>
      <c r="E74" s="17"/>
      <c r="F74" s="17"/>
      <c r="G74" s="20"/>
      <c r="H74" s="17">
        <v>1</v>
      </c>
      <c r="I74" s="17">
        <v>1</v>
      </c>
      <c r="J74" s="17">
        <v>1</v>
      </c>
      <c r="K74" s="17"/>
      <c r="L74" s="21"/>
    </row>
    <row r="75" spans="1:12" ht="18" x14ac:dyDescent="0.3">
      <c r="A75" s="16"/>
      <c r="B75" s="17" t="s">
        <v>30</v>
      </c>
      <c r="C75" s="18" t="s">
        <v>315</v>
      </c>
      <c r="D75" s="19"/>
      <c r="E75" s="17"/>
      <c r="F75" s="17"/>
      <c r="G75" s="20"/>
      <c r="H75" s="17">
        <v>3</v>
      </c>
      <c r="I75" s="17">
        <v>3</v>
      </c>
      <c r="J75" s="17">
        <v>3</v>
      </c>
      <c r="K75" s="17"/>
      <c r="L75" s="21"/>
    </row>
    <row r="76" spans="1:12" ht="18" x14ac:dyDescent="0.3">
      <c r="A76" s="16"/>
      <c r="B76" s="17" t="s">
        <v>25</v>
      </c>
      <c r="C76" s="18" t="s">
        <v>312</v>
      </c>
      <c r="D76" s="19"/>
      <c r="E76" s="17"/>
      <c r="F76" s="17"/>
      <c r="G76" s="20"/>
      <c r="H76" s="17">
        <v>3</v>
      </c>
      <c r="I76" s="17">
        <v>3</v>
      </c>
      <c r="J76" s="17">
        <v>3</v>
      </c>
      <c r="K76" s="17"/>
      <c r="L76" s="21"/>
    </row>
  </sheetData>
  <mergeCells count="4">
    <mergeCell ref="A1:L1"/>
    <mergeCell ref="A29:L29"/>
    <mergeCell ref="A51:L51"/>
    <mergeCell ref="A72:L72"/>
  </mergeCells>
  <conditionalFormatting sqref="A2:L28 A30:L50">
    <cfRule type="expression" dxfId="14" priority="16">
      <formula>$K2="✔️✔️"</formula>
    </cfRule>
    <cfRule type="expression" dxfId="13" priority="17">
      <formula>$K2="❌️"</formula>
    </cfRule>
    <cfRule type="expression" dxfId="12" priority="18">
      <formula>$K2="✔️"</formula>
    </cfRule>
  </conditionalFormatting>
  <conditionalFormatting sqref="A52:L56">
    <cfRule type="expression" dxfId="11" priority="34">
      <formula>$K52="✔️✔️"</formula>
    </cfRule>
    <cfRule type="expression" dxfId="10" priority="35">
      <formula>$K52="❌️"</formula>
    </cfRule>
    <cfRule type="expression" dxfId="9" priority="36">
      <formula>$K52="✔️"</formula>
    </cfRule>
  </conditionalFormatting>
  <conditionalFormatting sqref="A56:L56">
    <cfRule type="expression" dxfId="8" priority="22">
      <formula>$K56="✔️✔️"</formula>
    </cfRule>
    <cfRule type="expression" dxfId="7" priority="23">
      <formula>$K56="❌️"</formula>
    </cfRule>
    <cfRule type="expression" dxfId="6" priority="24">
      <formula>$K56="✔️"</formula>
    </cfRule>
  </conditionalFormatting>
  <conditionalFormatting sqref="A56:L71">
    <cfRule type="expression" dxfId="5" priority="1">
      <formula>$K56="✔️✔️"</formula>
    </cfRule>
    <cfRule type="expression" dxfId="4" priority="2">
      <formula>$K56="❌️"</formula>
    </cfRule>
    <cfRule type="expression" dxfId="3" priority="3">
      <formula>$K56="✔️"</formula>
    </cfRule>
  </conditionalFormatting>
  <conditionalFormatting sqref="A73:L76">
    <cfRule type="expression" dxfId="2" priority="4">
      <formula>$K73="✔️✔️"</formula>
    </cfRule>
    <cfRule type="expression" dxfId="1" priority="5">
      <formula>$K73="❌️"</formula>
    </cfRule>
    <cfRule type="expression" dxfId="0" priority="6">
      <formula>$K73="✔️"</formula>
    </cfRule>
  </conditionalFormatting>
  <dataValidations count="1">
    <dataValidation type="list" allowBlank="1" showInputMessage="1" showErrorMessage="1" sqref="D73:D76 D30:D50 D2:D28 D52:D71" xr:uid="{24B98107-D34B-4B94-B14D-290AC2A57072}">
      <formula1>"✔️,✔️✔️,❌,NA"</formula1>
    </dataValidation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3D6A735198CF34880AC9A34163D2776" ma:contentTypeVersion="17" ma:contentTypeDescription="Crie um novo documento." ma:contentTypeScope="" ma:versionID="43daf0fdfc2e7fec5aed3518850c94ef">
  <xsd:schema xmlns:xsd="http://www.w3.org/2001/XMLSchema" xmlns:xs="http://www.w3.org/2001/XMLSchema" xmlns:p="http://schemas.microsoft.com/office/2006/metadata/properties" xmlns:ns2="76033084-dada-4a58-a434-4128856d69ef" xmlns:ns3="4abefba2-7b9f-4787-a06e-790215ea5940" targetNamespace="http://schemas.microsoft.com/office/2006/metadata/properties" ma:root="true" ma:fieldsID="09fea1a4ef01b65125515cb91204d586" ns2:_="" ns3:_="">
    <xsd:import namespace="76033084-dada-4a58-a434-4128856d69ef"/>
    <xsd:import namespace="4abefba2-7b9f-4787-a06e-790215ea59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SOLICITANTE" minOccurs="0"/>
                <xsd:element ref="ns2:COD_OBRA" minOccurs="0"/>
                <xsd:element ref="ns2:MediaLengthInSeconds" minOccurs="0"/>
                <xsd:element ref="ns2:Data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033084-dada-4a58-a434-4128856d69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eef3769-68d5-4da5-b5ff-8d5143c051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SOLICITANTE" ma:index="19" nillable="true" ma:displayName="SOLICITANTE" ma:format="Dropdown" ma:internalName="SOLICITANTE">
      <xsd:simpleType>
        <xsd:restriction base="dms:Text">
          <xsd:maxLength value="255"/>
        </xsd:restriction>
      </xsd:simpleType>
    </xsd:element>
    <xsd:element name="COD_OBRA" ma:index="20" nillable="true" ma:displayName="COD_OBRA" ma:format="Dropdown" ma:internalName="COD_OBRA">
      <xsd:simpleType>
        <xsd:restriction base="dms:Text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Data" ma:index="22" nillable="true" ma:displayName="Data" ma:format="DateOnly" ma:internalName="Data">
      <xsd:simpleType>
        <xsd:restriction base="dms:DateTim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befba2-7b9f-4787-a06e-790215ea594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636f13a-33b2-4036-a403-99d787d39edc}" ma:internalName="TaxCatchAll" ma:showField="CatchAllData" ma:web="4abefba2-7b9f-4787-a06e-790215ea59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befba2-7b9f-4787-a06e-790215ea5940" xsi:nil="true"/>
    <lcf76f155ced4ddcb4097134ff3c332f xmlns="76033084-dada-4a58-a434-4128856d69ef">
      <Terms xmlns="http://schemas.microsoft.com/office/infopath/2007/PartnerControls"/>
    </lcf76f155ced4ddcb4097134ff3c332f>
    <Data xmlns="76033084-dada-4a58-a434-4128856d69ef" xsi:nil="true"/>
    <COD_OBRA xmlns="76033084-dada-4a58-a434-4128856d69ef" xsi:nil="true"/>
    <SOLICITANTE xmlns="76033084-dada-4a58-a434-4128856d69ef" xsi:nil="true"/>
  </documentManagement>
</p:properties>
</file>

<file path=customXml/itemProps1.xml><?xml version="1.0" encoding="utf-8"?>
<ds:datastoreItem xmlns:ds="http://schemas.openxmlformats.org/officeDocument/2006/customXml" ds:itemID="{DCF3BA7E-5C74-47EE-A921-7FC8E38BB8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CBD79A-5865-41C1-89D8-B8413825F7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033084-dada-4a58-a434-4128856d69ef"/>
    <ds:schemaRef ds:uri="4abefba2-7b9f-4787-a06e-790215ea59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9D7E5B-2B6A-45EC-976A-0D0FF13CE042}">
  <ds:schemaRefs>
    <ds:schemaRef ds:uri="http://purl.org/dc/dcmitype/"/>
    <ds:schemaRef ds:uri="http://schemas.microsoft.com/office/infopath/2007/PartnerControls"/>
    <ds:schemaRef ds:uri="http://purl.org/dc/elements/1.1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4abefba2-7b9f-4787-a06e-790215ea5940"/>
    <ds:schemaRef ds:uri="76033084-dada-4a58-a434-4128856d69e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Auditoria</vt:lpstr>
      <vt:lpstr>Itens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Alves</dc:creator>
  <cp:keywords/>
  <dc:description/>
  <cp:lastModifiedBy>Microsoft Engenharia</cp:lastModifiedBy>
  <cp:revision/>
  <dcterms:created xsi:type="dcterms:W3CDTF">2024-10-11T13:18:30Z</dcterms:created>
  <dcterms:modified xsi:type="dcterms:W3CDTF">2026-02-09T19:59:04Z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0x01010073D6A735198CF34880AC9A34163D2776</vt:lpwstr>
  </property>
  <property fmtid="{D5CDD505-2E9C-101B-9397-08002B2CF9AE}" pid="3" name="MediaServiceImageTags">
    <vt:lpwstr/>
  </property>
</Properties>
</file>